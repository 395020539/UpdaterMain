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omments4.xml" ContentType="application/vnd.openxmlformats-officedocument.spreadsheetml.comments+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5.xml" ContentType="application/vnd.openxmlformats-officedocument.spreadsheetml.comments+xml"/>
  <Override PartName="/xl/comments6.xml" ContentType="application/vnd.openxmlformats-officedocument.spreadsheetml.comments+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7.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activeX/activeX14.xml" ContentType="application/vnd.ms-office.activeX+xml"/>
  <Override PartName="/xl/activeX/activeX1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D:\01-GAC\04-A88_APA\mechanical data\"/>
    </mc:Choice>
  </mc:AlternateContent>
  <bookViews>
    <workbookView xWindow="0" yWindow="0" windowWidth="2160" windowHeight="0" tabRatio="815" activeTab="8"/>
  </bookViews>
  <sheets>
    <sheet name="Description" sheetId="11" r:id="rId1"/>
    <sheet name="MechanicalData" sheetId="29" r:id="rId2"/>
    <sheet name="Steering Ratio" sheetId="33" r:id="rId3"/>
    <sheet name="SW-Endstop" sheetId="30" r:id="rId4"/>
    <sheet name="Steering Angle" sheetId="25" r:id="rId5"/>
    <sheet name="SA_Config" sheetId="32" r:id="rId6"/>
    <sheet name="RackWheelConverter" sheetId="35" r:id="rId7"/>
    <sheet name="LoadTracking" sheetId="36" state="hidden" r:id="rId8"/>
    <sheet name="other tuning" sheetId="31" r:id="rId9"/>
  </sheets>
  <functionGroups builtInGroupCount="18"/>
  <externalReferences>
    <externalReference r:id="rId10"/>
  </externalReferences>
  <definedNames>
    <definedName name="PinAng4Diagram" localSheetId="7">OFFSET('[1]Steering Ratio'!$H$7,,,COUNTA('[1]Steering Ratio'!$H:$H)-3,1)</definedName>
    <definedName name="PinAng4Diagram">OFFSET('Steering Ratio'!$H$7,,,COUNTA('Steering Ratio'!$H:$H)-3,1)</definedName>
    <definedName name="RackPos4Diagram" localSheetId="7">OFFSET('[1]Steering Ratio'!$K$7,,,COUNTA('[1]Steering Ratio'!$H:$H)-3,1)</definedName>
    <definedName name="RackPos4Diagram">OFFSET('Steering Ratio'!$K$7,,,COUNTA('Steering Ratio'!$H:$H)-3,1)</definedName>
    <definedName name="RackPos4DiagramRW" localSheetId="6">OFFSET(RackWheelConverter!$B$7,,,COUNTA(RackWheelConverter!$B:$B)-3,1)</definedName>
    <definedName name="ratio__°WA_mm">RackWheelConverter!$D$7:$D$167</definedName>
    <definedName name="Ratio4Diagram" localSheetId="7">OFFSET('[1]Steering Ratio'!$J$7,,,COUNTA('[1]Steering Ratio'!$H:$H)-3,1)</definedName>
    <definedName name="Ratio4Diagram">OFFSET('Steering Ratio'!$J$7,,,COUNTA('Steering Ratio'!$H:$H)-3,1)</definedName>
    <definedName name="Ratio4DiagramRW" localSheetId="6">OFFSET(RackWheelConverter!$D$7,,,COUNTA(RackWheelConverter!$D:$D)-3,1)</definedName>
    <definedName name="RatioColRot" localSheetId="7">OFFSET('[1]Steering Ratio'!$V$7,,,COUNTA('[1]Steering Ratio'!$H:$H)-3,1)</definedName>
    <definedName name="RatioColRot">OFFSET('Steering Ratio'!$V$7,,,COUNTA('Steering Ratio'!$H:$H)-3,1)</definedName>
    <definedName name="WhlAng4DiagramRW" localSheetId="6">OFFSET(RackWheelConverter!$C$7,,,COUNTA(RackWheelConverter!$C:$C)-3,1)</definedName>
  </definedNames>
  <calcPr calcId="162913"/>
</workbook>
</file>

<file path=xl/calcChain.xml><?xml version="1.0" encoding="utf-8"?>
<calcChain xmlns="http://schemas.openxmlformats.org/spreadsheetml/2006/main">
  <c r="H300" i="33" l="1"/>
  <c r="I300" i="33"/>
  <c r="J300" i="33"/>
  <c r="K300" i="33"/>
  <c r="L300" i="33"/>
  <c r="M300" i="33"/>
  <c r="V300" i="33"/>
  <c r="H301" i="33"/>
  <c r="I301" i="33"/>
  <c r="J301" i="33" s="1"/>
  <c r="K301" i="33"/>
  <c r="L301" i="33" s="1"/>
  <c r="M301" i="33" s="1"/>
  <c r="H302" i="33"/>
  <c r="I302" i="33"/>
  <c r="J302" i="33"/>
  <c r="K302" i="33"/>
  <c r="L302" i="33"/>
  <c r="M302" i="33"/>
  <c r="V302" i="33"/>
  <c r="H303" i="33"/>
  <c r="I303" i="33"/>
  <c r="J303" i="33" s="1"/>
  <c r="K303" i="33"/>
  <c r="L303" i="33" s="1"/>
  <c r="M303" i="33" s="1"/>
  <c r="H304" i="33"/>
  <c r="I304" i="33"/>
  <c r="J304" i="33"/>
  <c r="K304" i="33"/>
  <c r="L304" i="33"/>
  <c r="M304" i="33"/>
  <c r="V304" i="33"/>
  <c r="H305" i="33"/>
  <c r="I305" i="33"/>
  <c r="J305" i="33" s="1"/>
  <c r="K305" i="33"/>
  <c r="L305" i="33" s="1"/>
  <c r="M305" i="33" s="1"/>
  <c r="H306" i="33"/>
  <c r="I306" i="33"/>
  <c r="J306" i="33"/>
  <c r="K306" i="33"/>
  <c r="L306" i="33"/>
  <c r="M306" i="33"/>
  <c r="V306" i="33"/>
  <c r="H307" i="33"/>
  <c r="I307" i="33"/>
  <c r="J307" i="33" s="1"/>
  <c r="K307" i="33"/>
  <c r="L307" i="33" s="1"/>
  <c r="M307" i="33" s="1"/>
  <c r="H308" i="33"/>
  <c r="I308" i="33"/>
  <c r="J308" i="33"/>
  <c r="K308" i="33"/>
  <c r="L308" i="33"/>
  <c r="M308" i="33"/>
  <c r="V308" i="33"/>
  <c r="H309" i="33"/>
  <c r="I309" i="33"/>
  <c r="J309" i="33" s="1"/>
  <c r="K309" i="33"/>
  <c r="L309" i="33" s="1"/>
  <c r="M309" i="33" s="1"/>
  <c r="H310" i="33"/>
  <c r="I310" i="33"/>
  <c r="J310" i="33"/>
  <c r="K310" i="33"/>
  <c r="L310" i="33"/>
  <c r="M310" i="33"/>
  <c r="V310" i="33"/>
  <c r="H311" i="33"/>
  <c r="I311" i="33"/>
  <c r="J311" i="33" s="1"/>
  <c r="K311" i="33"/>
  <c r="L311" i="33" s="1"/>
  <c r="M311" i="33" s="1"/>
  <c r="H312" i="33"/>
  <c r="I312" i="33"/>
  <c r="J312" i="33"/>
  <c r="K312" i="33"/>
  <c r="L312" i="33"/>
  <c r="M312" i="33"/>
  <c r="V312" i="33"/>
  <c r="H313" i="33"/>
  <c r="I313" i="33"/>
  <c r="J313" i="33" s="1"/>
  <c r="K313" i="33"/>
  <c r="L313" i="33" s="1"/>
  <c r="M313" i="33" s="1"/>
  <c r="H314" i="33"/>
  <c r="I314" i="33"/>
  <c r="J314" i="33"/>
  <c r="K314" i="33"/>
  <c r="L314" i="33"/>
  <c r="M314" i="33"/>
  <c r="V314" i="33"/>
  <c r="H315" i="33"/>
  <c r="I315" i="33"/>
  <c r="J315" i="33" s="1"/>
  <c r="K315" i="33"/>
  <c r="L315" i="33" s="1"/>
  <c r="M315" i="33" s="1"/>
  <c r="H316" i="33"/>
  <c r="I316" i="33"/>
  <c r="J316" i="33"/>
  <c r="K316" i="33"/>
  <c r="L316" i="33"/>
  <c r="M316" i="33"/>
  <c r="V316" i="33"/>
  <c r="H317" i="33"/>
  <c r="I317" i="33"/>
  <c r="J317" i="33" s="1"/>
  <c r="K317" i="33"/>
  <c r="L317" i="33" s="1"/>
  <c r="M317" i="33" s="1"/>
  <c r="H318" i="33"/>
  <c r="I318" i="33"/>
  <c r="J318" i="33"/>
  <c r="K318" i="33"/>
  <c r="L318" i="33"/>
  <c r="M318" i="33"/>
  <c r="V318" i="33"/>
  <c r="H319" i="33"/>
  <c r="I319" i="33"/>
  <c r="J319" i="33" s="1"/>
  <c r="K319" i="33"/>
  <c r="L319" i="33" s="1"/>
  <c r="M319" i="33" s="1"/>
  <c r="H320" i="33"/>
  <c r="I320" i="33"/>
  <c r="J320" i="33"/>
  <c r="K320" i="33"/>
  <c r="L320" i="33"/>
  <c r="M320" i="33"/>
  <c r="V320" i="33"/>
  <c r="H321" i="33"/>
  <c r="I321" i="33"/>
  <c r="J321" i="33" s="1"/>
  <c r="K321" i="33"/>
  <c r="L321" i="33" s="1"/>
  <c r="M321" i="33" s="1"/>
  <c r="H322" i="33"/>
  <c r="I322" i="33"/>
  <c r="J322" i="33"/>
  <c r="K322" i="33"/>
  <c r="L322" i="33"/>
  <c r="M322" i="33"/>
  <c r="V322" i="33"/>
  <c r="H323" i="33"/>
  <c r="I323" i="33"/>
  <c r="J323" i="33" s="1"/>
  <c r="K323" i="33"/>
  <c r="L323" i="33" s="1"/>
  <c r="M323" i="33" s="1"/>
  <c r="H324" i="33"/>
  <c r="I324" i="33"/>
  <c r="J324" i="33"/>
  <c r="K324" i="33"/>
  <c r="L324" i="33"/>
  <c r="M324" i="33"/>
  <c r="V324" i="33"/>
  <c r="H325" i="33"/>
  <c r="I325" i="33"/>
  <c r="J325" i="33" s="1"/>
  <c r="K325" i="33"/>
  <c r="L325" i="33" s="1"/>
  <c r="M325" i="33" s="1"/>
  <c r="H326" i="33"/>
  <c r="I326" i="33"/>
  <c r="J326" i="33"/>
  <c r="K326" i="33"/>
  <c r="L326" i="33"/>
  <c r="M326" i="33"/>
  <c r="V326" i="33"/>
  <c r="H327" i="33"/>
  <c r="I327" i="33"/>
  <c r="J327" i="33" s="1"/>
  <c r="K327" i="33"/>
  <c r="L327" i="33" s="1"/>
  <c r="M327" i="33" s="1"/>
  <c r="H328" i="33"/>
  <c r="I328" i="33"/>
  <c r="J328" i="33"/>
  <c r="K328" i="33"/>
  <c r="L328" i="33"/>
  <c r="M328" i="33"/>
  <c r="V328" i="33"/>
  <c r="H329" i="33"/>
  <c r="I329" i="33"/>
  <c r="J329" i="33" s="1"/>
  <c r="K329" i="33"/>
  <c r="L329" i="33" s="1"/>
  <c r="M329" i="33" s="1"/>
  <c r="H330" i="33"/>
  <c r="I330" i="33"/>
  <c r="J330" i="33"/>
  <c r="K330" i="33"/>
  <c r="L330" i="33"/>
  <c r="M330" i="33"/>
  <c r="V330" i="33"/>
  <c r="H331" i="33"/>
  <c r="I331" i="33"/>
  <c r="J331" i="33" s="1"/>
  <c r="K331" i="33"/>
  <c r="L331" i="33" s="1"/>
  <c r="M331" i="33" s="1"/>
  <c r="H332" i="33"/>
  <c r="I332" i="33"/>
  <c r="J332" i="33"/>
  <c r="K332" i="33"/>
  <c r="L332" i="33"/>
  <c r="M332" i="33"/>
  <c r="V332" i="33"/>
  <c r="H333" i="33"/>
  <c r="I333" i="33"/>
  <c r="K333" i="33"/>
  <c r="L333" i="33" s="1"/>
  <c r="M333" i="33" s="1"/>
  <c r="H334" i="33"/>
  <c r="I334" i="33"/>
  <c r="J334" i="33"/>
  <c r="K334" i="33"/>
  <c r="L334" i="33"/>
  <c r="M334" i="33"/>
  <c r="V334" i="33"/>
  <c r="H335" i="33"/>
  <c r="I335" i="33"/>
  <c r="K335" i="33"/>
  <c r="L335" i="33" s="1"/>
  <c r="M335" i="33" s="1"/>
  <c r="H336" i="33"/>
  <c r="I336" i="33"/>
  <c r="J336" i="33"/>
  <c r="K336" i="33"/>
  <c r="L336" i="33"/>
  <c r="M336" i="33"/>
  <c r="V336" i="33"/>
  <c r="H337" i="33"/>
  <c r="I337" i="33"/>
  <c r="K337" i="33"/>
  <c r="L337" i="33" s="1"/>
  <c r="M337" i="33" s="1"/>
  <c r="H338" i="33"/>
  <c r="I338" i="33"/>
  <c r="J338" i="33"/>
  <c r="K338" i="33"/>
  <c r="L338" i="33"/>
  <c r="M338" i="33"/>
  <c r="V338" i="33"/>
  <c r="H339" i="33"/>
  <c r="I339" i="33"/>
  <c r="K339" i="33"/>
  <c r="L339" i="33" s="1"/>
  <c r="M339" i="33" s="1"/>
  <c r="H340" i="33"/>
  <c r="I340" i="33"/>
  <c r="J340" i="33"/>
  <c r="K340" i="33"/>
  <c r="L340" i="33"/>
  <c r="M340" i="33"/>
  <c r="V340" i="33"/>
  <c r="H341" i="33"/>
  <c r="I341" i="33"/>
  <c r="K341" i="33"/>
  <c r="L341" i="33" s="1"/>
  <c r="M341" i="33" s="1"/>
  <c r="H342" i="33"/>
  <c r="I342" i="33"/>
  <c r="J342" i="33"/>
  <c r="K342" i="33"/>
  <c r="L342" i="33"/>
  <c r="M342" i="33"/>
  <c r="V342" i="33"/>
  <c r="H343" i="33"/>
  <c r="I343" i="33"/>
  <c r="K343" i="33"/>
  <c r="L343" i="33"/>
  <c r="M343" i="33" s="1"/>
  <c r="H344" i="33"/>
  <c r="I344" i="33"/>
  <c r="J344" i="33"/>
  <c r="K344" i="33"/>
  <c r="L344" i="33"/>
  <c r="M344" i="33"/>
  <c r="V344" i="33"/>
  <c r="H345" i="33"/>
  <c r="I345" i="33"/>
  <c r="K345" i="33"/>
  <c r="L345" i="33"/>
  <c r="M345" i="33" s="1"/>
  <c r="H346" i="33"/>
  <c r="I346" i="33"/>
  <c r="J346" i="33"/>
  <c r="K346" i="33"/>
  <c r="L346" i="33"/>
  <c r="M346" i="33"/>
  <c r="V346" i="33"/>
  <c r="H347" i="33"/>
  <c r="I347" i="33"/>
  <c r="K347" i="33"/>
  <c r="L347" i="33"/>
  <c r="M347" i="33" s="1"/>
  <c r="H348" i="33"/>
  <c r="I348" i="33"/>
  <c r="J348" i="33"/>
  <c r="K348" i="33"/>
  <c r="L348" i="33"/>
  <c r="M348" i="33"/>
  <c r="V348" i="33"/>
  <c r="H349" i="33"/>
  <c r="I349" i="33"/>
  <c r="K349" i="33"/>
  <c r="L349" i="33"/>
  <c r="M349" i="33" s="1"/>
  <c r="H350" i="33"/>
  <c r="I350" i="33"/>
  <c r="J350" i="33"/>
  <c r="K350" i="33"/>
  <c r="L350" i="33"/>
  <c r="M350" i="33"/>
  <c r="V350" i="33"/>
  <c r="H351" i="33"/>
  <c r="I351" i="33"/>
  <c r="K351" i="33"/>
  <c r="L351" i="33"/>
  <c r="M351" i="33" s="1"/>
  <c r="H352" i="33"/>
  <c r="I352" i="33"/>
  <c r="J352" i="33"/>
  <c r="K352" i="33"/>
  <c r="L352" i="33"/>
  <c r="M352" i="33" s="1"/>
  <c r="V352" i="33"/>
  <c r="H353" i="33"/>
  <c r="I353" i="33"/>
  <c r="K353" i="33"/>
  <c r="L353" i="33"/>
  <c r="M353" i="33" s="1"/>
  <c r="H354" i="33"/>
  <c r="I354" i="33"/>
  <c r="J354" i="33"/>
  <c r="K354" i="33"/>
  <c r="L354" i="33"/>
  <c r="M354" i="33"/>
  <c r="V354" i="33"/>
  <c r="H355" i="33"/>
  <c r="I355" i="33"/>
  <c r="K355" i="33"/>
  <c r="L355" i="33"/>
  <c r="M355" i="33" s="1"/>
  <c r="H356" i="33"/>
  <c r="I356" i="33"/>
  <c r="J356" i="33"/>
  <c r="K356" i="33"/>
  <c r="L356" i="33"/>
  <c r="M356" i="33" s="1"/>
  <c r="V356" i="33"/>
  <c r="H357" i="33"/>
  <c r="I357" i="33"/>
  <c r="K357" i="33"/>
  <c r="L357" i="33"/>
  <c r="M357" i="33" s="1"/>
  <c r="H358" i="33"/>
  <c r="I358" i="33"/>
  <c r="J358" i="33"/>
  <c r="K358" i="33"/>
  <c r="L358" i="33"/>
  <c r="M358" i="33"/>
  <c r="V358" i="33"/>
  <c r="H359" i="33"/>
  <c r="I359" i="33"/>
  <c r="V359" i="33" s="1"/>
  <c r="J359" i="33"/>
  <c r="K359" i="33"/>
  <c r="L359" i="33"/>
  <c r="M359" i="33" s="1"/>
  <c r="H360" i="33"/>
  <c r="I360" i="33"/>
  <c r="J360" i="33"/>
  <c r="K360" i="33"/>
  <c r="L360" i="33"/>
  <c r="M360" i="33"/>
  <c r="V360" i="33"/>
  <c r="H361" i="33"/>
  <c r="I361" i="33"/>
  <c r="V361" i="33" s="1"/>
  <c r="K361" i="33"/>
  <c r="L361" i="33"/>
  <c r="M361" i="33" s="1"/>
  <c r="H362" i="33"/>
  <c r="I362" i="33"/>
  <c r="J362" i="33"/>
  <c r="K362" i="33"/>
  <c r="L362" i="33"/>
  <c r="M362" i="33" s="1"/>
  <c r="V362" i="33"/>
  <c r="H363" i="33"/>
  <c r="I363" i="33"/>
  <c r="V363" i="33" s="1"/>
  <c r="J363" i="33"/>
  <c r="K363" i="33"/>
  <c r="L363" i="33"/>
  <c r="M363" i="33" s="1"/>
  <c r="H364" i="33"/>
  <c r="I364" i="33"/>
  <c r="J364" i="33"/>
  <c r="K364" i="33"/>
  <c r="L364" i="33"/>
  <c r="M364" i="33"/>
  <c r="V364" i="33"/>
  <c r="H365" i="33"/>
  <c r="I365" i="33"/>
  <c r="V365" i="33" s="1"/>
  <c r="J365" i="33"/>
  <c r="K365" i="33"/>
  <c r="L365" i="33"/>
  <c r="M365" i="33" s="1"/>
  <c r="H366" i="33"/>
  <c r="I366" i="33"/>
  <c r="J366" i="33"/>
  <c r="K366" i="33"/>
  <c r="L366" i="33"/>
  <c r="M366" i="33" s="1"/>
  <c r="V366" i="33"/>
  <c r="H367" i="33"/>
  <c r="I367" i="33"/>
  <c r="J367" i="33" s="1"/>
  <c r="K367" i="33"/>
  <c r="L367" i="33" s="1"/>
  <c r="M367" i="33" s="1"/>
  <c r="V367" i="33"/>
  <c r="H368" i="33"/>
  <c r="I368" i="33"/>
  <c r="J368" i="33"/>
  <c r="K368" i="33"/>
  <c r="L368" i="33"/>
  <c r="M368" i="33"/>
  <c r="V368" i="33"/>
  <c r="H369" i="33"/>
  <c r="I369" i="33"/>
  <c r="J369" i="33"/>
  <c r="K369" i="33"/>
  <c r="L369" i="33"/>
  <c r="M369" i="33" s="1"/>
  <c r="V369" i="33"/>
  <c r="H370" i="33"/>
  <c r="I370" i="33"/>
  <c r="J370" i="33"/>
  <c r="K370" i="33"/>
  <c r="L370" i="33"/>
  <c r="M370" i="33" s="1"/>
  <c r="V370" i="33"/>
  <c r="H371" i="33"/>
  <c r="I371" i="33"/>
  <c r="J371" i="33" s="1"/>
  <c r="K371" i="33"/>
  <c r="L371" i="33"/>
  <c r="M371" i="33" s="1"/>
  <c r="V371" i="33"/>
  <c r="H372" i="33"/>
  <c r="I372" i="33"/>
  <c r="J372" i="33"/>
  <c r="K372" i="33"/>
  <c r="L372" i="33"/>
  <c r="M372" i="33"/>
  <c r="V372" i="33"/>
  <c r="H373" i="33"/>
  <c r="I373" i="33"/>
  <c r="J373" i="33"/>
  <c r="K373" i="33"/>
  <c r="L373" i="33"/>
  <c r="M373" i="33" s="1"/>
  <c r="V373" i="33"/>
  <c r="H374" i="33"/>
  <c r="I374" i="33"/>
  <c r="J374" i="33"/>
  <c r="K374" i="33"/>
  <c r="L374" i="33"/>
  <c r="M374" i="33"/>
  <c r="V374" i="33"/>
  <c r="H375" i="33"/>
  <c r="I375" i="33"/>
  <c r="J375" i="33"/>
  <c r="K375" i="33"/>
  <c r="L375" i="33" s="1"/>
  <c r="M375" i="33" s="1"/>
  <c r="V375" i="33"/>
  <c r="H376" i="33"/>
  <c r="I376" i="33"/>
  <c r="J376" i="33"/>
  <c r="K376" i="33"/>
  <c r="L376" i="33"/>
  <c r="M376" i="33"/>
  <c r="V376" i="33"/>
  <c r="H377" i="33"/>
  <c r="I377" i="33"/>
  <c r="J377" i="33"/>
  <c r="K377" i="33"/>
  <c r="L377" i="33"/>
  <c r="M377" i="33" s="1"/>
  <c r="V377" i="33"/>
  <c r="H378" i="33"/>
  <c r="I378" i="33"/>
  <c r="J378" i="33"/>
  <c r="K378" i="33"/>
  <c r="V378" i="33"/>
  <c r="H379" i="33"/>
  <c r="I379" i="33"/>
  <c r="J379" i="33"/>
  <c r="K379" i="33"/>
  <c r="L379" i="33"/>
  <c r="M379" i="33" s="1"/>
  <c r="V379" i="33"/>
  <c r="H380" i="33"/>
  <c r="I380" i="33"/>
  <c r="J380" i="33"/>
  <c r="K380" i="33"/>
  <c r="L380" i="33"/>
  <c r="M380" i="33"/>
  <c r="V380" i="33"/>
  <c r="H381" i="33"/>
  <c r="I381" i="33"/>
  <c r="J381" i="33"/>
  <c r="K381" i="33"/>
  <c r="L381" i="33"/>
  <c r="M381" i="33" s="1"/>
  <c r="V381" i="33"/>
  <c r="H382" i="33"/>
  <c r="I382" i="33"/>
  <c r="J382" i="33"/>
  <c r="K382" i="33"/>
  <c r="L382" i="33" s="1"/>
  <c r="M382" i="33" s="1"/>
  <c r="V382" i="33"/>
  <c r="H383" i="33"/>
  <c r="I383" i="33"/>
  <c r="J383" i="33"/>
  <c r="K383" i="33"/>
  <c r="L383" i="33"/>
  <c r="M383" i="33" s="1"/>
  <c r="V383" i="33"/>
  <c r="H384" i="33"/>
  <c r="I384" i="33"/>
  <c r="J384" i="33"/>
  <c r="K384" i="33"/>
  <c r="L384" i="33" s="1"/>
  <c r="M384" i="33" s="1"/>
  <c r="V384" i="33"/>
  <c r="H385" i="33"/>
  <c r="I385" i="33"/>
  <c r="J385" i="33"/>
  <c r="K385" i="33"/>
  <c r="L385" i="33"/>
  <c r="M385" i="33"/>
  <c r="V385" i="33"/>
  <c r="H386" i="33"/>
  <c r="I386" i="33"/>
  <c r="V386" i="33" s="1"/>
  <c r="J386" i="33"/>
  <c r="K386" i="33"/>
  <c r="L386" i="33"/>
  <c r="M386" i="33" s="1"/>
  <c r="H387" i="33"/>
  <c r="I387" i="33"/>
  <c r="J387" i="33"/>
  <c r="K387" i="33"/>
  <c r="L387" i="33"/>
  <c r="M387" i="33"/>
  <c r="V387" i="33"/>
  <c r="H388" i="33"/>
  <c r="I388" i="33"/>
  <c r="V388" i="33" s="1"/>
  <c r="J388" i="33"/>
  <c r="K388" i="33"/>
  <c r="L388" i="33"/>
  <c r="M388" i="33" s="1"/>
  <c r="H389" i="33"/>
  <c r="I389" i="33"/>
  <c r="J389" i="33"/>
  <c r="K389" i="33"/>
  <c r="L389" i="33"/>
  <c r="M389" i="33"/>
  <c r="V389" i="33"/>
  <c r="H390" i="33"/>
  <c r="I390" i="33"/>
  <c r="V390" i="33" s="1"/>
  <c r="J390" i="33"/>
  <c r="K390" i="33"/>
  <c r="L390" i="33"/>
  <c r="M390" i="33" s="1"/>
  <c r="H391" i="33"/>
  <c r="I391" i="33"/>
  <c r="J391" i="33"/>
  <c r="K391" i="33"/>
  <c r="L391" i="33"/>
  <c r="M391" i="33"/>
  <c r="V391" i="33"/>
  <c r="H392" i="33"/>
  <c r="I392" i="33"/>
  <c r="V392" i="33" s="1"/>
  <c r="J392" i="33"/>
  <c r="K392" i="33"/>
  <c r="L392" i="33"/>
  <c r="M392" i="33" s="1"/>
  <c r="H393" i="33"/>
  <c r="I393" i="33"/>
  <c r="J393" i="33"/>
  <c r="K393" i="33"/>
  <c r="L393" i="33"/>
  <c r="M393" i="33"/>
  <c r="V393" i="33"/>
  <c r="H394" i="33"/>
  <c r="I394" i="33"/>
  <c r="V394" i="33" s="1"/>
  <c r="J394" i="33"/>
  <c r="K394" i="33"/>
  <c r="L394" i="33"/>
  <c r="M394" i="33" s="1"/>
  <c r="H395" i="33"/>
  <c r="I395" i="33"/>
  <c r="J395" i="33"/>
  <c r="K395" i="33"/>
  <c r="L395" i="33"/>
  <c r="M395" i="33"/>
  <c r="V395" i="33"/>
  <c r="H396" i="33"/>
  <c r="I396" i="33"/>
  <c r="V396" i="33" s="1"/>
  <c r="J396" i="33"/>
  <c r="K396" i="33"/>
  <c r="L396" i="33"/>
  <c r="M396" i="33" s="1"/>
  <c r="H397" i="33"/>
  <c r="I397" i="33"/>
  <c r="J397" i="33"/>
  <c r="K397" i="33"/>
  <c r="L397" i="33"/>
  <c r="M397" i="33"/>
  <c r="V397" i="33"/>
  <c r="H398" i="33"/>
  <c r="I398" i="33"/>
  <c r="V398" i="33" s="1"/>
  <c r="J398" i="33"/>
  <c r="K398" i="33"/>
  <c r="L398" i="33"/>
  <c r="M398" i="33" s="1"/>
  <c r="H399" i="33"/>
  <c r="I399" i="33"/>
  <c r="J399" i="33"/>
  <c r="K399" i="33"/>
  <c r="L399" i="33"/>
  <c r="M399" i="33"/>
  <c r="V399" i="33"/>
  <c r="H400" i="33"/>
  <c r="I400" i="33"/>
  <c r="V400" i="33" s="1"/>
  <c r="J400" i="33"/>
  <c r="K400" i="33"/>
  <c r="L400" i="33"/>
  <c r="M400" i="33" s="1"/>
  <c r="H401" i="33"/>
  <c r="I401" i="33"/>
  <c r="J401" i="33"/>
  <c r="K401" i="33"/>
  <c r="L401" i="33"/>
  <c r="M401" i="33"/>
  <c r="V401" i="33"/>
  <c r="H402" i="33"/>
  <c r="I402" i="33"/>
  <c r="V402" i="33" s="1"/>
  <c r="J402" i="33"/>
  <c r="K402" i="33"/>
  <c r="L402" i="33"/>
  <c r="M402" i="33" s="1"/>
  <c r="H403" i="33"/>
  <c r="I403" i="33"/>
  <c r="J403" i="33"/>
  <c r="K403" i="33"/>
  <c r="L403" i="33"/>
  <c r="M403" i="33"/>
  <c r="V403" i="33"/>
  <c r="H404" i="33"/>
  <c r="I404" i="33"/>
  <c r="V404" i="33" s="1"/>
  <c r="J404" i="33"/>
  <c r="K404" i="33"/>
  <c r="L404" i="33"/>
  <c r="M404" i="33" s="1"/>
  <c r="H405" i="33"/>
  <c r="I405" i="33"/>
  <c r="J405" i="33"/>
  <c r="K405" i="33"/>
  <c r="L405" i="33"/>
  <c r="M405" i="33"/>
  <c r="V405" i="33"/>
  <c r="H406" i="33"/>
  <c r="I406" i="33"/>
  <c r="V406" i="33" s="1"/>
  <c r="K406" i="33"/>
  <c r="L406" i="33"/>
  <c r="M406" i="33" s="1"/>
  <c r="H407" i="33"/>
  <c r="I407" i="33"/>
  <c r="J407" i="33"/>
  <c r="K407" i="33"/>
  <c r="L407" i="33"/>
  <c r="M407" i="33"/>
  <c r="V407" i="33"/>
  <c r="H408" i="33"/>
  <c r="I408" i="33"/>
  <c r="V408" i="33" s="1"/>
  <c r="K408" i="33"/>
  <c r="L408" i="33"/>
  <c r="M408" i="33" s="1"/>
  <c r="H409" i="33"/>
  <c r="I409" i="33"/>
  <c r="J409" i="33"/>
  <c r="K409" i="33"/>
  <c r="L409" i="33"/>
  <c r="M409" i="33"/>
  <c r="V409" i="33"/>
  <c r="H410" i="33"/>
  <c r="I410" i="33"/>
  <c r="V410" i="33" s="1"/>
  <c r="K410" i="33"/>
  <c r="L410" i="33"/>
  <c r="M410" i="33" s="1"/>
  <c r="H411" i="33"/>
  <c r="I411" i="33"/>
  <c r="J411" i="33"/>
  <c r="K411" i="33"/>
  <c r="L411" i="33"/>
  <c r="M411" i="33"/>
  <c r="V411" i="33"/>
  <c r="H412" i="33"/>
  <c r="I412" i="33"/>
  <c r="V412" i="33" s="1"/>
  <c r="K412" i="33"/>
  <c r="L412" i="33"/>
  <c r="M412" i="33" s="1"/>
  <c r="H413" i="33"/>
  <c r="I413" i="33"/>
  <c r="J413" i="33"/>
  <c r="K413" i="33"/>
  <c r="L413" i="33"/>
  <c r="M413" i="33"/>
  <c r="V413" i="33"/>
  <c r="H414" i="33"/>
  <c r="I414" i="33"/>
  <c r="V414" i="33" s="1"/>
  <c r="K414" i="33"/>
  <c r="L414" i="33"/>
  <c r="M414" i="33" s="1"/>
  <c r="H415" i="33"/>
  <c r="I415" i="33"/>
  <c r="J415" i="33"/>
  <c r="K415" i="33"/>
  <c r="L415" i="33"/>
  <c r="M415" i="33" s="1"/>
  <c r="V415" i="33"/>
  <c r="H416" i="33"/>
  <c r="I416" i="33"/>
  <c r="V416" i="33" s="1"/>
  <c r="J416" i="33"/>
  <c r="K416" i="33"/>
  <c r="L416" i="33"/>
  <c r="M416" i="33" s="1"/>
  <c r="H417" i="33"/>
  <c r="I417" i="33"/>
  <c r="J417" i="33"/>
  <c r="K417" i="33"/>
  <c r="L417" i="33"/>
  <c r="M417" i="33" s="1"/>
  <c r="V417" i="33"/>
  <c r="H418" i="33"/>
  <c r="I418" i="33"/>
  <c r="V418" i="33" s="1"/>
  <c r="J418" i="33"/>
  <c r="K418" i="33"/>
  <c r="L418" i="33"/>
  <c r="M418" i="33" s="1"/>
  <c r="H419" i="33"/>
  <c r="I419" i="33"/>
  <c r="J419" i="33"/>
  <c r="K419" i="33"/>
  <c r="L419" i="33"/>
  <c r="M419" i="33"/>
  <c r="V419" i="33"/>
  <c r="H420" i="33"/>
  <c r="I420" i="33"/>
  <c r="V420" i="33" s="1"/>
  <c r="J420" i="33"/>
  <c r="K420" i="33"/>
  <c r="L420" i="33"/>
  <c r="M420" i="33" s="1"/>
  <c r="H421" i="33"/>
  <c r="I421" i="33"/>
  <c r="J421" i="33"/>
  <c r="K421" i="33"/>
  <c r="L421" i="33"/>
  <c r="M421" i="33"/>
  <c r="V421" i="33"/>
  <c r="H422" i="33"/>
  <c r="I422" i="33"/>
  <c r="V422" i="33" s="1"/>
  <c r="K422" i="33"/>
  <c r="L422" i="33"/>
  <c r="M422" i="33" s="1"/>
  <c r="H423" i="33"/>
  <c r="I423" i="33"/>
  <c r="J423" i="33"/>
  <c r="K423" i="33"/>
  <c r="L423" i="33"/>
  <c r="M423" i="33" s="1"/>
  <c r="V423" i="33"/>
  <c r="H424" i="33"/>
  <c r="I424" i="33"/>
  <c r="J424" i="33" s="1"/>
  <c r="K424" i="33"/>
  <c r="V424" i="33"/>
  <c r="H425" i="33"/>
  <c r="I425" i="33"/>
  <c r="J425" i="33"/>
  <c r="K425" i="33"/>
  <c r="L425" i="33"/>
  <c r="M425" i="33"/>
  <c r="V425" i="33"/>
  <c r="H426" i="33"/>
  <c r="I426" i="33"/>
  <c r="J426" i="33"/>
  <c r="K426" i="33"/>
  <c r="V426" i="33"/>
  <c r="H427" i="33"/>
  <c r="I427" i="33"/>
  <c r="J427" i="33"/>
  <c r="K427" i="33"/>
  <c r="L427" i="33"/>
  <c r="M427" i="33" s="1"/>
  <c r="V427" i="33"/>
  <c r="H428" i="33"/>
  <c r="I428" i="33"/>
  <c r="K428" i="33"/>
  <c r="L428" i="33" s="1"/>
  <c r="M428" i="33" s="1"/>
  <c r="H429" i="33"/>
  <c r="I429" i="33"/>
  <c r="J429" i="33"/>
  <c r="K429" i="33"/>
  <c r="L429" i="33"/>
  <c r="M429" i="33" s="1"/>
  <c r="V429" i="33"/>
  <c r="H430" i="33"/>
  <c r="I430" i="33"/>
  <c r="J430" i="33" s="1"/>
  <c r="K430" i="33"/>
  <c r="L430" i="33"/>
  <c r="M430" i="33" s="1"/>
  <c r="V430" i="33"/>
  <c r="H431" i="33"/>
  <c r="I431" i="33"/>
  <c r="J431" i="33"/>
  <c r="K431" i="33"/>
  <c r="L431" i="33" s="1"/>
  <c r="M431" i="33" s="1"/>
  <c r="V431" i="33"/>
  <c r="H432" i="33"/>
  <c r="I432" i="33"/>
  <c r="J432" i="33" s="1"/>
  <c r="K432" i="33"/>
  <c r="L432" i="33"/>
  <c r="M432" i="33" s="1"/>
  <c r="H433" i="33"/>
  <c r="I433" i="33"/>
  <c r="J433" i="33"/>
  <c r="K433" i="33"/>
  <c r="L433" i="33"/>
  <c r="M433" i="33" s="1"/>
  <c r="V433" i="33"/>
  <c r="H434" i="33"/>
  <c r="I434" i="33"/>
  <c r="K434" i="33"/>
  <c r="L434" i="33" s="1"/>
  <c r="M434" i="33" s="1"/>
  <c r="H435" i="33"/>
  <c r="I435" i="33"/>
  <c r="J435" i="33"/>
  <c r="K435" i="33"/>
  <c r="L435" i="33" s="1"/>
  <c r="M435" i="33" s="1"/>
  <c r="V435" i="33"/>
  <c r="H436" i="33"/>
  <c r="I436" i="33"/>
  <c r="J436" i="33" s="1"/>
  <c r="K436" i="33"/>
  <c r="L436" i="33"/>
  <c r="M436" i="33" s="1"/>
  <c r="H437" i="33"/>
  <c r="I437" i="33"/>
  <c r="J437" i="33"/>
  <c r="K437" i="33"/>
  <c r="L437" i="33"/>
  <c r="M437" i="33"/>
  <c r="V437" i="33"/>
  <c r="H438" i="33"/>
  <c r="I438" i="33"/>
  <c r="J438" i="33"/>
  <c r="K438" i="33"/>
  <c r="L438" i="33" s="1"/>
  <c r="M438" i="33" s="1"/>
  <c r="V438" i="33"/>
  <c r="H439" i="33"/>
  <c r="I439" i="33"/>
  <c r="J439" i="33"/>
  <c r="K439" i="33"/>
  <c r="L439" i="33" s="1"/>
  <c r="M439" i="33" s="1"/>
  <c r="V439" i="33"/>
  <c r="H440" i="33"/>
  <c r="I440" i="33"/>
  <c r="J440" i="33"/>
  <c r="K440" i="33"/>
  <c r="L440" i="33" s="1"/>
  <c r="M440" i="33" s="1"/>
  <c r="V440" i="33"/>
  <c r="H441" i="33"/>
  <c r="I441" i="33"/>
  <c r="J441" i="33"/>
  <c r="K441" i="33"/>
  <c r="V441" i="33"/>
  <c r="H442" i="33"/>
  <c r="I442" i="33"/>
  <c r="J442" i="33"/>
  <c r="K442" i="33"/>
  <c r="V442" i="33"/>
  <c r="H443" i="33"/>
  <c r="I443" i="33"/>
  <c r="J443" i="33"/>
  <c r="K443" i="33"/>
  <c r="L443" i="33" s="1"/>
  <c r="M443" i="33" s="1"/>
  <c r="V443" i="33"/>
  <c r="H444" i="33"/>
  <c r="I444" i="33"/>
  <c r="J444" i="33"/>
  <c r="K444" i="33"/>
  <c r="L444" i="33" s="1"/>
  <c r="M444" i="33" s="1"/>
  <c r="V444" i="33"/>
  <c r="H445" i="33"/>
  <c r="I445" i="33"/>
  <c r="J445" i="33"/>
  <c r="K445" i="33"/>
  <c r="L445" i="33" s="1"/>
  <c r="M445" i="33" s="1"/>
  <c r="V445" i="33"/>
  <c r="H446" i="33"/>
  <c r="I446" i="33"/>
  <c r="J446" i="33"/>
  <c r="K446" i="33"/>
  <c r="L446" i="33" s="1"/>
  <c r="M446" i="33" s="1"/>
  <c r="V446" i="33"/>
  <c r="H447" i="33"/>
  <c r="I447" i="33"/>
  <c r="J447" i="33"/>
  <c r="K447" i="33"/>
  <c r="L447" i="33" s="1"/>
  <c r="M447" i="33" s="1"/>
  <c r="V447" i="33"/>
  <c r="H448" i="33"/>
  <c r="I448" i="33"/>
  <c r="J448" i="33"/>
  <c r="K448" i="33"/>
  <c r="L448" i="33" s="1"/>
  <c r="M448" i="33" s="1"/>
  <c r="V448" i="33"/>
  <c r="H449" i="33"/>
  <c r="I449" i="33"/>
  <c r="J449" i="33"/>
  <c r="K449" i="33"/>
  <c r="V449" i="33"/>
  <c r="H450" i="33"/>
  <c r="I450" i="33"/>
  <c r="J450" i="33"/>
  <c r="K450" i="33"/>
  <c r="V450" i="33"/>
  <c r="H451" i="33"/>
  <c r="I451" i="33"/>
  <c r="J451" i="33"/>
  <c r="K451" i="33"/>
  <c r="L451" i="33" s="1"/>
  <c r="M451" i="33" s="1"/>
  <c r="V451" i="33"/>
  <c r="H452" i="33"/>
  <c r="I452" i="33"/>
  <c r="J452" i="33"/>
  <c r="K452" i="33"/>
  <c r="L452" i="33" s="1"/>
  <c r="M452" i="33" s="1"/>
  <c r="V452" i="33"/>
  <c r="H453" i="33"/>
  <c r="I453" i="33"/>
  <c r="J453" i="33"/>
  <c r="K453" i="33"/>
  <c r="L453" i="33" s="1"/>
  <c r="M453" i="33" s="1"/>
  <c r="V453" i="33"/>
  <c r="H454" i="33"/>
  <c r="I454" i="33"/>
  <c r="J454" i="33"/>
  <c r="K454" i="33"/>
  <c r="L454" i="33" s="1"/>
  <c r="M454" i="33" s="1"/>
  <c r="V454" i="33"/>
  <c r="H455" i="33"/>
  <c r="I455" i="33"/>
  <c r="J455" i="33"/>
  <c r="K455" i="33"/>
  <c r="L455" i="33" s="1"/>
  <c r="M455" i="33" s="1"/>
  <c r="V455" i="33"/>
  <c r="H456" i="33"/>
  <c r="I456" i="33"/>
  <c r="J456" i="33"/>
  <c r="K456" i="33"/>
  <c r="L456" i="33" s="1"/>
  <c r="M456" i="33" s="1"/>
  <c r="V456" i="33"/>
  <c r="H457" i="33"/>
  <c r="I457" i="33"/>
  <c r="J457" i="33"/>
  <c r="K457" i="33"/>
  <c r="V457" i="33"/>
  <c r="H458" i="33"/>
  <c r="I458" i="33"/>
  <c r="J458" i="33"/>
  <c r="K458" i="33"/>
  <c r="V458" i="33"/>
  <c r="H459" i="33"/>
  <c r="I459" i="33"/>
  <c r="J459" i="33"/>
  <c r="K459" i="33"/>
  <c r="L459" i="33" s="1"/>
  <c r="M459" i="33" s="1"/>
  <c r="V459" i="33"/>
  <c r="H460" i="33"/>
  <c r="I460" i="33"/>
  <c r="J460" i="33"/>
  <c r="K460" i="33"/>
  <c r="L460" i="33" s="1"/>
  <c r="M460" i="33" s="1"/>
  <c r="V460" i="33"/>
  <c r="H461" i="33"/>
  <c r="I461" i="33"/>
  <c r="J461" i="33"/>
  <c r="K461" i="33"/>
  <c r="L461" i="33" s="1"/>
  <c r="M461" i="33" s="1"/>
  <c r="V461" i="33"/>
  <c r="H462" i="33"/>
  <c r="I462" i="33"/>
  <c r="J462" i="33"/>
  <c r="K462" i="33"/>
  <c r="L462" i="33" s="1"/>
  <c r="M462" i="33" s="1"/>
  <c r="V462" i="33"/>
  <c r="H463" i="33"/>
  <c r="I463" i="33"/>
  <c r="J463" i="33"/>
  <c r="K463" i="33"/>
  <c r="L463" i="33" s="1"/>
  <c r="M463" i="33" s="1"/>
  <c r="V463" i="33"/>
  <c r="H464" i="33"/>
  <c r="I464" i="33"/>
  <c r="J464" i="33"/>
  <c r="K464" i="33"/>
  <c r="L464" i="33" s="1"/>
  <c r="M464" i="33" s="1"/>
  <c r="V464" i="33"/>
  <c r="H465" i="33"/>
  <c r="I465" i="33"/>
  <c r="J465" i="33"/>
  <c r="K465" i="33"/>
  <c r="V465" i="33"/>
  <c r="H466" i="33"/>
  <c r="I466" i="33"/>
  <c r="J466" i="33"/>
  <c r="K466" i="33"/>
  <c r="V466" i="33"/>
  <c r="H467" i="33"/>
  <c r="I467" i="33"/>
  <c r="J467" i="33"/>
  <c r="K467" i="33"/>
  <c r="L467" i="33" s="1"/>
  <c r="M467" i="33" s="1"/>
  <c r="V467" i="33"/>
  <c r="H468" i="33"/>
  <c r="I468" i="33"/>
  <c r="J468" i="33"/>
  <c r="K468" i="33"/>
  <c r="L468" i="33" s="1"/>
  <c r="M468" i="33" s="1"/>
  <c r="V468" i="33"/>
  <c r="H469" i="33"/>
  <c r="I469" i="33"/>
  <c r="J469" i="33"/>
  <c r="K469" i="33"/>
  <c r="L469" i="33" s="1"/>
  <c r="M469" i="33" s="1"/>
  <c r="V469" i="33"/>
  <c r="H470" i="33"/>
  <c r="I470" i="33"/>
  <c r="J470" i="33"/>
  <c r="K470" i="33"/>
  <c r="L470" i="33"/>
  <c r="M470" i="33" s="1"/>
  <c r="V470" i="33"/>
  <c r="H471" i="33"/>
  <c r="I471" i="33"/>
  <c r="J471" i="33"/>
  <c r="K471" i="33"/>
  <c r="V471" i="33"/>
  <c r="H472" i="33"/>
  <c r="I472" i="33"/>
  <c r="J472" i="33"/>
  <c r="K472" i="33"/>
  <c r="L472" i="33" s="1"/>
  <c r="M472" i="33"/>
  <c r="V472" i="33"/>
  <c r="H473" i="33"/>
  <c r="I473" i="33"/>
  <c r="J473" i="33"/>
  <c r="K473" i="33"/>
  <c r="L473" i="33"/>
  <c r="M473" i="33" s="1"/>
  <c r="V473" i="33"/>
  <c r="H474" i="33"/>
  <c r="I474" i="33"/>
  <c r="J474" i="33"/>
  <c r="K474" i="33"/>
  <c r="L474" i="33"/>
  <c r="M474" i="33" s="1"/>
  <c r="V474" i="33"/>
  <c r="H475" i="33"/>
  <c r="I475" i="33"/>
  <c r="J475" i="33" s="1"/>
  <c r="K475" i="33"/>
  <c r="L475" i="33"/>
  <c r="M475" i="33" s="1"/>
  <c r="H476" i="33"/>
  <c r="I476" i="33"/>
  <c r="J476" i="33"/>
  <c r="K476" i="33"/>
  <c r="L476" i="33"/>
  <c r="M476" i="33" s="1"/>
  <c r="V476" i="33"/>
  <c r="H477" i="33"/>
  <c r="I477" i="33"/>
  <c r="K477" i="33"/>
  <c r="L477" i="33" s="1"/>
  <c r="M477" i="33" s="1"/>
  <c r="H478" i="33"/>
  <c r="I478" i="33"/>
  <c r="J478" i="33"/>
  <c r="K478" i="33"/>
  <c r="V478" i="33"/>
  <c r="H479" i="33"/>
  <c r="I479" i="33"/>
  <c r="J479" i="33"/>
  <c r="K479" i="33"/>
  <c r="V479" i="33"/>
  <c r="H480" i="33"/>
  <c r="I480" i="33"/>
  <c r="J480" i="33"/>
  <c r="K480" i="33"/>
  <c r="L480" i="33" s="1"/>
  <c r="M480" i="33" s="1"/>
  <c r="V480" i="33"/>
  <c r="H481" i="33"/>
  <c r="I481" i="33"/>
  <c r="J481" i="33"/>
  <c r="K481" i="33"/>
  <c r="L481" i="33"/>
  <c r="M481" i="33" s="1"/>
  <c r="V481" i="33"/>
  <c r="H482" i="33"/>
  <c r="I482" i="33"/>
  <c r="J482" i="33"/>
  <c r="K482" i="33"/>
  <c r="L482" i="33"/>
  <c r="M482" i="33" s="1"/>
  <c r="V482" i="33"/>
  <c r="H483" i="33"/>
  <c r="I483" i="33"/>
  <c r="J483" i="33" s="1"/>
  <c r="K483" i="33"/>
  <c r="L483" i="33"/>
  <c r="M483" i="33" s="1"/>
  <c r="H484" i="33"/>
  <c r="I484" i="33"/>
  <c r="J484" i="33"/>
  <c r="K484" i="33"/>
  <c r="L484" i="33" s="1"/>
  <c r="M484" i="33" s="1"/>
  <c r="V484" i="33"/>
  <c r="H485" i="33"/>
  <c r="I485" i="33"/>
  <c r="K485" i="33"/>
  <c r="L485" i="33" s="1"/>
  <c r="M485" i="33" s="1"/>
  <c r="H486" i="33"/>
  <c r="I486" i="33"/>
  <c r="J486" i="33"/>
  <c r="K486" i="33"/>
  <c r="V486" i="33"/>
  <c r="H487" i="33"/>
  <c r="I487" i="33"/>
  <c r="J487" i="33"/>
  <c r="K487" i="33"/>
  <c r="V487" i="33"/>
  <c r="H488" i="33"/>
  <c r="I488" i="33"/>
  <c r="J488" i="33"/>
  <c r="K488" i="33"/>
  <c r="L488" i="33" s="1"/>
  <c r="M488" i="33"/>
  <c r="V488" i="33"/>
  <c r="H489" i="33"/>
  <c r="I489" i="33"/>
  <c r="J489" i="33"/>
  <c r="K489" i="33"/>
  <c r="L489" i="33"/>
  <c r="M489" i="33" s="1"/>
  <c r="V489" i="33"/>
  <c r="H490" i="33"/>
  <c r="I490" i="33"/>
  <c r="J490" i="33"/>
  <c r="K490" i="33"/>
  <c r="L490" i="33"/>
  <c r="M490" i="33" s="1"/>
  <c r="V490" i="33"/>
  <c r="H491" i="33"/>
  <c r="I491" i="33"/>
  <c r="J491" i="33" s="1"/>
  <c r="K491" i="33"/>
  <c r="L491" i="33"/>
  <c r="M491" i="33" s="1"/>
  <c r="H492" i="33"/>
  <c r="I492" i="33"/>
  <c r="J492" i="33"/>
  <c r="K492" i="33"/>
  <c r="L492" i="33"/>
  <c r="M492" i="33" s="1"/>
  <c r="V492" i="33"/>
  <c r="H493" i="33"/>
  <c r="I493" i="33"/>
  <c r="K493" i="33"/>
  <c r="L493" i="33" s="1"/>
  <c r="M493" i="33" s="1"/>
  <c r="H494" i="33"/>
  <c r="I494" i="33"/>
  <c r="J494" i="33"/>
  <c r="K494" i="33"/>
  <c r="V494" i="33"/>
  <c r="H495" i="33"/>
  <c r="I495" i="33"/>
  <c r="J495" i="33"/>
  <c r="K495" i="33"/>
  <c r="V495" i="33"/>
  <c r="H496" i="33"/>
  <c r="I496" i="33"/>
  <c r="J496" i="33"/>
  <c r="K496" i="33"/>
  <c r="L496" i="33"/>
  <c r="M496" i="33"/>
  <c r="V496" i="33"/>
  <c r="H497" i="33"/>
  <c r="I497" i="33"/>
  <c r="J497" i="33"/>
  <c r="K497" i="33"/>
  <c r="L497" i="33"/>
  <c r="M497" i="33" s="1"/>
  <c r="V497" i="33"/>
  <c r="H498" i="33"/>
  <c r="I498" i="33"/>
  <c r="J498" i="33"/>
  <c r="K498" i="33"/>
  <c r="L498" i="33"/>
  <c r="M498" i="33" s="1"/>
  <c r="V498" i="33"/>
  <c r="H499" i="33"/>
  <c r="I499" i="33"/>
  <c r="J499" i="33" s="1"/>
  <c r="K499" i="33"/>
  <c r="L499" i="33"/>
  <c r="M499" i="33" s="1"/>
  <c r="H500" i="33"/>
  <c r="I500" i="33"/>
  <c r="J500" i="33"/>
  <c r="K500" i="33"/>
  <c r="L500" i="33"/>
  <c r="M500" i="33" s="1"/>
  <c r="V500" i="33"/>
  <c r="H501" i="33"/>
  <c r="I501" i="33"/>
  <c r="K501" i="33"/>
  <c r="L501" i="33" s="1"/>
  <c r="M501" i="33" s="1"/>
  <c r="H502" i="33"/>
  <c r="I502" i="33"/>
  <c r="J502" i="33"/>
  <c r="K502" i="33"/>
  <c r="L502" i="33"/>
  <c r="M502" i="33" s="1"/>
  <c r="V502" i="33"/>
  <c r="H503" i="33"/>
  <c r="I503" i="33"/>
  <c r="K503" i="33"/>
  <c r="L503" i="33" s="1"/>
  <c r="M503" i="33" s="1"/>
  <c r="H504" i="33"/>
  <c r="I504" i="33"/>
  <c r="J504" i="33"/>
  <c r="K504" i="33"/>
  <c r="L504" i="33"/>
  <c r="M504" i="33" s="1"/>
  <c r="V504" i="33"/>
  <c r="H505" i="33"/>
  <c r="I505" i="33"/>
  <c r="K505" i="33"/>
  <c r="L505" i="33" s="1"/>
  <c r="M505" i="33" s="1"/>
  <c r="H506" i="33"/>
  <c r="I506" i="33"/>
  <c r="J506" i="33"/>
  <c r="K506" i="33"/>
  <c r="L506" i="33"/>
  <c r="M506" i="33"/>
  <c r="V506" i="33"/>
  <c r="H507" i="33"/>
  <c r="I507" i="33"/>
  <c r="K507" i="33"/>
  <c r="L507" i="33" s="1"/>
  <c r="M507" i="33" s="1"/>
  <c r="H508" i="33"/>
  <c r="I508" i="33"/>
  <c r="J508" i="33"/>
  <c r="K508" i="33"/>
  <c r="L508" i="33"/>
  <c r="M508" i="33"/>
  <c r="V508" i="33"/>
  <c r="H509" i="33"/>
  <c r="I509" i="33"/>
  <c r="K509" i="33"/>
  <c r="L509" i="33" s="1"/>
  <c r="M509" i="33" s="1"/>
  <c r="H510" i="33"/>
  <c r="I510" i="33"/>
  <c r="J510" i="33"/>
  <c r="K510" i="33"/>
  <c r="L510" i="33"/>
  <c r="M510" i="33" s="1"/>
  <c r="V510" i="33"/>
  <c r="H511" i="33"/>
  <c r="I511" i="33"/>
  <c r="K511" i="33"/>
  <c r="L511" i="33" s="1"/>
  <c r="M511" i="33" s="1"/>
  <c r="H512" i="33"/>
  <c r="I512" i="33"/>
  <c r="J512" i="33"/>
  <c r="K512" i="33"/>
  <c r="L512" i="33"/>
  <c r="M512" i="33" s="1"/>
  <c r="V512" i="33"/>
  <c r="H513" i="33"/>
  <c r="I513" i="33"/>
  <c r="K513" i="33"/>
  <c r="L513" i="33" s="1"/>
  <c r="M513" i="33" s="1"/>
  <c r="H514" i="33"/>
  <c r="I514" i="33"/>
  <c r="J514" i="33"/>
  <c r="K514" i="33"/>
  <c r="L514" i="33"/>
  <c r="M514" i="33"/>
  <c r="V514" i="33"/>
  <c r="H515" i="33"/>
  <c r="I515" i="33"/>
  <c r="K515" i="33"/>
  <c r="L515" i="33" s="1"/>
  <c r="M515" i="33" s="1"/>
  <c r="H516" i="33"/>
  <c r="I516" i="33"/>
  <c r="J516" i="33"/>
  <c r="K516" i="33"/>
  <c r="L516" i="33"/>
  <c r="M516" i="33"/>
  <c r="V516" i="33"/>
  <c r="H517" i="33"/>
  <c r="I517" i="33"/>
  <c r="K517" i="33"/>
  <c r="L517" i="33" s="1"/>
  <c r="M517" i="33" s="1"/>
  <c r="H518" i="33"/>
  <c r="I518" i="33"/>
  <c r="J518" i="33"/>
  <c r="K518" i="33"/>
  <c r="L518" i="33"/>
  <c r="M518" i="33" s="1"/>
  <c r="V518" i="33"/>
  <c r="H519" i="33"/>
  <c r="I519" i="33"/>
  <c r="K519" i="33"/>
  <c r="L519" i="33" s="1"/>
  <c r="M519" i="33" s="1"/>
  <c r="H520" i="33"/>
  <c r="I520" i="33"/>
  <c r="J520" i="33"/>
  <c r="K520" i="33"/>
  <c r="L520" i="33"/>
  <c r="M520" i="33" s="1"/>
  <c r="V520" i="33"/>
  <c r="H521" i="33"/>
  <c r="I521" i="33"/>
  <c r="K521" i="33"/>
  <c r="L521" i="33" s="1"/>
  <c r="M521" i="33" s="1"/>
  <c r="H522" i="33"/>
  <c r="I522" i="33"/>
  <c r="J522" i="33"/>
  <c r="K522" i="33"/>
  <c r="L522" i="33"/>
  <c r="M522" i="33"/>
  <c r="V522" i="33"/>
  <c r="H523" i="33"/>
  <c r="I523" i="33"/>
  <c r="K523" i="33"/>
  <c r="L523" i="33" s="1"/>
  <c r="M523" i="33" s="1"/>
  <c r="H524" i="33"/>
  <c r="I524" i="33"/>
  <c r="J524" i="33"/>
  <c r="K524" i="33"/>
  <c r="L524" i="33"/>
  <c r="M524" i="33"/>
  <c r="V524" i="33"/>
  <c r="H525" i="33"/>
  <c r="I525" i="33"/>
  <c r="K525" i="33"/>
  <c r="L525" i="33" s="1"/>
  <c r="M525" i="33" s="1"/>
  <c r="H526" i="33"/>
  <c r="I526" i="33"/>
  <c r="J526" i="33"/>
  <c r="K526" i="33"/>
  <c r="L526" i="33"/>
  <c r="M526" i="33" s="1"/>
  <c r="V526" i="33"/>
  <c r="H527" i="33"/>
  <c r="I527" i="33"/>
  <c r="K527" i="33"/>
  <c r="L527" i="33" s="1"/>
  <c r="M527" i="33" s="1"/>
  <c r="H528" i="33"/>
  <c r="I528" i="33"/>
  <c r="J528" i="33"/>
  <c r="K528" i="33"/>
  <c r="V528" i="33"/>
  <c r="H529" i="33"/>
  <c r="I529" i="33"/>
  <c r="K529" i="33"/>
  <c r="L529" i="33" s="1"/>
  <c r="M529" i="33" s="1"/>
  <c r="H530" i="33"/>
  <c r="I530" i="33"/>
  <c r="J530" i="33"/>
  <c r="K530" i="33"/>
  <c r="L530" i="33"/>
  <c r="M530" i="33" s="1"/>
  <c r="V530" i="33"/>
  <c r="H531" i="33"/>
  <c r="I531" i="33"/>
  <c r="K531" i="33"/>
  <c r="L531" i="33" s="1"/>
  <c r="M531" i="33" s="1"/>
  <c r="H532" i="33"/>
  <c r="I532" i="33"/>
  <c r="J532" i="33"/>
  <c r="K532" i="33"/>
  <c r="L532" i="33"/>
  <c r="M532" i="33"/>
  <c r="V532" i="33"/>
  <c r="H533" i="33"/>
  <c r="I533" i="33"/>
  <c r="K533" i="33"/>
  <c r="L533" i="33" s="1"/>
  <c r="M533" i="33" s="1"/>
  <c r="H534" i="33"/>
  <c r="I534" i="33"/>
  <c r="J534" i="33"/>
  <c r="K534" i="33"/>
  <c r="L534" i="33" s="1"/>
  <c r="M534" i="33" s="1"/>
  <c r="V534" i="33"/>
  <c r="H535" i="33"/>
  <c r="I535" i="33"/>
  <c r="K535" i="33"/>
  <c r="L535" i="33" s="1"/>
  <c r="M535" i="33" s="1"/>
  <c r="H536" i="33"/>
  <c r="I536" i="33"/>
  <c r="J536" i="33"/>
  <c r="K536" i="33"/>
  <c r="L536" i="33"/>
  <c r="M536" i="33" s="1"/>
  <c r="V536" i="33"/>
  <c r="H537" i="33"/>
  <c r="I537" i="33"/>
  <c r="K537" i="33"/>
  <c r="L537" i="33" s="1"/>
  <c r="M537" i="33" s="1"/>
  <c r="H538" i="33"/>
  <c r="I538" i="33"/>
  <c r="J538" i="33"/>
  <c r="K538" i="33"/>
  <c r="L538" i="33"/>
  <c r="M538" i="33"/>
  <c r="V538" i="33"/>
  <c r="H539" i="33"/>
  <c r="I539" i="33"/>
  <c r="K539" i="33"/>
  <c r="L539" i="33" s="1"/>
  <c r="M539" i="33" s="1"/>
  <c r="H540" i="33"/>
  <c r="I540" i="33"/>
  <c r="J540" i="33"/>
  <c r="K540" i="33"/>
  <c r="L540" i="33" s="1"/>
  <c r="M540" i="33" s="1"/>
  <c r="V540" i="33"/>
  <c r="H541" i="33"/>
  <c r="I541" i="33"/>
  <c r="K541" i="33"/>
  <c r="L541" i="33" s="1"/>
  <c r="M541" i="33" s="1"/>
  <c r="H542" i="33"/>
  <c r="I542" i="33"/>
  <c r="J542" i="33"/>
  <c r="K542" i="33"/>
  <c r="L542" i="33"/>
  <c r="M542" i="33" s="1"/>
  <c r="V542"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152" i="33"/>
  <c r="H153" i="33"/>
  <c r="H154" i="33"/>
  <c r="H155" i="33"/>
  <c r="H156" i="33"/>
  <c r="H157" i="33"/>
  <c r="H158" i="33"/>
  <c r="H159" i="33"/>
  <c r="H160" i="33"/>
  <c r="H161" i="33"/>
  <c r="H162" i="33"/>
  <c r="H163" i="33"/>
  <c r="H164" i="33"/>
  <c r="H165" i="33"/>
  <c r="H166" i="33"/>
  <c r="H167" i="33"/>
  <c r="H168" i="33"/>
  <c r="H169" i="33"/>
  <c r="H170" i="33"/>
  <c r="H171" i="33"/>
  <c r="H172" i="33"/>
  <c r="H173" i="33"/>
  <c r="H174" i="33"/>
  <c r="H175" i="33"/>
  <c r="H176" i="33"/>
  <c r="H177" i="33"/>
  <c r="H178" i="33"/>
  <c r="H179" i="33"/>
  <c r="H180" i="33"/>
  <c r="H181" i="33"/>
  <c r="H182" i="33"/>
  <c r="H183" i="33"/>
  <c r="H184" i="33"/>
  <c r="H185" i="33"/>
  <c r="H186" i="33"/>
  <c r="H187" i="33"/>
  <c r="H188" i="33"/>
  <c r="H189" i="33"/>
  <c r="H190" i="33"/>
  <c r="H191" i="33"/>
  <c r="H192" i="33"/>
  <c r="H193" i="33"/>
  <c r="H194" i="33"/>
  <c r="H195" i="33"/>
  <c r="H196" i="33"/>
  <c r="H197" i="33"/>
  <c r="H198" i="33"/>
  <c r="H199" i="33"/>
  <c r="H200" i="33"/>
  <c r="H201" i="33"/>
  <c r="H202" i="33"/>
  <c r="H203" i="33"/>
  <c r="H204" i="33"/>
  <c r="H205" i="33"/>
  <c r="H206" i="33"/>
  <c r="H207" i="33"/>
  <c r="H208" i="33"/>
  <c r="H209" i="33"/>
  <c r="H210" i="33"/>
  <c r="H211" i="33"/>
  <c r="H212" i="33"/>
  <c r="H213" i="33"/>
  <c r="H214" i="33"/>
  <c r="H215" i="33"/>
  <c r="H216" i="33"/>
  <c r="H217" i="33"/>
  <c r="H218" i="33"/>
  <c r="H219" i="33"/>
  <c r="H220" i="33"/>
  <c r="H221" i="33"/>
  <c r="H222" i="33"/>
  <c r="H223" i="33"/>
  <c r="H224" i="33"/>
  <c r="H225" i="33"/>
  <c r="H226" i="33"/>
  <c r="H227" i="33"/>
  <c r="H228" i="33"/>
  <c r="H229" i="33"/>
  <c r="H230" i="33"/>
  <c r="H231" i="33"/>
  <c r="H232" i="33"/>
  <c r="H233" i="33"/>
  <c r="H234" i="33"/>
  <c r="H235" i="33"/>
  <c r="H236" i="33"/>
  <c r="H237" i="33"/>
  <c r="H238" i="33"/>
  <c r="H239" i="33"/>
  <c r="H240" i="33"/>
  <c r="H241" i="33"/>
  <c r="H242" i="33"/>
  <c r="H243" i="33"/>
  <c r="H244" i="33"/>
  <c r="H245" i="33"/>
  <c r="H246" i="33"/>
  <c r="H247" i="33"/>
  <c r="H248" i="33"/>
  <c r="H249" i="33"/>
  <c r="H250" i="33"/>
  <c r="H251" i="33"/>
  <c r="H252" i="33"/>
  <c r="H253" i="33"/>
  <c r="H254" i="33"/>
  <c r="H255" i="33"/>
  <c r="H256" i="33"/>
  <c r="H257" i="33"/>
  <c r="H258" i="33"/>
  <c r="H259" i="33"/>
  <c r="H260" i="33"/>
  <c r="H261" i="33"/>
  <c r="H262" i="33"/>
  <c r="H263" i="33"/>
  <c r="H264" i="33"/>
  <c r="H265" i="33"/>
  <c r="H266" i="33"/>
  <c r="H267" i="33"/>
  <c r="H268" i="33"/>
  <c r="H269" i="33"/>
  <c r="H270" i="33"/>
  <c r="H271" i="33"/>
  <c r="H272" i="33"/>
  <c r="H273" i="33"/>
  <c r="H274" i="33"/>
  <c r="H275" i="33"/>
  <c r="H276" i="33"/>
  <c r="H277" i="33"/>
  <c r="H278" i="33"/>
  <c r="H279" i="33"/>
  <c r="H280" i="33"/>
  <c r="H281" i="33"/>
  <c r="H282" i="33"/>
  <c r="H283" i="33"/>
  <c r="H284" i="33"/>
  <c r="H285" i="33"/>
  <c r="H286" i="33"/>
  <c r="H287" i="33"/>
  <c r="H288" i="33"/>
  <c r="H289" i="33"/>
  <c r="H290" i="33"/>
  <c r="H291" i="33"/>
  <c r="H292" i="33"/>
  <c r="H293" i="33"/>
  <c r="H294" i="33"/>
  <c r="H295" i="33"/>
  <c r="H296" i="33"/>
  <c r="H297" i="33"/>
  <c r="H298" i="33"/>
  <c r="H299" i="33"/>
  <c r="I8" i="33"/>
  <c r="I7" i="33"/>
  <c r="K8" i="33"/>
  <c r="K7" i="33"/>
  <c r="H8" i="33"/>
  <c r="H7" i="33"/>
  <c r="N351" i="33"/>
  <c r="N381" i="33"/>
  <c r="N389" i="33"/>
  <c r="R436" i="33"/>
  <c r="N538" i="33"/>
  <c r="N475" i="33"/>
  <c r="R507" i="33"/>
  <c r="R342" i="33"/>
  <c r="N517" i="33"/>
  <c r="R315" i="33"/>
  <c r="N392" i="33"/>
  <c r="R357" i="33"/>
  <c r="N461" i="33"/>
  <c r="N456" i="33"/>
  <c r="N541" i="33"/>
  <c r="R413" i="33"/>
  <c r="N307" i="33"/>
  <c r="N332" i="33"/>
  <c r="R400" i="33"/>
  <c r="R435" i="33"/>
  <c r="R422" i="33"/>
  <c r="N438" i="33"/>
  <c r="N539" i="33"/>
  <c r="R326" i="33"/>
  <c r="R533" i="33"/>
  <c r="N341" i="33"/>
  <c r="R368" i="33"/>
  <c r="R370" i="33"/>
  <c r="R427" i="33"/>
  <c r="N526" i="33"/>
  <c r="N444" i="33"/>
  <c r="N523" i="33"/>
  <c r="N327" i="33"/>
  <c r="N352" i="33"/>
  <c r="R376" i="33"/>
  <c r="R460" i="33"/>
  <c r="N512" i="33"/>
  <c r="N490" i="33"/>
  <c r="R517" i="33"/>
  <c r="R343" i="33"/>
  <c r="R306" i="33"/>
  <c r="R323" i="33"/>
  <c r="N400" i="33"/>
  <c r="N368" i="33"/>
  <c r="N407" i="33"/>
  <c r="N476" i="33"/>
  <c r="N333" i="33"/>
  <c r="N470" i="33"/>
  <c r="R309" i="33"/>
  <c r="N386" i="33"/>
  <c r="N401" i="33"/>
  <c r="N453" i="33"/>
  <c r="R432" i="33"/>
  <c r="N488" i="33"/>
  <c r="R469" i="33"/>
  <c r="R476" i="33"/>
  <c r="R535" i="33"/>
  <c r="N439" i="33"/>
  <c r="R348" i="33"/>
  <c r="R467" i="33"/>
  <c r="N350" i="33"/>
  <c r="N485" i="33"/>
  <c r="R438" i="33"/>
  <c r="R307" i="33"/>
  <c r="N497" i="33"/>
  <c r="R499" i="33"/>
  <c r="R313" i="33"/>
  <c r="N390" i="33"/>
  <c r="N355" i="33"/>
  <c r="N459" i="33"/>
  <c r="N448" i="33"/>
  <c r="N491" i="33"/>
  <c r="N531" i="33"/>
  <c r="N349" i="33"/>
  <c r="R314" i="33"/>
  <c r="R331" i="33"/>
  <c r="N408" i="33"/>
  <c r="R382" i="33"/>
  <c r="R414" i="33"/>
  <c r="N492" i="33"/>
  <c r="R472" i="33"/>
  <c r="R506" i="33"/>
  <c r="N323" i="33"/>
  <c r="N348" i="33"/>
  <c r="N363" i="33"/>
  <c r="R454" i="33"/>
  <c r="N508" i="33"/>
  <c r="R484" i="33"/>
  <c r="R501" i="33"/>
  <c r="R311" i="33"/>
  <c r="N505" i="33"/>
  <c r="R303" i="33"/>
  <c r="N361" i="33"/>
  <c r="N395" i="33"/>
  <c r="N445" i="33"/>
  <c r="R417" i="33"/>
  <c r="R482" i="33"/>
  <c r="R525" i="33"/>
  <c r="N343" i="33"/>
  <c r="N369" i="33"/>
  <c r="N371" i="33"/>
  <c r="N428" i="33"/>
  <c r="N530" i="33"/>
  <c r="N452" i="33"/>
  <c r="R513" i="33"/>
  <c r="R380" i="33"/>
  <c r="R322" i="33"/>
  <c r="R339" i="33"/>
  <c r="N416" i="33"/>
  <c r="R364" i="33"/>
  <c r="N432" i="33"/>
  <c r="R502" i="33"/>
  <c r="N326" i="33"/>
  <c r="R308" i="33"/>
  <c r="R325" i="33"/>
  <c r="N402" i="33"/>
  <c r="R371" i="33"/>
  <c r="N409" i="33"/>
  <c r="R481" i="33"/>
  <c r="N489" i="33"/>
  <c r="N301" i="33"/>
  <c r="R519" i="33"/>
  <c r="R395" i="33"/>
  <c r="R455" i="33"/>
  <c r="N404" i="33"/>
  <c r="R542" i="33"/>
  <c r="R316" i="33"/>
  <c r="R497" i="33"/>
  <c r="R350" i="33"/>
  <c r="N405" i="33"/>
  <c r="R336" i="33"/>
  <c r="R451" i="33"/>
  <c r="N484" i="33"/>
  <c r="R462" i="33"/>
  <c r="N315" i="33"/>
  <c r="R444" i="33"/>
  <c r="R468" i="33"/>
  <c r="R384" i="33"/>
  <c r="R446" i="33"/>
  <c r="R540" i="33"/>
  <c r="R491" i="33"/>
  <c r="N454" i="33"/>
  <c r="N399" i="33"/>
  <c r="R375" i="33"/>
  <c r="R312" i="33"/>
  <c r="R329" i="33"/>
  <c r="N406" i="33"/>
  <c r="N380" i="33"/>
  <c r="N413" i="33"/>
  <c r="R489" i="33"/>
  <c r="N503" i="33"/>
  <c r="R415" i="33"/>
  <c r="N342" i="33"/>
  <c r="R330" i="33"/>
  <c r="R347" i="33"/>
  <c r="N376" i="33"/>
  <c r="R385" i="33"/>
  <c r="R443" i="33"/>
  <c r="R510" i="33"/>
  <c r="R515" i="33"/>
  <c r="R490" i="33"/>
  <c r="N339" i="33"/>
  <c r="R365" i="33"/>
  <c r="R363" i="33"/>
  <c r="R420" i="33"/>
  <c r="N524" i="33"/>
  <c r="N430" i="33"/>
  <c r="N521" i="33"/>
  <c r="N358" i="33"/>
  <c r="R302" i="33"/>
  <c r="R319" i="33"/>
  <c r="N396" i="33"/>
  <c r="N359" i="33"/>
  <c r="N467" i="33"/>
  <c r="R470" i="33"/>
  <c r="R498" i="33"/>
  <c r="N427" i="33"/>
  <c r="R305" i="33"/>
  <c r="N366" i="33"/>
  <c r="N397" i="33"/>
  <c r="N447" i="33"/>
  <c r="R418" i="33"/>
  <c r="N483" i="33"/>
  <c r="R537" i="33"/>
  <c r="R410" i="33"/>
  <c r="R338" i="33"/>
  <c r="N306" i="33"/>
  <c r="R351" i="33"/>
  <c r="R393" i="33"/>
  <c r="R453" i="33"/>
  <c r="R518" i="33"/>
  <c r="R372" i="33"/>
  <c r="R324" i="33"/>
  <c r="R341" i="33"/>
  <c r="R361" i="33"/>
  <c r="N365" i="33"/>
  <c r="R434" i="33"/>
  <c r="R504" i="33"/>
  <c r="R539" i="33"/>
  <c r="N310" i="33"/>
  <c r="N308" i="33"/>
  <c r="R511" i="33"/>
  <c r="N415" i="33"/>
  <c r="R333" i="33"/>
  <c r="N519" i="33"/>
  <c r="N318" i="33"/>
  <c r="R532" i="33"/>
  <c r="R391" i="33"/>
  <c r="R516" i="33"/>
  <c r="N354" i="33"/>
  <c r="N514" i="33"/>
  <c r="R408" i="33"/>
  <c r="N418" i="33"/>
  <c r="R419" i="33"/>
  <c r="N316" i="33"/>
  <c r="N325" i="33"/>
  <c r="N311" i="33"/>
  <c r="N507" i="33"/>
  <c r="N451" i="33"/>
  <c r="N385" i="33"/>
  <c r="R328" i="33"/>
  <c r="R345" i="33"/>
  <c r="N373" i="33"/>
  <c r="N375" i="33"/>
  <c r="R439" i="33"/>
  <c r="R508" i="33"/>
  <c r="R429" i="33"/>
  <c r="R493" i="33"/>
  <c r="R366" i="33"/>
  <c r="R346" i="33"/>
  <c r="N314" i="33"/>
  <c r="N370" i="33"/>
  <c r="R401" i="33"/>
  <c r="R463" i="33"/>
  <c r="R526" i="33"/>
  <c r="R310" i="33"/>
  <c r="R541" i="33"/>
  <c r="R301" i="33"/>
  <c r="R360" i="33"/>
  <c r="N393" i="33"/>
  <c r="N443" i="33"/>
  <c r="N542" i="33"/>
  <c r="N480" i="33"/>
  <c r="R523" i="33"/>
  <c r="R394" i="33"/>
  <c r="R318" i="33"/>
  <c r="R335" i="33"/>
  <c r="N412" i="33"/>
  <c r="R355" i="33"/>
  <c r="N422" i="33"/>
  <c r="N500" i="33"/>
  <c r="N527" i="33"/>
  <c r="R304" i="33"/>
  <c r="R321" i="33"/>
  <c r="N398" i="33"/>
  <c r="N364" i="33"/>
  <c r="N469" i="33"/>
  <c r="R473" i="33"/>
  <c r="N499" i="33"/>
  <c r="R536" i="33"/>
  <c r="R374" i="33"/>
  <c r="R354" i="33"/>
  <c r="N322" i="33"/>
  <c r="R390" i="33"/>
  <c r="N419" i="33"/>
  <c r="R409" i="33"/>
  <c r="N462" i="33"/>
  <c r="R349" i="33"/>
  <c r="R340" i="33"/>
  <c r="N362" i="33"/>
  <c r="R520" i="33"/>
  <c r="R527" i="33"/>
  <c r="N388" i="33"/>
  <c r="N383" i="33"/>
  <c r="N411" i="33"/>
  <c r="R405" i="33"/>
  <c r="N304" i="33"/>
  <c r="R496" i="33"/>
  <c r="N377" i="33"/>
  <c r="N340" i="33"/>
  <c r="N435" i="33"/>
  <c r="N515" i="33"/>
  <c r="N472" i="33"/>
  <c r="R344" i="33"/>
  <c r="N312" i="33"/>
  <c r="N367" i="33"/>
  <c r="R399" i="33"/>
  <c r="R461" i="33"/>
  <c r="R524" i="33"/>
  <c r="R529" i="33"/>
  <c r="R475" i="33"/>
  <c r="R377" i="33"/>
  <c r="N305" i="33"/>
  <c r="N330" i="33"/>
  <c r="R398" i="33"/>
  <c r="N433" i="33"/>
  <c r="R416" i="33"/>
  <c r="N482" i="33"/>
  <c r="R327" i="33"/>
  <c r="R300" i="33"/>
  <c r="R317" i="33"/>
  <c r="N394" i="33"/>
  <c r="R358" i="33"/>
  <c r="N463" i="33"/>
  <c r="N464" i="33"/>
  <c r="N496" i="33"/>
  <c r="R509" i="33"/>
  <c r="R397" i="33"/>
  <c r="R334" i="33"/>
  <c r="N302" i="33"/>
  <c r="R381" i="33"/>
  <c r="R389" i="33"/>
  <c r="R447" i="33"/>
  <c r="R514" i="33"/>
  <c r="R488" i="33"/>
  <c r="R320" i="33"/>
  <c r="R337" i="33"/>
  <c r="N414" i="33"/>
  <c r="R359" i="33"/>
  <c r="R431" i="33"/>
  <c r="N423" i="33"/>
  <c r="R531" i="33"/>
  <c r="R485" i="33"/>
  <c r="N437" i="33"/>
  <c r="N313" i="33"/>
  <c r="N338" i="33"/>
  <c r="R406" i="33"/>
  <c r="R440" i="33"/>
  <c r="N417" i="33"/>
  <c r="R492" i="33"/>
  <c r="N434" i="33"/>
  <c r="R356" i="33"/>
  <c r="N324" i="33"/>
  <c r="R392" i="33"/>
  <c r="R423" i="33"/>
  <c r="R411" i="33"/>
  <c r="R538" i="33"/>
  <c r="N509" i="33"/>
  <c r="N387" i="33"/>
  <c r="N525" i="33"/>
  <c r="N421" i="33"/>
  <c r="R421" i="33"/>
  <c r="R386" i="33"/>
  <c r="N384" i="33"/>
  <c r="N329" i="33"/>
  <c r="N460" i="33"/>
  <c r="N474" i="33"/>
  <c r="N391" i="33"/>
  <c r="R373" i="33"/>
  <c r="R530" i="33"/>
  <c r="N510" i="33"/>
  <c r="R404" i="33"/>
  <c r="R505" i="33"/>
  <c r="N529" i="33"/>
  <c r="N534" i="33"/>
  <c r="N303" i="33"/>
  <c r="N328" i="33"/>
  <c r="R396" i="33"/>
  <c r="R430" i="33"/>
  <c r="N455" i="33"/>
  <c r="N321" i="33"/>
  <c r="N346" i="33"/>
  <c r="R362" i="33"/>
  <c r="R452" i="33"/>
  <c r="N506" i="33"/>
  <c r="N410" i="33"/>
  <c r="N533" i="33"/>
  <c r="N473" i="33"/>
  <c r="N501" i="33"/>
  <c r="N502" i="33"/>
  <c r="N498" i="33"/>
  <c r="R367" i="33"/>
  <c r="N429" i="33"/>
  <c r="R369" i="33"/>
  <c r="N347" i="33"/>
  <c r="N440" i="33"/>
  <c r="N319" i="33"/>
  <c r="N344" i="33"/>
  <c r="R412" i="33"/>
  <c r="R448" i="33"/>
  <c r="N504" i="33"/>
  <c r="N477" i="33"/>
  <c r="R521" i="33"/>
  <c r="N513" i="33"/>
  <c r="N536" i="33"/>
  <c r="N337" i="33"/>
  <c r="N360" i="33"/>
  <c r="N357" i="33"/>
  <c r="N420" i="33"/>
  <c r="N522" i="33"/>
  <c r="R477" i="33"/>
  <c r="N382" i="33"/>
  <c r="R332" i="33"/>
  <c r="N300" i="33"/>
  <c r="N379" i="33"/>
  <c r="R387" i="33"/>
  <c r="R445" i="33"/>
  <c r="R512" i="33"/>
  <c r="N481" i="33"/>
  <c r="R483" i="33"/>
  <c r="N518" i="33"/>
  <c r="N309" i="33"/>
  <c r="N334" i="33"/>
  <c r="R402" i="33"/>
  <c r="N436" i="33"/>
  <c r="R425" i="33"/>
  <c r="N446" i="33"/>
  <c r="R437" i="33"/>
  <c r="R352" i="33"/>
  <c r="N320" i="33"/>
  <c r="R388" i="33"/>
  <c r="N403" i="33"/>
  <c r="R407" i="33"/>
  <c r="R534" i="33"/>
  <c r="R480" i="33"/>
  <c r="N468" i="33"/>
  <c r="R474" i="33"/>
  <c r="N345" i="33"/>
  <c r="N372" i="33"/>
  <c r="N374" i="33"/>
  <c r="N431" i="33"/>
  <c r="N532" i="33"/>
  <c r="R503" i="33"/>
  <c r="R522" i="33"/>
  <c r="N331" i="33"/>
  <c r="N356" i="33"/>
  <c r="R379" i="33"/>
  <c r="R464" i="33"/>
  <c r="N516" i="33"/>
  <c r="N493" i="33"/>
  <c r="N537" i="33"/>
  <c r="R459" i="33"/>
  <c r="N335" i="33"/>
  <c r="R353" i="33"/>
  <c r="N520" i="33"/>
  <c r="R500" i="33"/>
  <c r="N535" i="33"/>
  <c r="N353" i="33"/>
  <c r="R383" i="33"/>
  <c r="N540" i="33"/>
  <c r="N511" i="33"/>
  <c r="R403" i="33"/>
  <c r="R428" i="33"/>
  <c r="R456" i="33"/>
  <c r="N336" i="33"/>
  <c r="N317" i="33"/>
  <c r="N425" i="33"/>
  <c r="R433" i="33"/>
  <c r="S535" i="33" l="1"/>
  <c r="P531" i="33"/>
  <c r="P505" i="33"/>
  <c r="P468" i="33"/>
  <c r="S537" i="33"/>
  <c r="P533" i="33"/>
  <c r="S523" i="33"/>
  <c r="S515" i="33"/>
  <c r="S507" i="33"/>
  <c r="S499" i="33"/>
  <c r="P529" i="33"/>
  <c r="S491" i="33"/>
  <c r="P521" i="33"/>
  <c r="P513" i="33"/>
  <c r="P535" i="33"/>
  <c r="P537" i="33"/>
  <c r="P435" i="33"/>
  <c r="P515" i="33"/>
  <c r="P507" i="33"/>
  <c r="P539" i="33"/>
  <c r="P525" i="33"/>
  <c r="P517" i="33"/>
  <c r="P509" i="33"/>
  <c r="P501" i="33"/>
  <c r="S428" i="33"/>
  <c r="P541" i="33"/>
  <c r="S475" i="33"/>
  <c r="P523" i="33"/>
  <c r="S531" i="33"/>
  <c r="P527" i="33"/>
  <c r="P519" i="33"/>
  <c r="P511" i="33"/>
  <c r="P503" i="33"/>
  <c r="S483" i="33"/>
  <c r="P499" i="33"/>
  <c r="P496" i="33"/>
  <c r="P491" i="33"/>
  <c r="P488" i="33"/>
  <c r="S485" i="33"/>
  <c r="P483" i="33"/>
  <c r="P480" i="33"/>
  <c r="P475" i="33"/>
  <c r="P472" i="33"/>
  <c r="P444" i="33"/>
  <c r="P421" i="33"/>
  <c r="P498" i="33"/>
  <c r="P493" i="33"/>
  <c r="P490" i="33"/>
  <c r="P485" i="33"/>
  <c r="P482" i="33"/>
  <c r="P477" i="33"/>
  <c r="P474" i="33"/>
  <c r="P462" i="33"/>
  <c r="P454" i="33"/>
  <c r="P446" i="33"/>
  <c r="P438" i="33"/>
  <c r="S526" i="33"/>
  <c r="S524" i="33"/>
  <c r="S522" i="33"/>
  <c r="S520" i="33"/>
  <c r="S518" i="33"/>
  <c r="S516" i="33"/>
  <c r="S514" i="33"/>
  <c r="S512" i="33"/>
  <c r="S510" i="33"/>
  <c r="S508" i="33"/>
  <c r="S506" i="33"/>
  <c r="S504" i="33"/>
  <c r="S502" i="33"/>
  <c r="P423" i="33"/>
  <c r="S497" i="33"/>
  <c r="S489" i="33"/>
  <c r="S481" i="33"/>
  <c r="S473" i="33"/>
  <c r="P464" i="33"/>
  <c r="P456" i="33"/>
  <c r="P448" i="33"/>
  <c r="P440" i="33"/>
  <c r="S432" i="33"/>
  <c r="P425" i="33"/>
  <c r="S418" i="33"/>
  <c r="P542" i="33"/>
  <c r="P417" i="33"/>
  <c r="P429" i="33"/>
  <c r="S416" i="33"/>
  <c r="P415" i="33"/>
  <c r="P405" i="33"/>
  <c r="P437" i="33"/>
  <c r="S434" i="33"/>
  <c r="P432" i="33"/>
  <c r="S414" i="33"/>
  <c r="P413" i="33"/>
  <c r="P411" i="33"/>
  <c r="P409" i="33"/>
  <c r="P407" i="33"/>
  <c r="P467" i="33"/>
  <c r="P461" i="33"/>
  <c r="P459" i="33"/>
  <c r="P453" i="33"/>
  <c r="P451" i="33"/>
  <c r="P445" i="33"/>
  <c r="P443" i="33"/>
  <c r="P434" i="33"/>
  <c r="S420" i="33"/>
  <c r="S438" i="33"/>
  <c r="P427" i="33"/>
  <c r="P419" i="33"/>
  <c r="P403" i="33"/>
  <c r="P383" i="33"/>
  <c r="P380" i="33"/>
  <c r="S377" i="33"/>
  <c r="S371" i="33"/>
  <c r="P368" i="33"/>
  <c r="P364" i="33"/>
  <c r="S357" i="33"/>
  <c r="S349" i="33"/>
  <c r="P401" i="33"/>
  <c r="P399" i="33"/>
  <c r="P397" i="33"/>
  <c r="P395" i="33"/>
  <c r="P393" i="33"/>
  <c r="P391" i="33"/>
  <c r="P389" i="33"/>
  <c r="P387" i="33"/>
  <c r="P385" i="33"/>
  <c r="P374" i="33"/>
  <c r="P382" i="33"/>
  <c r="S379" i="33"/>
  <c r="P377" i="33"/>
  <c r="S367" i="33"/>
  <c r="S412" i="33"/>
  <c r="S410" i="33"/>
  <c r="S408" i="33"/>
  <c r="S406" i="33"/>
  <c r="S404" i="33"/>
  <c r="S402" i="33"/>
  <c r="S400" i="33"/>
  <c r="S398" i="33"/>
  <c r="S396" i="33"/>
  <c r="S394" i="33"/>
  <c r="S392" i="33"/>
  <c r="S390" i="33"/>
  <c r="S388" i="33"/>
  <c r="S386" i="33"/>
  <c r="P370" i="33"/>
  <c r="P362" i="33"/>
  <c r="S381" i="33"/>
  <c r="P379" i="33"/>
  <c r="P376" i="33"/>
  <c r="P366" i="33"/>
  <c r="S383" i="33"/>
  <c r="P381" i="33"/>
  <c r="S375" i="33"/>
  <c r="P372" i="33"/>
  <c r="S365" i="33"/>
  <c r="P360" i="33"/>
  <c r="S353" i="33"/>
  <c r="P358" i="33"/>
  <c r="P356" i="33"/>
  <c r="P354" i="33"/>
  <c r="P352" i="33"/>
  <c r="P350" i="33"/>
  <c r="P348" i="33"/>
  <c r="P346" i="33"/>
  <c r="P344" i="33"/>
  <c r="P342" i="33"/>
  <c r="P340" i="33"/>
  <c r="P338" i="33"/>
  <c r="P336" i="33"/>
  <c r="P334" i="33"/>
  <c r="P332" i="33"/>
  <c r="P330" i="33"/>
  <c r="P328" i="33"/>
  <c r="P326" i="33"/>
  <c r="P324" i="33"/>
  <c r="P322" i="33"/>
  <c r="P320" i="33"/>
  <c r="P318" i="33"/>
  <c r="P316" i="33"/>
  <c r="P314" i="33"/>
  <c r="P312" i="33"/>
  <c r="P310" i="33"/>
  <c r="P308" i="33"/>
  <c r="P306" i="33"/>
  <c r="P304" i="33"/>
  <c r="P302" i="33"/>
  <c r="P300" i="33"/>
  <c r="S347" i="33"/>
  <c r="S345" i="33"/>
  <c r="S343" i="33"/>
  <c r="S341" i="33"/>
  <c r="S339" i="33"/>
  <c r="S337" i="33"/>
  <c r="S335" i="33"/>
  <c r="S333" i="33"/>
  <c r="S331" i="33"/>
  <c r="S329" i="33"/>
  <c r="S327" i="33"/>
  <c r="S325" i="33"/>
  <c r="S323" i="33"/>
  <c r="S321" i="33"/>
  <c r="S319" i="33"/>
  <c r="S317" i="33"/>
  <c r="S315" i="33"/>
  <c r="S313" i="33"/>
  <c r="S311" i="33"/>
  <c r="S309" i="33"/>
  <c r="S307" i="33"/>
  <c r="S305" i="33"/>
  <c r="S303" i="33"/>
  <c r="S301" i="33"/>
  <c r="S300" i="33"/>
  <c r="S503" i="33"/>
  <c r="S513" i="33"/>
  <c r="S501" i="33"/>
  <c r="S541" i="33"/>
  <c r="S539" i="33"/>
  <c r="S511" i="33"/>
  <c r="S521" i="33"/>
  <c r="S519" i="33"/>
  <c r="S533" i="33"/>
  <c r="S509" i="33"/>
  <c r="S493" i="33"/>
  <c r="S477" i="33"/>
  <c r="S517" i="33"/>
  <c r="S529" i="33"/>
  <c r="S527" i="33"/>
  <c r="S525" i="33"/>
  <c r="S505" i="33"/>
  <c r="J541" i="33"/>
  <c r="V541" i="33"/>
  <c r="L449" i="33"/>
  <c r="J519" i="33"/>
  <c r="V519" i="33"/>
  <c r="P512" i="33"/>
  <c r="P504" i="33"/>
  <c r="J503" i="33"/>
  <c r="V503" i="33"/>
  <c r="P497" i="33"/>
  <c r="P489" i="33"/>
  <c r="S463" i="33"/>
  <c r="L442" i="33"/>
  <c r="S437" i="33"/>
  <c r="S422" i="33"/>
  <c r="S411" i="33"/>
  <c r="S542" i="33"/>
  <c r="P532" i="33"/>
  <c r="J529" i="33"/>
  <c r="V529" i="33"/>
  <c r="P476" i="33"/>
  <c r="S472" i="33"/>
  <c r="P469" i="33"/>
  <c r="L457" i="33"/>
  <c r="L426" i="33"/>
  <c r="P530" i="33"/>
  <c r="J527" i="33"/>
  <c r="V527" i="33"/>
  <c r="J511" i="33"/>
  <c r="V511" i="33"/>
  <c r="J531" i="33"/>
  <c r="V531" i="33"/>
  <c r="P522" i="33"/>
  <c r="P506" i="33"/>
  <c r="P433" i="33"/>
  <c r="P536" i="33"/>
  <c r="J533" i="33"/>
  <c r="V533" i="33"/>
  <c r="S530" i="33"/>
  <c r="P500" i="33"/>
  <c r="P492" i="33"/>
  <c r="S488" i="33"/>
  <c r="P470" i="33"/>
  <c r="L465" i="33"/>
  <c r="L424" i="33"/>
  <c r="S409" i="33"/>
  <c r="L495" i="33"/>
  <c r="J521" i="33"/>
  <c r="V521" i="33"/>
  <c r="J513" i="33"/>
  <c r="V513" i="33"/>
  <c r="J505" i="33"/>
  <c r="V505" i="33"/>
  <c r="P484" i="33"/>
  <c r="S480" i="33"/>
  <c r="S446" i="33"/>
  <c r="P420" i="33"/>
  <c r="S363" i="33"/>
  <c r="S351" i="33"/>
  <c r="P538" i="33"/>
  <c r="J535" i="33"/>
  <c r="V535" i="33"/>
  <c r="S532" i="33"/>
  <c r="P524" i="33"/>
  <c r="J523" i="33"/>
  <c r="V523" i="33"/>
  <c r="P516" i="33"/>
  <c r="J515" i="33"/>
  <c r="V515" i="33"/>
  <c r="P508" i="33"/>
  <c r="J507" i="33"/>
  <c r="V507" i="33"/>
  <c r="S496" i="33"/>
  <c r="L478" i="33"/>
  <c r="J477" i="33"/>
  <c r="V477" i="33"/>
  <c r="L471" i="33"/>
  <c r="L458" i="33"/>
  <c r="S454" i="33"/>
  <c r="P452" i="33"/>
  <c r="S447" i="33"/>
  <c r="S436" i="33"/>
  <c r="S538" i="33"/>
  <c r="L450" i="33"/>
  <c r="P540" i="33"/>
  <c r="J537" i="33"/>
  <c r="V537" i="33"/>
  <c r="S534" i="33"/>
  <c r="L486" i="33"/>
  <c r="J485" i="33"/>
  <c r="V485" i="33"/>
  <c r="L479" i="33"/>
  <c r="L441" i="33"/>
  <c r="P481" i="33"/>
  <c r="S540" i="33"/>
  <c r="P520" i="33"/>
  <c r="P534" i="33"/>
  <c r="P514" i="33"/>
  <c r="S439" i="33"/>
  <c r="J539" i="33"/>
  <c r="V539" i="33"/>
  <c r="S536" i="33"/>
  <c r="L528" i="33"/>
  <c r="P526" i="33"/>
  <c r="J525" i="33"/>
  <c r="V525" i="33"/>
  <c r="P518" i="33"/>
  <c r="J517" i="33"/>
  <c r="V517" i="33"/>
  <c r="P510" i="33"/>
  <c r="J509" i="33"/>
  <c r="V509" i="33"/>
  <c r="P502" i="33"/>
  <c r="J501" i="33"/>
  <c r="V501" i="33"/>
  <c r="L494" i="33"/>
  <c r="J493" i="33"/>
  <c r="V493" i="33"/>
  <c r="L487" i="33"/>
  <c r="P473" i="33"/>
  <c r="L466" i="33"/>
  <c r="S462" i="33"/>
  <c r="P460" i="33"/>
  <c r="S455" i="33"/>
  <c r="V434" i="33"/>
  <c r="J434" i="33"/>
  <c r="V428" i="33"/>
  <c r="J428" i="33"/>
  <c r="P402" i="33"/>
  <c r="P398" i="33"/>
  <c r="P394" i="33"/>
  <c r="P390" i="33"/>
  <c r="P386" i="33"/>
  <c r="S498" i="33"/>
  <c r="S490" i="33"/>
  <c r="S482" i="33"/>
  <c r="S474" i="33"/>
  <c r="S464" i="33"/>
  <c r="S456" i="33"/>
  <c r="S448" i="33"/>
  <c r="S440" i="33"/>
  <c r="S500" i="33"/>
  <c r="S492" i="33"/>
  <c r="S484" i="33"/>
  <c r="S476" i="33"/>
  <c r="P436" i="33"/>
  <c r="P431" i="33"/>
  <c r="V499" i="33"/>
  <c r="V491" i="33"/>
  <c r="V483" i="33"/>
  <c r="V475" i="33"/>
  <c r="S470" i="33"/>
  <c r="S467" i="33"/>
  <c r="P463" i="33"/>
  <c r="S459" i="33"/>
  <c r="P455" i="33"/>
  <c r="S451" i="33"/>
  <c r="P447" i="33"/>
  <c r="S443" i="33"/>
  <c r="P439" i="33"/>
  <c r="S413" i="33"/>
  <c r="S469" i="33"/>
  <c r="S468" i="33"/>
  <c r="S460" i="33"/>
  <c r="S452" i="33"/>
  <c r="S444" i="33"/>
  <c r="S430" i="33"/>
  <c r="S429" i="33"/>
  <c r="S407" i="33"/>
  <c r="S461" i="33"/>
  <c r="S453" i="33"/>
  <c r="S445" i="33"/>
  <c r="P416" i="33"/>
  <c r="V436" i="33"/>
  <c r="P430" i="33"/>
  <c r="S425" i="33"/>
  <c r="S421" i="33"/>
  <c r="S373" i="33"/>
  <c r="S369" i="33"/>
  <c r="S359" i="33"/>
  <c r="S431" i="33"/>
  <c r="P418" i="33"/>
  <c r="P404" i="33"/>
  <c r="S401" i="33"/>
  <c r="S397" i="33"/>
  <c r="S393" i="33"/>
  <c r="S389" i="33"/>
  <c r="S385" i="33"/>
  <c r="S433" i="33"/>
  <c r="S427" i="33"/>
  <c r="P422" i="33"/>
  <c r="S419" i="33"/>
  <c r="P414" i="33"/>
  <c r="P412" i="33"/>
  <c r="P410" i="33"/>
  <c r="P408" i="33"/>
  <c r="P406" i="33"/>
  <c r="P400" i="33"/>
  <c r="P396" i="33"/>
  <c r="P392" i="33"/>
  <c r="P388" i="33"/>
  <c r="V432" i="33"/>
  <c r="J422" i="33"/>
  <c r="J414" i="33"/>
  <c r="J412" i="33"/>
  <c r="J410" i="33"/>
  <c r="J408" i="33"/>
  <c r="J406" i="33"/>
  <c r="S403" i="33"/>
  <c r="S361" i="33"/>
  <c r="S435" i="33"/>
  <c r="P428" i="33"/>
  <c r="S423" i="33"/>
  <c r="S417" i="33"/>
  <c r="S399" i="33"/>
  <c r="S395" i="33"/>
  <c r="S391" i="33"/>
  <c r="S387" i="33"/>
  <c r="S355" i="33"/>
  <c r="S415" i="33"/>
  <c r="S405" i="33"/>
  <c r="S374" i="33"/>
  <c r="P361" i="33"/>
  <c r="J347" i="33"/>
  <c r="V347" i="33"/>
  <c r="S346" i="33"/>
  <c r="J343" i="33"/>
  <c r="V343" i="33"/>
  <c r="S342" i="33"/>
  <c r="S382" i="33"/>
  <c r="L378" i="33"/>
  <c r="P369" i="33"/>
  <c r="J361" i="33"/>
  <c r="P353" i="33"/>
  <c r="J337" i="33"/>
  <c r="V337" i="33"/>
  <c r="S336" i="33"/>
  <c r="S330" i="33"/>
  <c r="S322" i="33"/>
  <c r="S314" i="33"/>
  <c r="S306" i="33"/>
  <c r="P375" i="33"/>
  <c r="S370" i="33"/>
  <c r="P365" i="33"/>
  <c r="S362" i="33"/>
  <c r="J353" i="33"/>
  <c r="V353" i="33"/>
  <c r="S352" i="33"/>
  <c r="S384" i="33"/>
  <c r="S376" i="33"/>
  <c r="P359" i="33"/>
  <c r="P355" i="33"/>
  <c r="P349" i="33"/>
  <c r="P345" i="33"/>
  <c r="J341" i="33"/>
  <c r="V341" i="33"/>
  <c r="S340" i="33"/>
  <c r="S328" i="33"/>
  <c r="S320" i="33"/>
  <c r="S312" i="33"/>
  <c r="S304" i="33"/>
  <c r="P384" i="33"/>
  <c r="P371" i="33"/>
  <c r="S366" i="33"/>
  <c r="P357" i="33"/>
  <c r="J355" i="33"/>
  <c r="V355" i="33"/>
  <c r="J349" i="33"/>
  <c r="V349" i="33"/>
  <c r="S348" i="33"/>
  <c r="J345" i="33"/>
  <c r="V345" i="33"/>
  <c r="S344" i="33"/>
  <c r="J335" i="33"/>
  <c r="V335" i="33"/>
  <c r="S334" i="33"/>
  <c r="S372" i="33"/>
  <c r="P363" i="33"/>
  <c r="S360" i="33"/>
  <c r="J357" i="33"/>
  <c r="V357" i="33"/>
  <c r="S354" i="33"/>
  <c r="S326" i="33"/>
  <c r="S318" i="33"/>
  <c r="S310" i="33"/>
  <c r="S302" i="33"/>
  <c r="P367" i="33"/>
  <c r="S356" i="33"/>
  <c r="P351" i="33"/>
  <c r="J339" i="33"/>
  <c r="V339" i="33"/>
  <c r="S338" i="33"/>
  <c r="S380" i="33"/>
  <c r="P373" i="33"/>
  <c r="S368" i="33"/>
  <c r="S364" i="33"/>
  <c r="S358" i="33"/>
  <c r="J351" i="33"/>
  <c r="V351" i="33"/>
  <c r="S350" i="33"/>
  <c r="P347" i="33"/>
  <c r="P343" i="33"/>
  <c r="J333" i="33"/>
  <c r="V333" i="33"/>
  <c r="S332" i="33"/>
  <c r="S324" i="33"/>
  <c r="S316" i="33"/>
  <c r="S308" i="33"/>
  <c r="V331" i="33"/>
  <c r="V329" i="33"/>
  <c r="V327" i="33"/>
  <c r="V325" i="33"/>
  <c r="V323" i="33"/>
  <c r="V321" i="33"/>
  <c r="V319" i="33"/>
  <c r="V317" i="33"/>
  <c r="V315" i="33"/>
  <c r="V313" i="33"/>
  <c r="V311" i="33"/>
  <c r="V309" i="33"/>
  <c r="V307" i="33"/>
  <c r="V305" i="33"/>
  <c r="V303" i="33"/>
  <c r="V301" i="33"/>
  <c r="P341" i="33"/>
  <c r="P339" i="33"/>
  <c r="P337" i="33"/>
  <c r="P335" i="33"/>
  <c r="P333" i="33"/>
  <c r="P331" i="33"/>
  <c r="P329" i="33"/>
  <c r="P327" i="33"/>
  <c r="P325" i="33"/>
  <c r="P323" i="33"/>
  <c r="P321" i="33"/>
  <c r="P319" i="33"/>
  <c r="P317" i="33"/>
  <c r="P315" i="33"/>
  <c r="P313" i="33"/>
  <c r="P311" i="33"/>
  <c r="P309" i="33"/>
  <c r="P307" i="33"/>
  <c r="P305" i="33"/>
  <c r="P303" i="33"/>
  <c r="P301" i="33"/>
  <c r="R486" i="33"/>
  <c r="R471" i="33"/>
  <c r="R528" i="33"/>
  <c r="R495" i="33"/>
  <c r="N486" i="33"/>
  <c r="R442" i="33"/>
  <c r="N494" i="33"/>
  <c r="N487" i="33"/>
  <c r="R465" i="33"/>
  <c r="N479" i="33"/>
  <c r="N466" i="33"/>
  <c r="R487" i="33"/>
  <c r="N441" i="33"/>
  <c r="R450" i="33"/>
  <c r="R478" i="33"/>
  <c r="N378" i="33"/>
  <c r="R494" i="33"/>
  <c r="R458" i="33"/>
  <c r="N450" i="33"/>
  <c r="N465" i="33"/>
  <c r="N449" i="33"/>
  <c r="N426" i="33"/>
  <c r="N457" i="33"/>
  <c r="N458" i="33"/>
  <c r="N471" i="33"/>
  <c r="N495" i="33"/>
  <c r="N478" i="33"/>
  <c r="R479" i="33"/>
  <c r="N424" i="33"/>
  <c r="N442" i="33"/>
  <c r="R449" i="33"/>
  <c r="R457" i="33"/>
  <c r="R378" i="33"/>
  <c r="N528" i="33"/>
  <c r="R424" i="33"/>
  <c r="R426" i="33"/>
  <c r="R466" i="33"/>
  <c r="R441" i="33"/>
  <c r="P378" i="33" l="1"/>
  <c r="S378" i="33"/>
  <c r="S466" i="33"/>
  <c r="S450" i="33"/>
  <c r="S458" i="33"/>
  <c r="P424" i="33"/>
  <c r="S424" i="33"/>
  <c r="S442" i="33"/>
  <c r="P479" i="33"/>
  <c r="S479" i="33"/>
  <c r="P442" i="33"/>
  <c r="P487" i="33"/>
  <c r="S487" i="33"/>
  <c r="P471" i="33"/>
  <c r="S471" i="33"/>
  <c r="P528" i="33"/>
  <c r="S528" i="33"/>
  <c r="P457" i="33"/>
  <c r="S457" i="33"/>
  <c r="S486" i="33"/>
  <c r="P486" i="33"/>
  <c r="S494" i="33"/>
  <c r="P494" i="33"/>
  <c r="P441" i="33"/>
  <c r="S441" i="33"/>
  <c r="S478" i="33"/>
  <c r="P478" i="33"/>
  <c r="P449" i="33"/>
  <c r="S449" i="33"/>
  <c r="P466" i="33"/>
  <c r="P450" i="33"/>
  <c r="P458" i="33"/>
  <c r="P465" i="33"/>
  <c r="S465" i="33"/>
  <c r="P426" i="33"/>
  <c r="S426" i="33"/>
  <c r="P495" i="33"/>
  <c r="S495" i="33"/>
  <c r="M479" i="33"/>
  <c r="M487" i="33"/>
  <c r="M471" i="33"/>
  <c r="M528" i="33"/>
  <c r="M457" i="33"/>
  <c r="M486" i="33"/>
  <c r="M494" i="33"/>
  <c r="M441" i="33"/>
  <c r="M478" i="33"/>
  <c r="M449" i="33"/>
  <c r="M465" i="33"/>
  <c r="M426" i="33"/>
  <c r="M495" i="33"/>
  <c r="M378" i="33"/>
  <c r="M466" i="33"/>
  <c r="M450" i="33"/>
  <c r="M458" i="33"/>
  <c r="M424" i="33"/>
  <c r="M442" i="33"/>
  <c r="B73" i="29" l="1"/>
  <c r="B75" i="29" l="1"/>
  <c r="C9" i="33" l="1"/>
  <c r="D9" i="33"/>
  <c r="C10" i="33"/>
  <c r="D10" i="33"/>
  <c r="C11" i="33"/>
  <c r="D11" i="33"/>
  <c r="C12" i="33"/>
  <c r="D12" i="33"/>
  <c r="C13" i="33"/>
  <c r="D13" i="33"/>
  <c r="C14" i="33"/>
  <c r="D14" i="33"/>
  <c r="C15" i="33"/>
  <c r="D15" i="33"/>
  <c r="C16" i="33"/>
  <c r="D16" i="33"/>
  <c r="C17" i="33"/>
  <c r="D17" i="33"/>
  <c r="C18" i="33"/>
  <c r="D18" i="33"/>
  <c r="C19" i="33"/>
  <c r="D19" i="33"/>
  <c r="C20" i="33"/>
  <c r="D20" i="33"/>
  <c r="C21" i="33"/>
  <c r="D21" i="33"/>
  <c r="C22" i="33"/>
  <c r="D22" i="33"/>
  <c r="C23" i="33"/>
  <c r="D23" i="33"/>
  <c r="C24" i="33"/>
  <c r="D24" i="33"/>
  <c r="C25" i="33"/>
  <c r="D25" i="33"/>
  <c r="C26" i="33"/>
  <c r="D26" i="33"/>
  <c r="C27" i="33"/>
  <c r="D27" i="33"/>
  <c r="C28" i="33"/>
  <c r="D28" i="33"/>
  <c r="C29" i="33"/>
  <c r="D29" i="33"/>
  <c r="C30" i="33"/>
  <c r="D30" i="33"/>
  <c r="C31" i="33"/>
  <c r="D31" i="33"/>
  <c r="C32" i="33"/>
  <c r="D32" i="33"/>
  <c r="C33" i="33"/>
  <c r="D33" i="33"/>
  <c r="C34" i="33"/>
  <c r="D34" i="33"/>
  <c r="C35" i="33"/>
  <c r="D35" i="33"/>
  <c r="C36" i="33"/>
  <c r="D36" i="33"/>
  <c r="C37" i="33"/>
  <c r="D37" i="33"/>
  <c r="C38" i="33"/>
  <c r="D38" i="33"/>
  <c r="C39" i="33"/>
  <c r="D39" i="33"/>
  <c r="C40" i="33"/>
  <c r="D40" i="33"/>
  <c r="C41" i="33"/>
  <c r="D41" i="33"/>
  <c r="C42" i="33"/>
  <c r="D42" i="33"/>
  <c r="C43" i="33"/>
  <c r="D43" i="33"/>
  <c r="C44" i="33"/>
  <c r="D44" i="33"/>
  <c r="C45" i="33"/>
  <c r="D45" i="33"/>
  <c r="C46" i="33"/>
  <c r="D46" i="33"/>
  <c r="C47" i="33"/>
  <c r="D47" i="33"/>
  <c r="C48" i="33"/>
  <c r="D48" i="33"/>
  <c r="C49" i="33"/>
  <c r="D49" i="33"/>
  <c r="C50" i="33"/>
  <c r="D50" i="33"/>
  <c r="C51" i="33"/>
  <c r="D51" i="33"/>
  <c r="C52" i="33"/>
  <c r="D52" i="33"/>
  <c r="C53" i="33"/>
  <c r="D53" i="33"/>
  <c r="C54" i="33"/>
  <c r="D54" i="33"/>
  <c r="C55" i="33"/>
  <c r="D55" i="33"/>
  <c r="C56" i="33"/>
  <c r="D56" i="33"/>
  <c r="C57" i="33"/>
  <c r="D57" i="33"/>
  <c r="C58" i="33"/>
  <c r="D58" i="33"/>
  <c r="C59" i="33"/>
  <c r="D59" i="33"/>
  <c r="C60" i="33"/>
  <c r="D60" i="33"/>
  <c r="C61" i="33"/>
  <c r="D61" i="33"/>
  <c r="C62" i="33"/>
  <c r="D62" i="33"/>
  <c r="C63" i="33"/>
  <c r="D63" i="33"/>
  <c r="C64" i="33"/>
  <c r="D64" i="33"/>
  <c r="C65" i="33"/>
  <c r="D65" i="33"/>
  <c r="C66" i="33"/>
  <c r="D66" i="33"/>
  <c r="C67" i="33"/>
  <c r="D67" i="33"/>
  <c r="C68" i="33"/>
  <c r="D68" i="33"/>
  <c r="C69" i="33"/>
  <c r="D69" i="33"/>
  <c r="C70" i="33"/>
  <c r="D70" i="33"/>
  <c r="C71" i="33"/>
  <c r="D71" i="33"/>
  <c r="C72" i="33"/>
  <c r="D72" i="33"/>
  <c r="C73" i="33"/>
  <c r="D73" i="33"/>
  <c r="C74" i="33"/>
  <c r="D74" i="33"/>
  <c r="C75" i="33"/>
  <c r="D75" i="33"/>
  <c r="C76" i="33"/>
  <c r="D76" i="33"/>
  <c r="C77" i="33"/>
  <c r="D77" i="33"/>
  <c r="C78" i="33"/>
  <c r="D78" i="33"/>
  <c r="C79" i="33"/>
  <c r="D79" i="33"/>
  <c r="C80" i="33"/>
  <c r="D80" i="33"/>
  <c r="C81" i="33"/>
  <c r="D81" i="33"/>
  <c r="C82" i="33"/>
  <c r="D82" i="33"/>
  <c r="C83" i="33"/>
  <c r="D83" i="33"/>
  <c r="C84" i="33"/>
  <c r="D84" i="33"/>
  <c r="C85" i="33"/>
  <c r="D85" i="33"/>
  <c r="C86" i="33"/>
  <c r="D86" i="33"/>
  <c r="C87" i="33"/>
  <c r="D87" i="33"/>
  <c r="C88" i="33"/>
  <c r="D88" i="33"/>
  <c r="C89" i="33"/>
  <c r="D89" i="33"/>
  <c r="C90" i="33"/>
  <c r="D90" i="33"/>
  <c r="C91" i="33"/>
  <c r="D91" i="33"/>
  <c r="C92" i="33"/>
  <c r="D92" i="33"/>
  <c r="C93" i="33"/>
  <c r="D93" i="33"/>
  <c r="C94" i="33"/>
  <c r="D94" i="33"/>
  <c r="C95" i="33"/>
  <c r="D95" i="33"/>
  <c r="C96" i="33"/>
  <c r="D96" i="33"/>
  <c r="C97" i="33"/>
  <c r="D97" i="33"/>
  <c r="C98" i="33"/>
  <c r="D98" i="33"/>
  <c r="C99" i="33"/>
  <c r="D99" i="33"/>
  <c r="C100" i="33"/>
  <c r="D100" i="33"/>
  <c r="C101" i="33"/>
  <c r="D101" i="33"/>
  <c r="C102" i="33"/>
  <c r="D102" i="33"/>
  <c r="C103" i="33"/>
  <c r="D103" i="33"/>
  <c r="C104" i="33"/>
  <c r="D104" i="33"/>
  <c r="C105" i="33"/>
  <c r="D105" i="33"/>
  <c r="C106" i="33"/>
  <c r="D106" i="33"/>
  <c r="C107" i="33"/>
  <c r="D107" i="33"/>
  <c r="C108" i="33"/>
  <c r="D108" i="33"/>
  <c r="C109" i="33"/>
  <c r="D109" i="33"/>
  <c r="C110" i="33"/>
  <c r="D110" i="33"/>
  <c r="C111" i="33"/>
  <c r="D111" i="33"/>
  <c r="C112" i="33"/>
  <c r="D112" i="33"/>
  <c r="C113" i="33"/>
  <c r="D113" i="33"/>
  <c r="C114" i="33"/>
  <c r="D114" i="33"/>
  <c r="C115" i="33"/>
  <c r="D115" i="33"/>
  <c r="C116" i="33"/>
  <c r="D116" i="33"/>
  <c r="C117" i="33"/>
  <c r="D117" i="33"/>
  <c r="C118" i="33"/>
  <c r="D118" i="33"/>
  <c r="C119" i="33"/>
  <c r="D119" i="33"/>
  <c r="C120" i="33"/>
  <c r="D120" i="33"/>
  <c r="C121" i="33"/>
  <c r="D121" i="33"/>
  <c r="C122" i="33"/>
  <c r="D122" i="33"/>
  <c r="C123" i="33"/>
  <c r="D123" i="33"/>
  <c r="C124" i="33"/>
  <c r="D124" i="33"/>
  <c r="C125" i="33"/>
  <c r="D125" i="33"/>
  <c r="C126" i="33"/>
  <c r="D126" i="33"/>
  <c r="C127" i="33"/>
  <c r="D127" i="33"/>
  <c r="C128" i="33"/>
  <c r="D128" i="33"/>
  <c r="C129" i="33"/>
  <c r="D129" i="33"/>
  <c r="C130" i="33"/>
  <c r="D130" i="33"/>
  <c r="C131" i="33"/>
  <c r="D131" i="33"/>
  <c r="C132" i="33"/>
  <c r="D132" i="33"/>
  <c r="C133" i="33"/>
  <c r="D133" i="33"/>
  <c r="C134" i="33"/>
  <c r="D134" i="33"/>
  <c r="C135" i="33"/>
  <c r="D135" i="33"/>
  <c r="C136" i="33"/>
  <c r="D136" i="33"/>
  <c r="C137" i="33"/>
  <c r="D137" i="33"/>
  <c r="C138" i="33"/>
  <c r="D138" i="33"/>
  <c r="C139" i="33"/>
  <c r="D139" i="33"/>
  <c r="C140" i="33"/>
  <c r="D140" i="33"/>
  <c r="C141" i="33"/>
  <c r="D141" i="33"/>
  <c r="C142" i="33"/>
  <c r="D142" i="33"/>
  <c r="C143" i="33"/>
  <c r="D143" i="33"/>
  <c r="C144" i="33"/>
  <c r="D144" i="33"/>
  <c r="C145" i="33"/>
  <c r="D145" i="33"/>
  <c r="C146" i="33"/>
  <c r="D146" i="33"/>
  <c r="C147" i="33"/>
  <c r="D147" i="33"/>
  <c r="C148" i="33"/>
  <c r="D148" i="33"/>
  <c r="C149" i="33"/>
  <c r="D149" i="33"/>
  <c r="C150" i="33"/>
  <c r="D150" i="33"/>
  <c r="C151" i="33"/>
  <c r="D151" i="33"/>
  <c r="C152" i="33"/>
  <c r="D152" i="33"/>
  <c r="C153" i="33"/>
  <c r="D153" i="33"/>
  <c r="C154" i="33"/>
  <c r="D154" i="33"/>
  <c r="C155" i="33"/>
  <c r="D155" i="33"/>
  <c r="C156" i="33"/>
  <c r="D156" i="33"/>
  <c r="C157" i="33"/>
  <c r="D157" i="33"/>
  <c r="C158" i="33"/>
  <c r="D158" i="33"/>
  <c r="C159" i="33"/>
  <c r="D159" i="33"/>
  <c r="C160" i="33"/>
  <c r="D160" i="33"/>
  <c r="C161" i="33"/>
  <c r="D161" i="33"/>
  <c r="C162" i="33"/>
  <c r="D162" i="33"/>
  <c r="C163" i="33"/>
  <c r="D163" i="33"/>
  <c r="C164" i="33"/>
  <c r="D164" i="33"/>
  <c r="C165" i="33"/>
  <c r="D165" i="33"/>
  <c r="C166" i="33"/>
  <c r="D166" i="33"/>
  <c r="C167" i="33"/>
  <c r="D167" i="33"/>
  <c r="C168" i="33"/>
  <c r="D168" i="33"/>
  <c r="C169" i="33"/>
  <c r="D169" i="33"/>
  <c r="C170" i="33"/>
  <c r="D170" i="33"/>
  <c r="C171" i="33"/>
  <c r="D171" i="33"/>
  <c r="C172" i="33"/>
  <c r="D172" i="33"/>
  <c r="C173" i="33"/>
  <c r="D173" i="33"/>
  <c r="C174" i="33"/>
  <c r="D174" i="33"/>
  <c r="C175" i="33"/>
  <c r="D175" i="33"/>
  <c r="C176" i="33"/>
  <c r="D176" i="33"/>
  <c r="C177" i="33"/>
  <c r="D177" i="33"/>
  <c r="C178" i="33"/>
  <c r="D178" i="33"/>
  <c r="C179" i="33"/>
  <c r="D179" i="33"/>
  <c r="C180" i="33"/>
  <c r="D180" i="33"/>
  <c r="C181" i="33"/>
  <c r="D181" i="33"/>
  <c r="C182" i="33"/>
  <c r="D182" i="33"/>
  <c r="C183" i="33"/>
  <c r="D183" i="33"/>
  <c r="C184" i="33"/>
  <c r="D184" i="33"/>
  <c r="C185" i="33"/>
  <c r="D185" i="33"/>
  <c r="C186" i="33"/>
  <c r="D186" i="33"/>
  <c r="C187" i="33"/>
  <c r="D187" i="33"/>
  <c r="C188" i="33"/>
  <c r="D188" i="33"/>
  <c r="C189" i="33"/>
  <c r="D189" i="33"/>
  <c r="C190" i="33"/>
  <c r="D190" i="33"/>
  <c r="C191" i="33"/>
  <c r="D191" i="33"/>
  <c r="C192" i="33"/>
  <c r="D192" i="33"/>
  <c r="C193" i="33"/>
  <c r="D193" i="33"/>
  <c r="C194" i="33"/>
  <c r="D194" i="33"/>
  <c r="C195" i="33"/>
  <c r="D195" i="33"/>
  <c r="C196" i="33"/>
  <c r="D196" i="33"/>
  <c r="C197" i="33"/>
  <c r="D197" i="33"/>
  <c r="C198" i="33"/>
  <c r="D198" i="33"/>
  <c r="C199" i="33"/>
  <c r="D199" i="33"/>
  <c r="C200" i="33"/>
  <c r="D200" i="33"/>
  <c r="C201" i="33"/>
  <c r="D201" i="33"/>
  <c r="C202" i="33"/>
  <c r="D202" i="33"/>
  <c r="C203" i="33"/>
  <c r="D203" i="33"/>
  <c r="C204" i="33"/>
  <c r="D204" i="33"/>
  <c r="C205" i="33"/>
  <c r="D205" i="33"/>
  <c r="C206" i="33"/>
  <c r="D206" i="33"/>
  <c r="C207" i="33"/>
  <c r="D207" i="33"/>
  <c r="C208" i="33"/>
  <c r="D208" i="33"/>
  <c r="C209" i="33"/>
  <c r="D209" i="33"/>
  <c r="C210" i="33"/>
  <c r="D210" i="33"/>
  <c r="C211" i="33"/>
  <c r="D211" i="33"/>
  <c r="C212" i="33"/>
  <c r="D212" i="33"/>
  <c r="C213" i="33"/>
  <c r="D213" i="33"/>
  <c r="C214" i="33"/>
  <c r="D214" i="33"/>
  <c r="C215" i="33"/>
  <c r="D215" i="33"/>
  <c r="C216" i="33"/>
  <c r="D216" i="33"/>
  <c r="C217" i="33"/>
  <c r="D217" i="33"/>
  <c r="C218" i="33"/>
  <c r="D218" i="33"/>
  <c r="C219" i="33"/>
  <c r="D219" i="33"/>
  <c r="C220" i="33"/>
  <c r="D220" i="33"/>
  <c r="C221" i="33"/>
  <c r="D221" i="33"/>
  <c r="C222" i="33"/>
  <c r="D222" i="33"/>
  <c r="C223" i="33"/>
  <c r="D223" i="33"/>
  <c r="C224" i="33"/>
  <c r="D224" i="33"/>
  <c r="C225" i="33"/>
  <c r="D225" i="33"/>
  <c r="C226" i="33"/>
  <c r="D226" i="33"/>
  <c r="C227" i="33"/>
  <c r="D227" i="33"/>
  <c r="C228" i="33"/>
  <c r="D228" i="33"/>
  <c r="C229" i="33"/>
  <c r="D229" i="33"/>
  <c r="C230" i="33"/>
  <c r="D230" i="33"/>
  <c r="C231" i="33"/>
  <c r="D231" i="33"/>
  <c r="C232" i="33"/>
  <c r="D232" i="33"/>
  <c r="C233" i="33"/>
  <c r="D233" i="33"/>
  <c r="C234" i="33"/>
  <c r="D234" i="33"/>
  <c r="C235" i="33"/>
  <c r="D235" i="33"/>
  <c r="C236" i="33"/>
  <c r="D236" i="33"/>
  <c r="C237" i="33"/>
  <c r="D237" i="33"/>
  <c r="C238" i="33"/>
  <c r="D238" i="33"/>
  <c r="C239" i="33"/>
  <c r="D239" i="33"/>
  <c r="C240" i="33"/>
  <c r="D240" i="33"/>
  <c r="C241" i="33"/>
  <c r="D241" i="33"/>
  <c r="C242" i="33"/>
  <c r="D242" i="33"/>
  <c r="C243" i="33"/>
  <c r="D243" i="33"/>
  <c r="C244" i="33"/>
  <c r="D244" i="33"/>
  <c r="C245" i="33"/>
  <c r="D245" i="33"/>
  <c r="C246" i="33"/>
  <c r="D246" i="33"/>
  <c r="C247" i="33"/>
  <c r="D247" i="33"/>
  <c r="C248" i="33"/>
  <c r="D248" i="33"/>
  <c r="C249" i="33"/>
  <c r="D249" i="33"/>
  <c r="C250" i="33"/>
  <c r="D250" i="33"/>
  <c r="C251" i="33"/>
  <c r="D251" i="33"/>
  <c r="C252" i="33"/>
  <c r="D252" i="33"/>
  <c r="C253" i="33"/>
  <c r="D253" i="33"/>
  <c r="C254" i="33"/>
  <c r="D254" i="33"/>
  <c r="C255" i="33"/>
  <c r="D255" i="33"/>
  <c r="C256" i="33"/>
  <c r="D256" i="33"/>
  <c r="C257" i="33"/>
  <c r="D257" i="33"/>
  <c r="C258" i="33"/>
  <c r="D258" i="33"/>
  <c r="C259" i="33"/>
  <c r="D259" i="33"/>
  <c r="C260" i="33"/>
  <c r="D260" i="33"/>
  <c r="C261" i="33"/>
  <c r="D261" i="33"/>
  <c r="C262" i="33"/>
  <c r="D262" i="33"/>
  <c r="C263" i="33"/>
  <c r="D263" i="33"/>
  <c r="C264" i="33"/>
  <c r="D264" i="33"/>
  <c r="C265" i="33"/>
  <c r="D265" i="33"/>
  <c r="C266" i="33"/>
  <c r="D266" i="33"/>
  <c r="C267" i="33"/>
  <c r="D267" i="33"/>
  <c r="C268" i="33"/>
  <c r="D268" i="33"/>
  <c r="C269" i="33"/>
  <c r="D269" i="33"/>
  <c r="C270" i="33"/>
  <c r="D270" i="33"/>
  <c r="C271" i="33"/>
  <c r="D271" i="33"/>
  <c r="C272" i="33"/>
  <c r="D272" i="33"/>
  <c r="C273" i="33"/>
  <c r="D273" i="33"/>
  <c r="C274" i="33"/>
  <c r="D274" i="33"/>
  <c r="C275" i="33"/>
  <c r="D275" i="33"/>
  <c r="C276" i="33"/>
  <c r="D276" i="33"/>
  <c r="C277" i="33"/>
  <c r="D277" i="33"/>
  <c r="C278" i="33"/>
  <c r="D278" i="33"/>
  <c r="C279" i="33"/>
  <c r="D279" i="33"/>
  <c r="C280" i="33"/>
  <c r="D280" i="33"/>
  <c r="C281" i="33"/>
  <c r="D281" i="33"/>
  <c r="C282" i="33"/>
  <c r="D282" i="33"/>
  <c r="C283" i="33"/>
  <c r="D283" i="33"/>
  <c r="C284" i="33"/>
  <c r="D284" i="33"/>
  <c r="C285" i="33"/>
  <c r="D285" i="33"/>
  <c r="C286" i="33"/>
  <c r="D286" i="33"/>
  <c r="C287" i="33"/>
  <c r="D287" i="33"/>
  <c r="C288" i="33"/>
  <c r="D288" i="33"/>
  <c r="C289" i="33"/>
  <c r="D289" i="33"/>
  <c r="C290" i="33"/>
  <c r="D290" i="33"/>
  <c r="C291" i="33"/>
  <c r="D291" i="33"/>
  <c r="C292" i="33"/>
  <c r="D292" i="33"/>
  <c r="C293" i="33"/>
  <c r="D293" i="33"/>
  <c r="C294" i="33"/>
  <c r="D294" i="33"/>
  <c r="C295" i="33"/>
  <c r="D295" i="33"/>
  <c r="C296" i="33"/>
  <c r="D296" i="33"/>
  <c r="C297" i="33"/>
  <c r="D297" i="33"/>
  <c r="C298" i="33"/>
  <c r="D298" i="33"/>
  <c r="C299" i="33"/>
  <c r="D299" i="33"/>
  <c r="C300" i="33"/>
  <c r="D300" i="33"/>
  <c r="C301" i="33"/>
  <c r="D301" i="33"/>
  <c r="C302" i="33"/>
  <c r="D302" i="33"/>
  <c r="C303" i="33"/>
  <c r="D303" i="33"/>
  <c r="C304" i="33"/>
  <c r="D304" i="33"/>
  <c r="C305" i="33"/>
  <c r="D305" i="33"/>
  <c r="C306" i="33"/>
  <c r="D306" i="33"/>
  <c r="C307" i="33"/>
  <c r="D307" i="33"/>
  <c r="C308" i="33"/>
  <c r="D308" i="33"/>
  <c r="C309" i="33"/>
  <c r="D309" i="33"/>
  <c r="C310" i="33"/>
  <c r="D310" i="33"/>
  <c r="C311" i="33"/>
  <c r="D311" i="33"/>
  <c r="C312" i="33"/>
  <c r="D312" i="33"/>
  <c r="C313" i="33"/>
  <c r="D313" i="33"/>
  <c r="C314" i="33"/>
  <c r="D314" i="33"/>
  <c r="C315" i="33"/>
  <c r="D315" i="33"/>
  <c r="C316" i="33"/>
  <c r="D316" i="33"/>
  <c r="C317" i="33"/>
  <c r="D317" i="33"/>
  <c r="C318" i="33"/>
  <c r="D318" i="33"/>
  <c r="C319" i="33"/>
  <c r="D319" i="33"/>
  <c r="C320" i="33"/>
  <c r="D320" i="33"/>
  <c r="C321" i="33"/>
  <c r="D321" i="33"/>
  <c r="C322" i="33"/>
  <c r="D322" i="33"/>
  <c r="C323" i="33"/>
  <c r="D323" i="33"/>
  <c r="C324" i="33"/>
  <c r="D324" i="33"/>
  <c r="C325" i="33"/>
  <c r="D325" i="33"/>
  <c r="C326" i="33"/>
  <c r="D326" i="33"/>
  <c r="C327" i="33"/>
  <c r="D327" i="33"/>
  <c r="C328" i="33"/>
  <c r="D328" i="33"/>
  <c r="C329" i="33"/>
  <c r="D329" i="33"/>
  <c r="C330" i="33"/>
  <c r="D330" i="33"/>
  <c r="C331" i="33"/>
  <c r="D331" i="33"/>
  <c r="C332" i="33"/>
  <c r="D332" i="33"/>
  <c r="C333" i="33"/>
  <c r="D333" i="33"/>
  <c r="C334" i="33"/>
  <c r="D334" i="33"/>
  <c r="C335" i="33"/>
  <c r="D335" i="33"/>
  <c r="C336" i="33"/>
  <c r="D336" i="33"/>
  <c r="C337" i="33"/>
  <c r="D337" i="33"/>
  <c r="C338" i="33"/>
  <c r="D338" i="33"/>
  <c r="C339" i="33"/>
  <c r="D339" i="33"/>
  <c r="C340" i="33"/>
  <c r="D340" i="33"/>
  <c r="C341" i="33"/>
  <c r="D341" i="33"/>
  <c r="C342" i="33"/>
  <c r="D342" i="33"/>
  <c r="C343" i="33"/>
  <c r="D343" i="33"/>
  <c r="C344" i="33"/>
  <c r="D344" i="33"/>
  <c r="C345" i="33"/>
  <c r="D345" i="33"/>
  <c r="C346" i="33"/>
  <c r="D346" i="33"/>
  <c r="C347" i="33"/>
  <c r="D347" i="33"/>
  <c r="C348" i="33"/>
  <c r="D348" i="33"/>
  <c r="C349" i="33"/>
  <c r="D349" i="33"/>
  <c r="C350" i="33"/>
  <c r="D350" i="33"/>
  <c r="C351" i="33"/>
  <c r="D351" i="33"/>
  <c r="C352" i="33"/>
  <c r="D352" i="33"/>
  <c r="C353" i="33"/>
  <c r="D353" i="33"/>
  <c r="C354" i="33"/>
  <c r="D354" i="33"/>
  <c r="C355" i="33"/>
  <c r="D355" i="33"/>
  <c r="C356" i="33"/>
  <c r="D356" i="33"/>
  <c r="C357" i="33"/>
  <c r="D357" i="33"/>
  <c r="C358" i="33"/>
  <c r="D358" i="33"/>
  <c r="C359" i="33"/>
  <c r="D359" i="33"/>
  <c r="C360" i="33"/>
  <c r="D360" i="33"/>
  <c r="C361" i="33"/>
  <c r="D361" i="33"/>
  <c r="C362" i="33"/>
  <c r="D362" i="33"/>
  <c r="C363" i="33"/>
  <c r="D363" i="33"/>
  <c r="C364" i="33"/>
  <c r="D364" i="33"/>
  <c r="C365" i="33"/>
  <c r="D365" i="33"/>
  <c r="C366" i="33"/>
  <c r="D366" i="33"/>
  <c r="C367" i="33"/>
  <c r="D367" i="33"/>
  <c r="C368" i="33"/>
  <c r="D368" i="33"/>
  <c r="C369" i="33"/>
  <c r="D369" i="33"/>
  <c r="C370" i="33"/>
  <c r="D370" i="33"/>
  <c r="C371" i="33"/>
  <c r="D371" i="33"/>
  <c r="C372" i="33"/>
  <c r="D372" i="33"/>
  <c r="C373" i="33"/>
  <c r="D373" i="33"/>
  <c r="C374" i="33"/>
  <c r="D374" i="33"/>
  <c r="C375" i="33"/>
  <c r="D375" i="33"/>
  <c r="C376" i="33"/>
  <c r="D376" i="33"/>
  <c r="C377" i="33"/>
  <c r="D377" i="33"/>
  <c r="C378" i="33"/>
  <c r="D378" i="33"/>
  <c r="C379" i="33"/>
  <c r="D379" i="33"/>
  <c r="C380" i="33"/>
  <c r="D380" i="33"/>
  <c r="C381" i="33"/>
  <c r="D381" i="33"/>
  <c r="C382" i="33"/>
  <c r="D382" i="33"/>
  <c r="C383" i="33"/>
  <c r="D383" i="33"/>
  <c r="C384" i="33"/>
  <c r="D384" i="33"/>
  <c r="C385" i="33"/>
  <c r="D385" i="33"/>
  <c r="C386" i="33"/>
  <c r="D386" i="33"/>
  <c r="C387" i="33"/>
  <c r="D387" i="33"/>
  <c r="C388" i="33"/>
  <c r="D388" i="33"/>
  <c r="C389" i="33"/>
  <c r="D389" i="33"/>
  <c r="C390" i="33"/>
  <c r="D390" i="33"/>
  <c r="C391" i="33"/>
  <c r="D391" i="33"/>
  <c r="C392" i="33"/>
  <c r="D392" i="33"/>
  <c r="C393" i="33"/>
  <c r="D393" i="33"/>
  <c r="C394" i="33"/>
  <c r="D394" i="33"/>
  <c r="C395" i="33"/>
  <c r="D395" i="33"/>
  <c r="C396" i="33"/>
  <c r="D396" i="33"/>
  <c r="C397" i="33"/>
  <c r="D397" i="33"/>
  <c r="C398" i="33"/>
  <c r="D398" i="33"/>
  <c r="C399" i="33"/>
  <c r="D399" i="33"/>
  <c r="C400" i="33"/>
  <c r="D400" i="33"/>
  <c r="C401" i="33"/>
  <c r="D401" i="33"/>
  <c r="C402" i="33"/>
  <c r="D402" i="33"/>
  <c r="C403" i="33"/>
  <c r="D403" i="33"/>
  <c r="C404" i="33"/>
  <c r="D404" i="33"/>
  <c r="C405" i="33"/>
  <c r="D405" i="33"/>
  <c r="C406" i="33"/>
  <c r="D406" i="33"/>
  <c r="C407" i="33"/>
  <c r="D407" i="33"/>
  <c r="C408" i="33"/>
  <c r="D408" i="33"/>
  <c r="C409" i="33"/>
  <c r="D409" i="33"/>
  <c r="C410" i="33"/>
  <c r="D410" i="33"/>
  <c r="C411" i="33"/>
  <c r="D411" i="33"/>
  <c r="C412" i="33"/>
  <c r="D412" i="33"/>
  <c r="C413" i="33"/>
  <c r="D413" i="33"/>
  <c r="C414" i="33"/>
  <c r="D414" i="33"/>
  <c r="C415" i="33"/>
  <c r="D415" i="33"/>
  <c r="C416" i="33"/>
  <c r="D416" i="33"/>
  <c r="C417" i="33"/>
  <c r="D417" i="33"/>
  <c r="C418" i="33"/>
  <c r="D418" i="33"/>
  <c r="C419" i="33"/>
  <c r="D419" i="33"/>
  <c r="C420" i="33"/>
  <c r="D420" i="33"/>
  <c r="C421" i="33"/>
  <c r="D421" i="33"/>
  <c r="C422" i="33"/>
  <c r="D422" i="33"/>
  <c r="C423" i="33"/>
  <c r="D423" i="33"/>
  <c r="C424" i="33"/>
  <c r="D424" i="33"/>
  <c r="C425" i="33"/>
  <c r="D425" i="33"/>
  <c r="C426" i="33"/>
  <c r="D426" i="33"/>
  <c r="C427" i="33"/>
  <c r="D427" i="33"/>
  <c r="C428" i="33"/>
  <c r="D428" i="33"/>
  <c r="C429" i="33"/>
  <c r="D429" i="33"/>
  <c r="C430" i="33"/>
  <c r="D430" i="33"/>
  <c r="C431" i="33"/>
  <c r="D431" i="33"/>
  <c r="C432" i="33"/>
  <c r="D432" i="33"/>
  <c r="C433" i="33"/>
  <c r="D433" i="33"/>
  <c r="C434" i="33"/>
  <c r="D434" i="33"/>
  <c r="C435" i="33"/>
  <c r="D435" i="33"/>
  <c r="C436" i="33"/>
  <c r="D436" i="33"/>
  <c r="C437" i="33"/>
  <c r="D437" i="33"/>
  <c r="C438" i="33"/>
  <c r="D438" i="33"/>
  <c r="C439" i="33"/>
  <c r="D439" i="33"/>
  <c r="C440" i="33"/>
  <c r="D440" i="33"/>
  <c r="C441" i="33"/>
  <c r="D441" i="33"/>
  <c r="C442" i="33"/>
  <c r="D442" i="33"/>
  <c r="C443" i="33"/>
  <c r="D443" i="33"/>
  <c r="C444" i="33"/>
  <c r="D444" i="33"/>
  <c r="C445" i="33"/>
  <c r="D445" i="33"/>
  <c r="C446" i="33"/>
  <c r="D446" i="33"/>
  <c r="C447" i="33"/>
  <c r="D447" i="33"/>
  <c r="C448" i="33"/>
  <c r="D448" i="33"/>
  <c r="C449" i="33"/>
  <c r="D449" i="33"/>
  <c r="C450" i="33"/>
  <c r="D450" i="33"/>
  <c r="C451" i="33"/>
  <c r="D451" i="33"/>
  <c r="C452" i="33"/>
  <c r="D452" i="33"/>
  <c r="C453" i="33"/>
  <c r="D453" i="33"/>
  <c r="C454" i="33"/>
  <c r="D454" i="33"/>
  <c r="C455" i="33"/>
  <c r="D455" i="33"/>
  <c r="C456" i="33"/>
  <c r="D456" i="33"/>
  <c r="C457" i="33"/>
  <c r="D457" i="33"/>
  <c r="C458" i="33"/>
  <c r="D458" i="33"/>
  <c r="C459" i="33"/>
  <c r="D459" i="33"/>
  <c r="C460" i="33"/>
  <c r="D460" i="33"/>
  <c r="C461" i="33"/>
  <c r="D461" i="33"/>
  <c r="C462" i="33"/>
  <c r="D462" i="33"/>
  <c r="C463" i="33"/>
  <c r="D463" i="33"/>
  <c r="C464" i="33"/>
  <c r="D464" i="33"/>
  <c r="C465" i="33"/>
  <c r="D465" i="33"/>
  <c r="C466" i="33"/>
  <c r="D466" i="33"/>
  <c r="C467" i="33"/>
  <c r="D467" i="33"/>
  <c r="C468" i="33"/>
  <c r="D468" i="33"/>
  <c r="C469" i="33"/>
  <c r="D469" i="33"/>
  <c r="C470" i="33"/>
  <c r="D470" i="33"/>
  <c r="C471" i="33"/>
  <c r="D471" i="33"/>
  <c r="C472" i="33"/>
  <c r="D472" i="33"/>
  <c r="C473" i="33"/>
  <c r="D473" i="33"/>
  <c r="C474" i="33"/>
  <c r="D474" i="33"/>
  <c r="C475" i="33"/>
  <c r="D475" i="33"/>
  <c r="C476" i="33"/>
  <c r="D476" i="33"/>
  <c r="C477" i="33"/>
  <c r="D477" i="33"/>
  <c r="C478" i="33"/>
  <c r="D478" i="33"/>
  <c r="C479" i="33"/>
  <c r="D479" i="33"/>
  <c r="C480" i="33"/>
  <c r="D480" i="33"/>
  <c r="C481" i="33"/>
  <c r="D481" i="33"/>
  <c r="C482" i="33"/>
  <c r="D482" i="33"/>
  <c r="C483" i="33"/>
  <c r="D483" i="33"/>
  <c r="C484" i="33"/>
  <c r="D484" i="33"/>
  <c r="C485" i="33"/>
  <c r="D485" i="33"/>
  <c r="C486" i="33"/>
  <c r="D486" i="33"/>
  <c r="C487" i="33"/>
  <c r="D487" i="33"/>
  <c r="C488" i="33"/>
  <c r="D488" i="33"/>
  <c r="C489" i="33"/>
  <c r="D489" i="33"/>
  <c r="C490" i="33"/>
  <c r="D490" i="33"/>
  <c r="C491" i="33"/>
  <c r="D491" i="33"/>
  <c r="C492" i="33"/>
  <c r="D492" i="33"/>
  <c r="C493" i="33"/>
  <c r="D493" i="33"/>
  <c r="C494" i="33"/>
  <c r="D494" i="33"/>
  <c r="C495" i="33"/>
  <c r="D495" i="33"/>
  <c r="C496" i="33"/>
  <c r="D496" i="33"/>
  <c r="C497" i="33"/>
  <c r="D497" i="33"/>
  <c r="C498" i="33"/>
  <c r="D498" i="33"/>
  <c r="C499" i="33"/>
  <c r="D499" i="33"/>
  <c r="C500" i="33"/>
  <c r="D500" i="33"/>
  <c r="C501" i="33"/>
  <c r="D501" i="33"/>
  <c r="C502" i="33"/>
  <c r="D502" i="33"/>
  <c r="C503" i="33"/>
  <c r="D503" i="33"/>
  <c r="C504" i="33"/>
  <c r="D504" i="33"/>
  <c r="C505" i="33"/>
  <c r="D505" i="33"/>
  <c r="C506" i="33"/>
  <c r="D506" i="33"/>
  <c r="C507" i="33"/>
  <c r="D507" i="33"/>
  <c r="C508" i="33"/>
  <c r="D508" i="33"/>
  <c r="C509" i="33"/>
  <c r="D509" i="33"/>
  <c r="C510" i="33"/>
  <c r="D510" i="33"/>
  <c r="C511" i="33"/>
  <c r="D511" i="33"/>
  <c r="C512" i="33"/>
  <c r="D512" i="33"/>
  <c r="C513" i="33"/>
  <c r="D513" i="33"/>
  <c r="C514" i="33"/>
  <c r="D514" i="33"/>
  <c r="C515" i="33"/>
  <c r="D515" i="33"/>
  <c r="C516" i="33"/>
  <c r="D516" i="33"/>
  <c r="C517" i="33"/>
  <c r="D517" i="33"/>
  <c r="C518" i="33"/>
  <c r="D518" i="33"/>
  <c r="C519" i="33"/>
  <c r="D519" i="33"/>
  <c r="C520" i="33"/>
  <c r="D520" i="33"/>
  <c r="C521" i="33"/>
  <c r="D521" i="33"/>
  <c r="C522" i="33"/>
  <c r="D522" i="33"/>
  <c r="C523" i="33"/>
  <c r="D523" i="33"/>
  <c r="C524" i="33"/>
  <c r="D524" i="33"/>
  <c r="C525" i="33"/>
  <c r="D525" i="33"/>
  <c r="C526" i="33"/>
  <c r="D526" i="33"/>
  <c r="C527" i="33"/>
  <c r="D527" i="33"/>
  <c r="C528" i="33"/>
  <c r="D528" i="33"/>
  <c r="C529" i="33"/>
  <c r="D529" i="33"/>
  <c r="C530" i="33"/>
  <c r="D530" i="33"/>
  <c r="C531" i="33"/>
  <c r="D531" i="33"/>
  <c r="C532" i="33"/>
  <c r="D532" i="33"/>
  <c r="C533" i="33"/>
  <c r="D533" i="33"/>
  <c r="C534" i="33"/>
  <c r="D534" i="33"/>
  <c r="C535" i="33"/>
  <c r="D535" i="33"/>
  <c r="C536" i="33"/>
  <c r="D536" i="33"/>
  <c r="C537" i="33"/>
  <c r="D537" i="33"/>
  <c r="C538" i="33"/>
  <c r="D538" i="33"/>
  <c r="C539" i="33"/>
  <c r="D539" i="33"/>
  <c r="C540" i="33"/>
  <c r="D540" i="33"/>
  <c r="C541" i="33"/>
  <c r="D541" i="33"/>
  <c r="C8" i="33"/>
  <c r="D8" i="33"/>
  <c r="D7" i="33"/>
  <c r="C7" i="33"/>
  <c r="I9" i="33"/>
  <c r="B59" i="29" l="1"/>
  <c r="B74" i="29" s="1"/>
  <c r="Z7" i="33" l="1"/>
  <c r="V7" i="33" s="1"/>
  <c r="B61" i="29"/>
  <c r="B48" i="29"/>
  <c r="I299" i="33" l="1"/>
  <c r="K299" i="33"/>
  <c r="I298" i="33"/>
  <c r="K298" i="33"/>
  <c r="I297" i="33"/>
  <c r="K297" i="33"/>
  <c r="I296" i="33"/>
  <c r="K296" i="33"/>
  <c r="I295" i="33"/>
  <c r="K295" i="33"/>
  <c r="I294" i="33"/>
  <c r="K294" i="33"/>
  <c r="I293" i="33"/>
  <c r="K293" i="33"/>
  <c r="I292" i="33"/>
  <c r="K292" i="33"/>
  <c r="I291" i="33"/>
  <c r="K291" i="33"/>
  <c r="I290" i="33"/>
  <c r="K290" i="33"/>
  <c r="I289" i="33"/>
  <c r="K289" i="33"/>
  <c r="I288" i="33"/>
  <c r="K288" i="33"/>
  <c r="I287" i="33"/>
  <c r="K287" i="33"/>
  <c r="I286" i="33"/>
  <c r="K286" i="33"/>
  <c r="I285" i="33"/>
  <c r="K285" i="33"/>
  <c r="I284" i="33"/>
  <c r="K284" i="33"/>
  <c r="I283" i="33"/>
  <c r="K283" i="33"/>
  <c r="I282" i="33"/>
  <c r="K282" i="33"/>
  <c r="I281" i="33"/>
  <c r="K281" i="33"/>
  <c r="I280" i="33"/>
  <c r="K280" i="33"/>
  <c r="I279" i="33"/>
  <c r="K279" i="33"/>
  <c r="I278" i="33"/>
  <c r="K278" i="33"/>
  <c r="I277" i="33"/>
  <c r="K277" i="33"/>
  <c r="I276" i="33"/>
  <c r="K276" i="33"/>
  <c r="I275" i="33"/>
  <c r="K275" i="33"/>
  <c r="I274" i="33"/>
  <c r="K274" i="33"/>
  <c r="I273" i="33"/>
  <c r="K273" i="33"/>
  <c r="I272" i="33"/>
  <c r="K272" i="33"/>
  <c r="I271" i="33"/>
  <c r="K271" i="33"/>
  <c r="I270" i="33"/>
  <c r="K270" i="33"/>
  <c r="I269" i="33"/>
  <c r="K269" i="33"/>
  <c r="I268" i="33"/>
  <c r="K268" i="33"/>
  <c r="I267" i="33"/>
  <c r="K267" i="33"/>
  <c r="I266" i="33"/>
  <c r="K266" i="33"/>
  <c r="I265" i="33"/>
  <c r="K265" i="33"/>
  <c r="I264" i="33"/>
  <c r="K264" i="33"/>
  <c r="I263" i="33"/>
  <c r="K263" i="33"/>
  <c r="I262" i="33"/>
  <c r="K262" i="33"/>
  <c r="I261" i="33"/>
  <c r="K261" i="33"/>
  <c r="I260" i="33"/>
  <c r="K260" i="33"/>
  <c r="I259" i="33"/>
  <c r="K259" i="33"/>
  <c r="I258" i="33"/>
  <c r="K258" i="33"/>
  <c r="I257" i="33"/>
  <c r="K257" i="33"/>
  <c r="I256" i="33"/>
  <c r="K256" i="33"/>
  <c r="I255" i="33"/>
  <c r="K255" i="33"/>
  <c r="I254" i="33"/>
  <c r="K254" i="33"/>
  <c r="I253" i="33"/>
  <c r="K253" i="33"/>
  <c r="I252" i="33"/>
  <c r="K252" i="33"/>
  <c r="I251" i="33"/>
  <c r="K251" i="33"/>
  <c r="I250" i="33"/>
  <c r="K250" i="33"/>
  <c r="I249" i="33"/>
  <c r="K249" i="33"/>
  <c r="I248" i="33"/>
  <c r="K248" i="33"/>
  <c r="I247" i="33"/>
  <c r="K247" i="33"/>
  <c r="I246" i="33"/>
  <c r="K246" i="33"/>
  <c r="I245" i="33"/>
  <c r="K245" i="33"/>
  <c r="I244" i="33"/>
  <c r="K244" i="33"/>
  <c r="I243" i="33"/>
  <c r="K243" i="33"/>
  <c r="I242" i="33"/>
  <c r="K242" i="33"/>
  <c r="I241" i="33"/>
  <c r="K241" i="33"/>
  <c r="I240" i="33"/>
  <c r="K240" i="33"/>
  <c r="I239" i="33"/>
  <c r="K239" i="33"/>
  <c r="I238" i="33"/>
  <c r="K238" i="33"/>
  <c r="I237" i="33"/>
  <c r="K237" i="33"/>
  <c r="I236" i="33"/>
  <c r="K236" i="33"/>
  <c r="I235" i="33"/>
  <c r="K235" i="33"/>
  <c r="I234" i="33"/>
  <c r="K234" i="33"/>
  <c r="I233" i="33"/>
  <c r="K233" i="33"/>
  <c r="L233" i="33" s="1"/>
  <c r="I232" i="33"/>
  <c r="K232" i="33"/>
  <c r="I231" i="33"/>
  <c r="K231" i="33"/>
  <c r="L231" i="33" s="1"/>
  <c r="I230" i="33"/>
  <c r="K230" i="33"/>
  <c r="I229" i="33"/>
  <c r="K229" i="33"/>
  <c r="L229" i="33" s="1"/>
  <c r="I228" i="33"/>
  <c r="K228" i="33"/>
  <c r="I227" i="33"/>
  <c r="K227" i="33"/>
  <c r="L227" i="33" s="1"/>
  <c r="I226" i="33"/>
  <c r="K226" i="33"/>
  <c r="I225" i="33"/>
  <c r="K225" i="33"/>
  <c r="L225" i="33" s="1"/>
  <c r="I224" i="33"/>
  <c r="K224" i="33"/>
  <c r="I223" i="33"/>
  <c r="K223" i="33"/>
  <c r="L223" i="33" s="1"/>
  <c r="I222" i="33"/>
  <c r="K222" i="33"/>
  <c r="I221" i="33"/>
  <c r="K221" i="33"/>
  <c r="I220" i="33"/>
  <c r="K220" i="33"/>
  <c r="I219" i="33"/>
  <c r="K219" i="33"/>
  <c r="I218" i="33"/>
  <c r="K218" i="33"/>
  <c r="I217" i="33"/>
  <c r="K217" i="33"/>
  <c r="I216" i="33"/>
  <c r="K216" i="33"/>
  <c r="I215" i="33"/>
  <c r="K215" i="33"/>
  <c r="I214" i="33"/>
  <c r="K214" i="33"/>
  <c r="I213" i="33"/>
  <c r="K213" i="33"/>
  <c r="I212" i="33"/>
  <c r="K212" i="33"/>
  <c r="I211" i="33"/>
  <c r="K211" i="33"/>
  <c r="I210" i="33"/>
  <c r="K210" i="33"/>
  <c r="I209" i="33"/>
  <c r="K209" i="33"/>
  <c r="L209" i="33" s="1"/>
  <c r="I208" i="33"/>
  <c r="K208" i="33"/>
  <c r="I207" i="33"/>
  <c r="K207" i="33"/>
  <c r="I206" i="33"/>
  <c r="K206" i="33"/>
  <c r="I205" i="33"/>
  <c r="K205" i="33"/>
  <c r="I204" i="33"/>
  <c r="K204" i="33"/>
  <c r="I203" i="33"/>
  <c r="K203" i="33"/>
  <c r="I202" i="33"/>
  <c r="K202" i="33"/>
  <c r="I201" i="33"/>
  <c r="K201" i="33"/>
  <c r="I200" i="33"/>
  <c r="K200" i="33"/>
  <c r="I199" i="33"/>
  <c r="K199" i="33"/>
  <c r="I198" i="33"/>
  <c r="K198" i="33"/>
  <c r="I197" i="33"/>
  <c r="K197" i="33"/>
  <c r="I196" i="33"/>
  <c r="K196" i="33"/>
  <c r="I195" i="33"/>
  <c r="K195" i="33"/>
  <c r="I194" i="33"/>
  <c r="K194" i="33"/>
  <c r="I193" i="33"/>
  <c r="K193" i="33"/>
  <c r="L193" i="33" s="1"/>
  <c r="I192" i="33"/>
  <c r="K192" i="33"/>
  <c r="I191" i="33"/>
  <c r="K191" i="33"/>
  <c r="I190" i="33"/>
  <c r="K190" i="33"/>
  <c r="I189" i="33"/>
  <c r="K189" i="33"/>
  <c r="I188" i="33"/>
  <c r="K188" i="33"/>
  <c r="I187" i="33"/>
  <c r="K187" i="33"/>
  <c r="I186" i="33"/>
  <c r="K186" i="33"/>
  <c r="I185" i="33"/>
  <c r="K185" i="33"/>
  <c r="I184" i="33"/>
  <c r="K184" i="33"/>
  <c r="I183" i="33"/>
  <c r="K183" i="33"/>
  <c r="L183" i="33" s="1"/>
  <c r="I182" i="33"/>
  <c r="K182" i="33"/>
  <c r="I181" i="33"/>
  <c r="K181" i="33"/>
  <c r="I180" i="33"/>
  <c r="K180" i="33"/>
  <c r="I179" i="33"/>
  <c r="K179" i="33"/>
  <c r="I178" i="33"/>
  <c r="K178" i="33"/>
  <c r="I177" i="33"/>
  <c r="K177" i="33"/>
  <c r="I176" i="33"/>
  <c r="K176" i="33"/>
  <c r="I175" i="33"/>
  <c r="K175" i="33"/>
  <c r="L175" i="33" s="1"/>
  <c r="I174" i="33"/>
  <c r="K174" i="33"/>
  <c r="I173" i="33"/>
  <c r="K173" i="33"/>
  <c r="I172" i="33"/>
  <c r="I171" i="33"/>
  <c r="K171" i="33"/>
  <c r="L171" i="33" s="1"/>
  <c r="I170" i="33"/>
  <c r="K170" i="33"/>
  <c r="I169" i="33"/>
  <c r="K169" i="33"/>
  <c r="L169" i="33" s="1"/>
  <c r="I168" i="33"/>
  <c r="K168" i="33"/>
  <c r="I167" i="33"/>
  <c r="K167" i="33"/>
  <c r="L167" i="33" s="1"/>
  <c r="I166" i="33"/>
  <c r="K166" i="33"/>
  <c r="I165" i="33"/>
  <c r="K165" i="33"/>
  <c r="I164" i="33"/>
  <c r="K164" i="33"/>
  <c r="I163" i="33"/>
  <c r="K163" i="33"/>
  <c r="L163" i="33" s="1"/>
  <c r="I162" i="33"/>
  <c r="K162" i="33"/>
  <c r="I161" i="33"/>
  <c r="K161" i="33"/>
  <c r="L161" i="33" s="1"/>
  <c r="I160" i="33"/>
  <c r="K160" i="33"/>
  <c r="I159" i="33"/>
  <c r="K159" i="33"/>
  <c r="L159" i="33" s="1"/>
  <c r="I158" i="33"/>
  <c r="K158" i="33"/>
  <c r="I157" i="33"/>
  <c r="K157" i="33"/>
  <c r="I156" i="33"/>
  <c r="K156" i="33"/>
  <c r="I155" i="33"/>
  <c r="K155" i="33"/>
  <c r="L155" i="33" s="1"/>
  <c r="I154" i="33"/>
  <c r="K154" i="33"/>
  <c r="I153" i="33"/>
  <c r="K153" i="33"/>
  <c r="L153" i="33" s="1"/>
  <c r="I152" i="33"/>
  <c r="K152" i="33"/>
  <c r="I151" i="33"/>
  <c r="K151" i="33"/>
  <c r="L151" i="33" s="1"/>
  <c r="I150" i="33"/>
  <c r="K150" i="33"/>
  <c r="I149" i="33"/>
  <c r="K149" i="33"/>
  <c r="I148" i="33"/>
  <c r="K148" i="33"/>
  <c r="I147" i="33"/>
  <c r="K147" i="33"/>
  <c r="L147" i="33" s="1"/>
  <c r="I146" i="33"/>
  <c r="K146" i="33"/>
  <c r="I145" i="33"/>
  <c r="K145" i="33"/>
  <c r="L145" i="33" s="1"/>
  <c r="I144" i="33"/>
  <c r="K144" i="33"/>
  <c r="I143" i="33"/>
  <c r="K143" i="33"/>
  <c r="I142" i="33"/>
  <c r="K142" i="33"/>
  <c r="I141" i="33"/>
  <c r="K141" i="33"/>
  <c r="I140" i="33"/>
  <c r="K140" i="33"/>
  <c r="I139" i="33"/>
  <c r="K139" i="33"/>
  <c r="L139" i="33" s="1"/>
  <c r="I138" i="33"/>
  <c r="K138" i="33"/>
  <c r="I137" i="33"/>
  <c r="K137" i="33"/>
  <c r="L137" i="33" s="1"/>
  <c r="I136" i="33"/>
  <c r="K136" i="33"/>
  <c r="I135" i="33"/>
  <c r="K135" i="33"/>
  <c r="I134" i="33"/>
  <c r="K134" i="33"/>
  <c r="L134" i="33" s="1"/>
  <c r="I133" i="33"/>
  <c r="K133" i="33"/>
  <c r="I132" i="33"/>
  <c r="K132" i="33"/>
  <c r="I131" i="33"/>
  <c r="K131" i="33"/>
  <c r="L131" i="33" s="1"/>
  <c r="I130" i="33"/>
  <c r="K130" i="33"/>
  <c r="L130" i="33" s="1"/>
  <c r="I129" i="33"/>
  <c r="K129" i="33"/>
  <c r="I128" i="33"/>
  <c r="K128" i="33"/>
  <c r="L128" i="33" s="1"/>
  <c r="I127" i="33"/>
  <c r="K127" i="33"/>
  <c r="I126" i="33"/>
  <c r="K126" i="33"/>
  <c r="I125" i="33"/>
  <c r="K125" i="33"/>
  <c r="I124" i="33"/>
  <c r="K124" i="33"/>
  <c r="L124" i="33" s="1"/>
  <c r="I123" i="33"/>
  <c r="K123" i="33"/>
  <c r="I122" i="33"/>
  <c r="K122" i="33"/>
  <c r="L122" i="33" s="1"/>
  <c r="I121" i="33"/>
  <c r="K121" i="33"/>
  <c r="I120" i="33"/>
  <c r="K120" i="33"/>
  <c r="L120" i="33" s="1"/>
  <c r="I119" i="33"/>
  <c r="K119" i="33"/>
  <c r="L119" i="33" s="1"/>
  <c r="I118" i="33"/>
  <c r="K118" i="33"/>
  <c r="L118" i="33" s="1"/>
  <c r="I117" i="33"/>
  <c r="K117" i="33"/>
  <c r="I116" i="33"/>
  <c r="K116" i="33"/>
  <c r="L116" i="33" s="1"/>
  <c r="I115" i="33"/>
  <c r="K115" i="33"/>
  <c r="L115" i="33" s="1"/>
  <c r="I114" i="33"/>
  <c r="K114" i="33"/>
  <c r="I113" i="33"/>
  <c r="K113" i="33"/>
  <c r="I112" i="33"/>
  <c r="K112" i="33"/>
  <c r="I111" i="33"/>
  <c r="K111" i="33"/>
  <c r="L111" i="33" s="1"/>
  <c r="I110" i="33"/>
  <c r="K110" i="33"/>
  <c r="I109" i="33"/>
  <c r="K109" i="33"/>
  <c r="I108" i="33"/>
  <c r="K108" i="33"/>
  <c r="I107" i="33"/>
  <c r="K107" i="33"/>
  <c r="L107" i="33" s="1"/>
  <c r="I106" i="33"/>
  <c r="K106" i="33"/>
  <c r="I105" i="33"/>
  <c r="K105" i="33"/>
  <c r="L105" i="33" s="1"/>
  <c r="I104" i="33"/>
  <c r="K104" i="33"/>
  <c r="I103" i="33"/>
  <c r="K103" i="33"/>
  <c r="I102" i="33"/>
  <c r="K102" i="33"/>
  <c r="I101" i="33"/>
  <c r="K101" i="33"/>
  <c r="I100" i="33"/>
  <c r="K100" i="33"/>
  <c r="I99" i="33"/>
  <c r="K99" i="33"/>
  <c r="I98" i="33"/>
  <c r="K98" i="33"/>
  <c r="I97" i="33"/>
  <c r="K97" i="33"/>
  <c r="I96" i="33"/>
  <c r="K96" i="33"/>
  <c r="I95" i="33"/>
  <c r="K95" i="33"/>
  <c r="I94" i="33"/>
  <c r="K94" i="33"/>
  <c r="I93" i="33"/>
  <c r="K93" i="33"/>
  <c r="I92" i="33"/>
  <c r="K92" i="33"/>
  <c r="I91" i="33"/>
  <c r="K91" i="33"/>
  <c r="L91" i="33" s="1"/>
  <c r="I90" i="33"/>
  <c r="K90" i="33"/>
  <c r="I89" i="33"/>
  <c r="K89" i="33"/>
  <c r="I88" i="33"/>
  <c r="K88" i="33"/>
  <c r="I87" i="33"/>
  <c r="K87" i="33"/>
  <c r="L87" i="33" s="1"/>
  <c r="I86" i="33"/>
  <c r="K86" i="33"/>
  <c r="I85" i="33"/>
  <c r="K85" i="33"/>
  <c r="L85" i="33" s="1"/>
  <c r="I84" i="33"/>
  <c r="K84" i="33"/>
  <c r="I83" i="33"/>
  <c r="K83" i="33"/>
  <c r="L83" i="33" s="1"/>
  <c r="I82" i="33"/>
  <c r="K82" i="33"/>
  <c r="I81" i="33"/>
  <c r="K81" i="33"/>
  <c r="I80" i="33"/>
  <c r="K80" i="33"/>
  <c r="I79" i="33"/>
  <c r="K79" i="33"/>
  <c r="I78" i="33"/>
  <c r="K78" i="33"/>
  <c r="I77" i="33"/>
  <c r="K77" i="33"/>
  <c r="I76" i="33"/>
  <c r="K76" i="33"/>
  <c r="I75" i="33"/>
  <c r="K75" i="33"/>
  <c r="L75" i="33" s="1"/>
  <c r="I74" i="33"/>
  <c r="K74" i="33"/>
  <c r="I73" i="33"/>
  <c r="K73" i="33"/>
  <c r="L73" i="33" s="1"/>
  <c r="I72" i="33"/>
  <c r="K72" i="33"/>
  <c r="I71" i="33"/>
  <c r="K71" i="33"/>
  <c r="L71" i="33" s="1"/>
  <c r="I70" i="33"/>
  <c r="K70" i="33"/>
  <c r="I69" i="33"/>
  <c r="K69" i="33"/>
  <c r="I68" i="33"/>
  <c r="K68" i="33"/>
  <c r="I67" i="33"/>
  <c r="K67" i="33"/>
  <c r="L67" i="33" s="1"/>
  <c r="I66" i="33"/>
  <c r="K66" i="33"/>
  <c r="I65" i="33"/>
  <c r="K65" i="33"/>
  <c r="I64" i="33"/>
  <c r="K64" i="33"/>
  <c r="I63" i="33"/>
  <c r="K63" i="33"/>
  <c r="I62" i="33"/>
  <c r="K62" i="33"/>
  <c r="I61" i="33"/>
  <c r="K61" i="33"/>
  <c r="L61" i="33" s="1"/>
  <c r="I60" i="33"/>
  <c r="K60" i="33"/>
  <c r="I59" i="33"/>
  <c r="K59" i="33"/>
  <c r="L59" i="33" s="1"/>
  <c r="I58" i="33"/>
  <c r="K58" i="33"/>
  <c r="I57" i="33"/>
  <c r="K57" i="33"/>
  <c r="L57" i="33" s="1"/>
  <c r="I56" i="33"/>
  <c r="K56" i="33"/>
  <c r="I55" i="33"/>
  <c r="K55" i="33"/>
  <c r="L55" i="33" s="1"/>
  <c r="I54" i="33"/>
  <c r="K54" i="33"/>
  <c r="I53" i="33"/>
  <c r="K53" i="33"/>
  <c r="L53" i="33" s="1"/>
  <c r="I52" i="33"/>
  <c r="K52" i="33"/>
  <c r="I51" i="33"/>
  <c r="K51" i="33"/>
  <c r="L51" i="33" s="1"/>
  <c r="I50" i="33"/>
  <c r="K50" i="33"/>
  <c r="I49" i="33"/>
  <c r="K49" i="33"/>
  <c r="L49" i="33" s="1"/>
  <c r="I48" i="33"/>
  <c r="K48" i="33"/>
  <c r="I47" i="33"/>
  <c r="K47" i="33"/>
  <c r="L47" i="33" s="1"/>
  <c r="I46" i="33"/>
  <c r="K46" i="33"/>
  <c r="I45" i="33"/>
  <c r="K45" i="33"/>
  <c r="L45" i="33" s="1"/>
  <c r="I44" i="33"/>
  <c r="K44" i="33"/>
  <c r="I43" i="33"/>
  <c r="K43" i="33"/>
  <c r="L43" i="33" s="1"/>
  <c r="I42" i="33"/>
  <c r="K42" i="33"/>
  <c r="I41" i="33"/>
  <c r="K41" i="33"/>
  <c r="L41" i="33" s="1"/>
  <c r="I40" i="33"/>
  <c r="K40" i="33"/>
  <c r="I39" i="33"/>
  <c r="K39" i="33"/>
  <c r="L39" i="33" s="1"/>
  <c r="I38" i="33"/>
  <c r="K38" i="33"/>
  <c r="I37" i="33"/>
  <c r="K37" i="33"/>
  <c r="L37" i="33" s="1"/>
  <c r="I36" i="33"/>
  <c r="K36" i="33"/>
  <c r="I35" i="33"/>
  <c r="K35" i="33"/>
  <c r="L35" i="33" s="1"/>
  <c r="I34" i="33"/>
  <c r="K34" i="33"/>
  <c r="I33" i="33"/>
  <c r="K33" i="33"/>
  <c r="L33" i="33" s="1"/>
  <c r="I32" i="33"/>
  <c r="K32" i="33"/>
  <c r="I31" i="33"/>
  <c r="K31" i="33"/>
  <c r="L31" i="33" s="1"/>
  <c r="I30" i="33"/>
  <c r="K30" i="33"/>
  <c r="I29" i="33"/>
  <c r="K29" i="33"/>
  <c r="L29" i="33" s="1"/>
  <c r="I28" i="33"/>
  <c r="K28" i="33"/>
  <c r="I27" i="33"/>
  <c r="K27" i="33"/>
  <c r="L27" i="33" s="1"/>
  <c r="I26" i="33"/>
  <c r="K26" i="33"/>
  <c r="I25" i="33"/>
  <c r="K25" i="33"/>
  <c r="L25" i="33" s="1"/>
  <c r="I24" i="33"/>
  <c r="K24" i="33"/>
  <c r="I23" i="33"/>
  <c r="K23" i="33"/>
  <c r="L23" i="33" s="1"/>
  <c r="I22" i="33"/>
  <c r="K22" i="33"/>
  <c r="I21" i="33"/>
  <c r="K21" i="33"/>
  <c r="L21" i="33" s="1"/>
  <c r="I20" i="33"/>
  <c r="K20" i="33"/>
  <c r="I19" i="33"/>
  <c r="K19" i="33"/>
  <c r="L19" i="33" s="1"/>
  <c r="I18" i="33"/>
  <c r="K18" i="33"/>
  <c r="I17" i="33"/>
  <c r="K17" i="33"/>
  <c r="L17" i="33" s="1"/>
  <c r="I16" i="33"/>
  <c r="K16" i="33"/>
  <c r="I15" i="33"/>
  <c r="K15" i="33"/>
  <c r="L15" i="33" s="1"/>
  <c r="I14" i="33"/>
  <c r="K14" i="33"/>
  <c r="I13" i="33"/>
  <c r="K13" i="33"/>
  <c r="L13" i="33" s="1"/>
  <c r="I12" i="33"/>
  <c r="K12" i="33"/>
  <c r="I11" i="33"/>
  <c r="K11" i="33"/>
  <c r="L11" i="33" s="1"/>
  <c r="I10" i="33"/>
  <c r="K10" i="33"/>
  <c r="K9" i="33"/>
  <c r="L9" i="33" s="1"/>
  <c r="V8" i="33"/>
  <c r="L8" i="33"/>
  <c r="L7" i="33"/>
  <c r="B51" i="29"/>
  <c r="B22" i="30" s="1"/>
  <c r="B49" i="29"/>
  <c r="B50" i="29" s="1"/>
  <c r="R61" i="33"/>
  <c r="R229" i="33"/>
  <c r="R21" i="33"/>
  <c r="N115" i="33"/>
  <c r="N37" i="33"/>
  <c r="R59" i="33"/>
  <c r="N171" i="33"/>
  <c r="N175" i="33"/>
  <c r="N61" i="33"/>
  <c r="R39" i="33"/>
  <c r="N51" i="33"/>
  <c r="R223" i="33"/>
  <c r="N225" i="33"/>
  <c r="N137" i="33"/>
  <c r="R87" i="33"/>
  <c r="R131" i="33"/>
  <c r="R209" i="33"/>
  <c r="N23" i="33"/>
  <c r="N131" i="33"/>
  <c r="R57" i="33"/>
  <c r="N9" i="33"/>
  <c r="N120" i="33"/>
  <c r="N73" i="33"/>
  <c r="N229" i="33"/>
  <c r="R83" i="33"/>
  <c r="R29" i="33"/>
  <c r="R33" i="33"/>
  <c r="R139" i="33"/>
  <c r="N13" i="33"/>
  <c r="N193" i="33"/>
  <c r="R105" i="33"/>
  <c r="R15" i="33"/>
  <c r="N147" i="33"/>
  <c r="N43" i="33"/>
  <c r="R227" i="33"/>
  <c r="R175" i="33"/>
  <c r="N163" i="33"/>
  <c r="N27" i="33"/>
  <c r="N55" i="33"/>
  <c r="N35" i="33"/>
  <c r="R167" i="33"/>
  <c r="N119" i="33"/>
  <c r="N153" i="33"/>
  <c r="R147" i="33"/>
  <c r="R47" i="33"/>
  <c r="N107" i="33"/>
  <c r="R25" i="33"/>
  <c r="R85" i="33"/>
  <c r="R225" i="33"/>
  <c r="N151" i="33"/>
  <c r="N57" i="33"/>
  <c r="R27" i="33"/>
  <c r="N25" i="33"/>
  <c r="R73" i="33"/>
  <c r="R45" i="33"/>
  <c r="R145" i="33"/>
  <c r="R120" i="33"/>
  <c r="N39" i="33"/>
  <c r="R75" i="33"/>
  <c r="N130" i="33"/>
  <c r="N49" i="33"/>
  <c r="N19" i="33"/>
  <c r="R153" i="33"/>
  <c r="N31" i="33"/>
  <c r="R119" i="33"/>
  <c r="R37" i="33"/>
  <c r="N47" i="33"/>
  <c r="R171" i="33"/>
  <c r="N139" i="33"/>
  <c r="N145" i="33"/>
  <c r="N161" i="33"/>
  <c r="R128" i="33"/>
  <c r="N111" i="33"/>
  <c r="R134" i="33"/>
  <c r="N134" i="33"/>
  <c r="R9" i="33"/>
  <c r="N209" i="33"/>
  <c r="R11" i="33"/>
  <c r="N21" i="33"/>
  <c r="N75" i="33"/>
  <c r="R115" i="33"/>
  <c r="N17" i="33"/>
  <c r="N124" i="33"/>
  <c r="N231" i="33"/>
  <c r="R71" i="33"/>
  <c r="R41" i="33"/>
  <c r="R111" i="33"/>
  <c r="R35" i="33"/>
  <c r="R53" i="33"/>
  <c r="R19" i="33"/>
  <c r="N167" i="33"/>
  <c r="N41" i="33"/>
  <c r="R183" i="33"/>
  <c r="R49" i="33"/>
  <c r="R43" i="33"/>
  <c r="N159" i="33"/>
  <c r="N85" i="33"/>
  <c r="N227" i="33"/>
  <c r="R169" i="33"/>
  <c r="R23" i="33"/>
  <c r="R130" i="33"/>
  <c r="N53" i="33"/>
  <c r="R107" i="33"/>
  <c r="R55" i="33"/>
  <c r="R31" i="33"/>
  <c r="R193" i="33"/>
  <c r="N71" i="33"/>
  <c r="N118" i="33"/>
  <c r="N91" i="33"/>
  <c r="N183" i="33"/>
  <c r="N155" i="33"/>
  <c r="N59" i="33"/>
  <c r="N169" i="33"/>
  <c r="R17" i="33"/>
  <c r="R122" i="33"/>
  <c r="N11" i="33"/>
  <c r="N128" i="33"/>
  <c r="N33" i="33"/>
  <c r="R13" i="33"/>
  <c r="N15" i="33"/>
  <c r="R116" i="33"/>
  <c r="R159" i="33"/>
  <c r="N105" i="33"/>
  <c r="R231" i="33"/>
  <c r="R161" i="33"/>
  <c r="N45" i="33"/>
  <c r="R118" i="33"/>
  <c r="R163" i="33"/>
  <c r="N223" i="33"/>
  <c r="N87" i="33"/>
  <c r="R155" i="33"/>
  <c r="R67" i="33"/>
  <c r="N83" i="33"/>
  <c r="N122" i="33"/>
  <c r="N116" i="33"/>
  <c r="N67" i="33"/>
  <c r="N233" i="33"/>
  <c r="R91" i="33"/>
  <c r="R51" i="33"/>
  <c r="R151" i="33"/>
  <c r="R137" i="33"/>
  <c r="N29" i="33"/>
  <c r="R124" i="33"/>
  <c r="R233" i="33"/>
  <c r="S67" i="33" l="1"/>
  <c r="S75" i="33"/>
  <c r="S91" i="33"/>
  <c r="S83" i="33"/>
  <c r="L12" i="33"/>
  <c r="L28" i="33"/>
  <c r="L36" i="33"/>
  <c r="L44" i="33"/>
  <c r="L52" i="33"/>
  <c r="L56" i="33"/>
  <c r="L64" i="33"/>
  <c r="L68" i="33"/>
  <c r="L72" i="33"/>
  <c r="L80" i="33"/>
  <c r="L84" i="33"/>
  <c r="L88" i="33"/>
  <c r="L92" i="33"/>
  <c r="L96" i="33"/>
  <c r="L100" i="33"/>
  <c r="L104" i="33"/>
  <c r="L108" i="33"/>
  <c r="L112" i="33"/>
  <c r="L132" i="33"/>
  <c r="L136" i="33"/>
  <c r="L140" i="33"/>
  <c r="L144" i="33"/>
  <c r="L148" i="33"/>
  <c r="L152" i="33"/>
  <c r="L156" i="33"/>
  <c r="L160" i="33"/>
  <c r="L164" i="33"/>
  <c r="L168" i="33"/>
  <c r="K172" i="33"/>
  <c r="B27" i="25" s="1"/>
  <c r="L176" i="33"/>
  <c r="L180" i="33"/>
  <c r="L184" i="33"/>
  <c r="L188" i="33"/>
  <c r="L192" i="33"/>
  <c r="L196" i="33"/>
  <c r="L200" i="33"/>
  <c r="L204" i="33"/>
  <c r="L208" i="33"/>
  <c r="L212" i="33"/>
  <c r="L216" i="33"/>
  <c r="L220" i="33"/>
  <c r="L224" i="33"/>
  <c r="L228" i="33"/>
  <c r="L232" i="33"/>
  <c r="L236" i="33"/>
  <c r="L240" i="33"/>
  <c r="L244" i="33"/>
  <c r="L248" i="33"/>
  <c r="L252" i="33"/>
  <c r="L256" i="33"/>
  <c r="L260" i="33"/>
  <c r="L264" i="33"/>
  <c r="L268" i="33"/>
  <c r="L272" i="33"/>
  <c r="L276" i="33"/>
  <c r="L280" i="33"/>
  <c r="L284" i="33"/>
  <c r="L288" i="33"/>
  <c r="L292" i="33"/>
  <c r="L296" i="33"/>
  <c r="L24" i="33"/>
  <c r="L32" i="33"/>
  <c r="L40" i="33"/>
  <c r="L48" i="33"/>
  <c r="L60" i="33"/>
  <c r="L76" i="33"/>
  <c r="V12" i="33"/>
  <c r="J12" i="33"/>
  <c r="V16" i="33"/>
  <c r="J16" i="33"/>
  <c r="V20" i="33"/>
  <c r="J20" i="33"/>
  <c r="V24" i="33"/>
  <c r="J24" i="33"/>
  <c r="V28" i="33"/>
  <c r="J28" i="33"/>
  <c r="V32" i="33"/>
  <c r="J32" i="33"/>
  <c r="V36" i="33"/>
  <c r="J36" i="33"/>
  <c r="V40" i="33"/>
  <c r="J40" i="33"/>
  <c r="V44" i="33"/>
  <c r="J44" i="33"/>
  <c r="V48" i="33"/>
  <c r="J48" i="33"/>
  <c r="V52" i="33"/>
  <c r="J52" i="33"/>
  <c r="V56" i="33"/>
  <c r="J56" i="33"/>
  <c r="V60" i="33"/>
  <c r="J60" i="33"/>
  <c r="V64" i="33"/>
  <c r="J64" i="33"/>
  <c r="V68" i="33"/>
  <c r="J68" i="33"/>
  <c r="V72" i="33"/>
  <c r="J72" i="33"/>
  <c r="V76" i="33"/>
  <c r="J76" i="33"/>
  <c r="J80" i="33"/>
  <c r="V80" i="33"/>
  <c r="V84" i="33"/>
  <c r="J84" i="33"/>
  <c r="V88" i="33"/>
  <c r="J88" i="33"/>
  <c r="V92" i="33"/>
  <c r="J92" i="33"/>
  <c r="J96" i="33"/>
  <c r="V96" i="33"/>
  <c r="J100" i="33"/>
  <c r="V100" i="33"/>
  <c r="J104" i="33"/>
  <c r="V104" i="33"/>
  <c r="V108" i="33"/>
  <c r="J108" i="33"/>
  <c r="V112" i="33"/>
  <c r="J112" i="33"/>
  <c r="J116" i="33"/>
  <c r="V116" i="33"/>
  <c r="J120" i="33"/>
  <c r="V120" i="33"/>
  <c r="J124" i="33"/>
  <c r="V124" i="33"/>
  <c r="V128" i="33"/>
  <c r="J128" i="33"/>
  <c r="V132" i="33"/>
  <c r="J132" i="33"/>
  <c r="J136" i="33"/>
  <c r="V136" i="33"/>
  <c r="J140" i="33"/>
  <c r="V140" i="33"/>
  <c r="J144" i="33"/>
  <c r="V144" i="33"/>
  <c r="J148" i="33"/>
  <c r="V148" i="33"/>
  <c r="V152" i="33"/>
  <c r="J152" i="33"/>
  <c r="V156" i="33"/>
  <c r="J156" i="33"/>
  <c r="V160" i="33"/>
  <c r="J160" i="33"/>
  <c r="V164" i="33"/>
  <c r="J164" i="33"/>
  <c r="V168" i="33"/>
  <c r="J168" i="33"/>
  <c r="V172" i="33"/>
  <c r="J172" i="33"/>
  <c r="J176" i="33"/>
  <c r="V176" i="33"/>
  <c r="J180" i="33"/>
  <c r="V180" i="33"/>
  <c r="J184" i="33"/>
  <c r="V184" i="33"/>
  <c r="J188" i="33"/>
  <c r="V188" i="33"/>
  <c r="V192" i="33"/>
  <c r="J192" i="33"/>
  <c r="V196" i="33"/>
  <c r="J196" i="33"/>
  <c r="V200" i="33"/>
  <c r="J200" i="33"/>
  <c r="V204" i="33"/>
  <c r="J204" i="33"/>
  <c r="V208" i="33"/>
  <c r="J208" i="33"/>
  <c r="V212" i="33"/>
  <c r="J212" i="33"/>
  <c r="V216" i="33"/>
  <c r="J216" i="33"/>
  <c r="V220" i="33"/>
  <c r="J220" i="33"/>
  <c r="V224" i="33"/>
  <c r="J224" i="33"/>
  <c r="V228" i="33"/>
  <c r="J228" i="33"/>
  <c r="V232" i="33"/>
  <c r="J232" i="33"/>
  <c r="J236" i="33"/>
  <c r="V236" i="33"/>
  <c r="J240" i="33"/>
  <c r="V240" i="33"/>
  <c r="J244" i="33"/>
  <c r="V244" i="33"/>
  <c r="J248" i="33"/>
  <c r="V248" i="33"/>
  <c r="J252" i="33"/>
  <c r="V252" i="33"/>
  <c r="J256" i="33"/>
  <c r="V256" i="33"/>
  <c r="J260" i="33"/>
  <c r="V260" i="33"/>
  <c r="J264" i="33"/>
  <c r="V264" i="33"/>
  <c r="J268" i="33"/>
  <c r="V268" i="33"/>
  <c r="J272" i="33"/>
  <c r="V272" i="33"/>
  <c r="J276" i="33"/>
  <c r="V276" i="33"/>
  <c r="J280" i="33"/>
  <c r="V280" i="33"/>
  <c r="J284" i="33"/>
  <c r="V284" i="33"/>
  <c r="J288" i="33"/>
  <c r="V288" i="33"/>
  <c r="J292" i="33"/>
  <c r="V292" i="33"/>
  <c r="J296" i="33"/>
  <c r="V296" i="33"/>
  <c r="L20" i="33"/>
  <c r="L65" i="33"/>
  <c r="L77" i="33"/>
  <c r="L89" i="33"/>
  <c r="L93" i="33"/>
  <c r="L97" i="33"/>
  <c r="L101" i="33"/>
  <c r="L109" i="33"/>
  <c r="L113" i="33"/>
  <c r="L117" i="33"/>
  <c r="L121" i="33"/>
  <c r="L125" i="33"/>
  <c r="L129" i="33"/>
  <c r="L133" i="33"/>
  <c r="L141" i="33"/>
  <c r="L149" i="33"/>
  <c r="L157" i="33"/>
  <c r="L165" i="33"/>
  <c r="L173" i="33"/>
  <c r="L177" i="33"/>
  <c r="L181" i="33"/>
  <c r="L185" i="33"/>
  <c r="L189" i="33"/>
  <c r="L197" i="33"/>
  <c r="L201" i="33"/>
  <c r="L205" i="33"/>
  <c r="L213" i="33"/>
  <c r="L217" i="33"/>
  <c r="L221" i="33"/>
  <c r="L237" i="33"/>
  <c r="L241" i="33"/>
  <c r="L245" i="33"/>
  <c r="L249" i="33"/>
  <c r="L253" i="33"/>
  <c r="L257" i="33"/>
  <c r="L261" i="33"/>
  <c r="L265" i="33"/>
  <c r="L269" i="33"/>
  <c r="L273" i="33"/>
  <c r="L277" i="33"/>
  <c r="L281" i="33"/>
  <c r="L285" i="33"/>
  <c r="L289" i="33"/>
  <c r="L293" i="33"/>
  <c r="L297" i="33"/>
  <c r="L16" i="33"/>
  <c r="L69" i="33"/>
  <c r="L81" i="33"/>
  <c r="J9" i="33"/>
  <c r="V9" i="33"/>
  <c r="J13" i="33"/>
  <c r="V13" i="33"/>
  <c r="J17" i="33"/>
  <c r="V17" i="33"/>
  <c r="J21" i="33"/>
  <c r="V21" i="33"/>
  <c r="J25" i="33"/>
  <c r="V25" i="33"/>
  <c r="J29" i="33"/>
  <c r="V29" i="33"/>
  <c r="V33" i="33"/>
  <c r="J33" i="33"/>
  <c r="J37" i="33"/>
  <c r="V37" i="33"/>
  <c r="J41" i="33"/>
  <c r="V41" i="33"/>
  <c r="J45" i="33"/>
  <c r="V45" i="33"/>
  <c r="J49" i="33"/>
  <c r="V49" i="33"/>
  <c r="V53" i="33"/>
  <c r="J53" i="33"/>
  <c r="J57" i="33"/>
  <c r="V57" i="33"/>
  <c r="J61" i="33"/>
  <c r="V61" i="33"/>
  <c r="J65" i="33"/>
  <c r="V65" i="33"/>
  <c r="V69" i="33"/>
  <c r="J69" i="33"/>
  <c r="J73" i="33"/>
  <c r="V73" i="33"/>
  <c r="V77" i="33"/>
  <c r="J77" i="33"/>
  <c r="J81" i="33"/>
  <c r="V81" i="33"/>
  <c r="V85" i="33"/>
  <c r="J85" i="33"/>
  <c r="J89" i="33"/>
  <c r="V89" i="33"/>
  <c r="V93" i="33"/>
  <c r="J93" i="33"/>
  <c r="V97" i="33"/>
  <c r="J97" i="33"/>
  <c r="J101" i="33"/>
  <c r="V101" i="33"/>
  <c r="J105" i="33"/>
  <c r="V105" i="33"/>
  <c r="V109" i="33"/>
  <c r="J109" i="33"/>
  <c r="J113" i="33"/>
  <c r="V113" i="33"/>
  <c r="J117" i="33"/>
  <c r="V117" i="33"/>
  <c r="J121" i="33"/>
  <c r="V121" i="33"/>
  <c r="V125" i="33"/>
  <c r="J125" i="33"/>
  <c r="V129" i="33"/>
  <c r="J129" i="33"/>
  <c r="J133" i="33"/>
  <c r="V133" i="33"/>
  <c r="V137" i="33"/>
  <c r="J137" i="33"/>
  <c r="J141" i="33"/>
  <c r="V141" i="33"/>
  <c r="J145" i="33"/>
  <c r="V145" i="33"/>
  <c r="J149" i="33"/>
  <c r="V149" i="33"/>
  <c r="J153" i="33"/>
  <c r="V153" i="33"/>
  <c r="J157" i="33"/>
  <c r="V157" i="33"/>
  <c r="V161" i="33"/>
  <c r="J161" i="33"/>
  <c r="J165" i="33"/>
  <c r="V165" i="33"/>
  <c r="J169" i="33"/>
  <c r="V169" i="33"/>
  <c r="J173" i="33"/>
  <c r="V173" i="33"/>
  <c r="J177" i="33"/>
  <c r="V177" i="33"/>
  <c r="J181" i="33"/>
  <c r="V181" i="33"/>
  <c r="J185" i="33"/>
  <c r="V185" i="33"/>
  <c r="J189" i="33"/>
  <c r="V189" i="33"/>
  <c r="J193" i="33"/>
  <c r="V193" i="33"/>
  <c r="J197" i="33"/>
  <c r="V197" i="33"/>
  <c r="J201" i="33"/>
  <c r="V201" i="33"/>
  <c r="J205" i="33"/>
  <c r="V205" i="33"/>
  <c r="J209" i="33"/>
  <c r="V209" i="33"/>
  <c r="J213" i="33"/>
  <c r="V213" i="33"/>
  <c r="J217" i="33"/>
  <c r="V217" i="33"/>
  <c r="J221" i="33"/>
  <c r="V221" i="33"/>
  <c r="J225" i="33"/>
  <c r="V225" i="33"/>
  <c r="J229" i="33"/>
  <c r="V229" i="33"/>
  <c r="J233" i="33"/>
  <c r="V233" i="33"/>
  <c r="J237" i="33"/>
  <c r="V237" i="33"/>
  <c r="J241" i="33"/>
  <c r="V241" i="33"/>
  <c r="J245" i="33"/>
  <c r="V245" i="33"/>
  <c r="J249" i="33"/>
  <c r="V249" i="33"/>
  <c r="V253" i="33"/>
  <c r="J253" i="33"/>
  <c r="V257" i="33"/>
  <c r="J257" i="33"/>
  <c r="V261" i="33"/>
  <c r="J261" i="33"/>
  <c r="V265" i="33"/>
  <c r="J265" i="33"/>
  <c r="V269" i="33"/>
  <c r="J269" i="33"/>
  <c r="V273" i="33"/>
  <c r="J273" i="33"/>
  <c r="V277" i="33"/>
  <c r="J277" i="33"/>
  <c r="V281" i="33"/>
  <c r="J281" i="33"/>
  <c r="V285" i="33"/>
  <c r="J285" i="33"/>
  <c r="V289" i="33"/>
  <c r="J289" i="33"/>
  <c r="V293" i="33"/>
  <c r="J293" i="33"/>
  <c r="V297" i="33"/>
  <c r="J297" i="33"/>
  <c r="L18" i="33"/>
  <c r="L26" i="33"/>
  <c r="L34" i="33"/>
  <c r="L42" i="33"/>
  <c r="L50" i="33"/>
  <c r="L58" i="33"/>
  <c r="L62" i="33"/>
  <c r="L70" i="33"/>
  <c r="L74" i="33"/>
  <c r="L78" i="33"/>
  <c r="L82" i="33"/>
  <c r="L90" i="33"/>
  <c r="L94" i="33"/>
  <c r="L98" i="33"/>
  <c r="L102" i="33"/>
  <c r="L106" i="33"/>
  <c r="L110" i="33"/>
  <c r="L114" i="33"/>
  <c r="L126" i="33"/>
  <c r="L138" i="33"/>
  <c r="L142" i="33"/>
  <c r="L146" i="33"/>
  <c r="L150" i="33"/>
  <c r="L154" i="33"/>
  <c r="L158" i="33"/>
  <c r="L162" i="33"/>
  <c r="L166" i="33"/>
  <c r="L170" i="33"/>
  <c r="L174" i="33"/>
  <c r="L178" i="33"/>
  <c r="L182" i="33"/>
  <c r="L186" i="33"/>
  <c r="L190" i="33"/>
  <c r="L194" i="33"/>
  <c r="L198" i="33"/>
  <c r="L202" i="33"/>
  <c r="L206" i="33"/>
  <c r="L210" i="33"/>
  <c r="L214" i="33"/>
  <c r="L218" i="33"/>
  <c r="L222" i="33"/>
  <c r="L226" i="33"/>
  <c r="L230" i="33"/>
  <c r="L234" i="33"/>
  <c r="L238" i="33"/>
  <c r="L242" i="33"/>
  <c r="L246" i="33"/>
  <c r="L250" i="33"/>
  <c r="L254" i="33"/>
  <c r="L258" i="33"/>
  <c r="L262" i="33"/>
  <c r="L266" i="33"/>
  <c r="L270" i="33"/>
  <c r="L274" i="33"/>
  <c r="L278" i="33"/>
  <c r="L282" i="33"/>
  <c r="L286" i="33"/>
  <c r="L290" i="33"/>
  <c r="L294" i="33"/>
  <c r="L298" i="33"/>
  <c r="P67" i="33"/>
  <c r="L14" i="33"/>
  <c r="L22" i="33"/>
  <c r="L30" i="33"/>
  <c r="L38" i="33"/>
  <c r="L46" i="33"/>
  <c r="L54" i="33"/>
  <c r="L66" i="33"/>
  <c r="L86" i="33"/>
  <c r="V10" i="33"/>
  <c r="J10" i="33"/>
  <c r="V14" i="33"/>
  <c r="J14" i="33"/>
  <c r="V18" i="33"/>
  <c r="J18" i="33"/>
  <c r="V22" i="33"/>
  <c r="J22" i="33"/>
  <c r="V26" i="33"/>
  <c r="J26" i="33"/>
  <c r="V30" i="33"/>
  <c r="J30" i="33"/>
  <c r="V34" i="33"/>
  <c r="J34" i="33"/>
  <c r="V38" i="33"/>
  <c r="J38" i="33"/>
  <c r="V42" i="33"/>
  <c r="J42" i="33"/>
  <c r="V46" i="33"/>
  <c r="J46" i="33"/>
  <c r="V50" i="33"/>
  <c r="J50" i="33"/>
  <c r="V54" i="33"/>
  <c r="J54" i="33"/>
  <c r="V58" i="33"/>
  <c r="J58" i="33"/>
  <c r="J62" i="33"/>
  <c r="V62" i="33"/>
  <c r="V66" i="33"/>
  <c r="J66" i="33"/>
  <c r="V70" i="33"/>
  <c r="J70" i="33"/>
  <c r="V74" i="33"/>
  <c r="J74" i="33"/>
  <c r="J78" i="33"/>
  <c r="V78" i="33"/>
  <c r="V82" i="33"/>
  <c r="J82" i="33"/>
  <c r="J86" i="33"/>
  <c r="V86" i="33"/>
  <c r="V90" i="33"/>
  <c r="J90" i="33"/>
  <c r="J94" i="33"/>
  <c r="V94" i="33"/>
  <c r="J98" i="33"/>
  <c r="V98" i="33"/>
  <c r="J102" i="33"/>
  <c r="V102" i="33"/>
  <c r="J106" i="33"/>
  <c r="V106" i="33"/>
  <c r="V110" i="33"/>
  <c r="J110" i="33"/>
  <c r="V114" i="33"/>
  <c r="J114" i="33"/>
  <c r="J118" i="33"/>
  <c r="V118" i="33"/>
  <c r="J122" i="33"/>
  <c r="V122" i="33"/>
  <c r="J126" i="33"/>
  <c r="V126" i="33"/>
  <c r="J130" i="33"/>
  <c r="V130" i="33"/>
  <c r="V134" i="33"/>
  <c r="J134" i="33"/>
  <c r="J138" i="33"/>
  <c r="V138" i="33"/>
  <c r="J142" i="33"/>
  <c r="V142" i="33"/>
  <c r="J146" i="33"/>
  <c r="V146" i="33"/>
  <c r="J150" i="33"/>
  <c r="V150" i="33"/>
  <c r="V154" i="33"/>
  <c r="J154" i="33"/>
  <c r="V158" i="33"/>
  <c r="J158" i="33"/>
  <c r="V162" i="33"/>
  <c r="J162" i="33"/>
  <c r="V166" i="33"/>
  <c r="J166" i="33"/>
  <c r="V170" i="33"/>
  <c r="J170" i="33"/>
  <c r="J174" i="33"/>
  <c r="V174" i="33"/>
  <c r="J178" i="33"/>
  <c r="V178" i="33"/>
  <c r="J182" i="33"/>
  <c r="V182" i="33"/>
  <c r="J186" i="33"/>
  <c r="V186" i="33"/>
  <c r="J190" i="33"/>
  <c r="V190" i="33"/>
  <c r="V194" i="33"/>
  <c r="J194" i="33"/>
  <c r="V198" i="33"/>
  <c r="J198" i="33"/>
  <c r="V202" i="33"/>
  <c r="J202" i="33"/>
  <c r="V206" i="33"/>
  <c r="J206" i="33"/>
  <c r="V210" i="33"/>
  <c r="J210" i="33"/>
  <c r="V214" i="33"/>
  <c r="J214" i="33"/>
  <c r="V218" i="33"/>
  <c r="J218" i="33"/>
  <c r="V222" i="33"/>
  <c r="J222" i="33"/>
  <c r="V226" i="33"/>
  <c r="J226" i="33"/>
  <c r="V230" i="33"/>
  <c r="J230" i="33"/>
  <c r="J234" i="33"/>
  <c r="V234" i="33"/>
  <c r="J238" i="33"/>
  <c r="V238" i="33"/>
  <c r="J242" i="33"/>
  <c r="V242" i="33"/>
  <c r="J246" i="33"/>
  <c r="V246" i="33"/>
  <c r="V250" i="33"/>
  <c r="J250" i="33"/>
  <c r="V254" i="33"/>
  <c r="J254" i="33"/>
  <c r="V258" i="33"/>
  <c r="J258" i="33"/>
  <c r="J262" i="33"/>
  <c r="V262" i="33"/>
  <c r="V266" i="33"/>
  <c r="J266" i="33"/>
  <c r="J270" i="33"/>
  <c r="V270" i="33"/>
  <c r="V274" i="33"/>
  <c r="J274" i="33"/>
  <c r="J278" i="33"/>
  <c r="V278" i="33"/>
  <c r="V282" i="33"/>
  <c r="J282" i="33"/>
  <c r="J286" i="33"/>
  <c r="V286" i="33"/>
  <c r="V290" i="33"/>
  <c r="J290" i="33"/>
  <c r="J294" i="33"/>
  <c r="V294" i="33"/>
  <c r="V298" i="33"/>
  <c r="J298" i="33"/>
  <c r="P75" i="33"/>
  <c r="L10" i="33"/>
  <c r="M67" i="33"/>
  <c r="M75" i="33"/>
  <c r="L79" i="33"/>
  <c r="M91" i="33"/>
  <c r="L95" i="33"/>
  <c r="L99" i="33"/>
  <c r="L123" i="33"/>
  <c r="L127" i="33"/>
  <c r="L135" i="33"/>
  <c r="L143" i="33"/>
  <c r="L179" i="33"/>
  <c r="L187" i="33"/>
  <c r="L191" i="33"/>
  <c r="L195" i="33"/>
  <c r="L199" i="33"/>
  <c r="L203" i="33"/>
  <c r="L207" i="33"/>
  <c r="L211" i="33"/>
  <c r="L215" i="33"/>
  <c r="L219" i="33"/>
  <c r="L235" i="33"/>
  <c r="L239" i="33"/>
  <c r="L243" i="33"/>
  <c r="L247" i="33"/>
  <c r="L251" i="33"/>
  <c r="L255" i="33"/>
  <c r="L259" i="33"/>
  <c r="L263" i="33"/>
  <c r="L267" i="33"/>
  <c r="L271" i="33"/>
  <c r="L275" i="33"/>
  <c r="L279" i="33"/>
  <c r="L283" i="33"/>
  <c r="L287" i="33"/>
  <c r="L291" i="33"/>
  <c r="L295" i="33"/>
  <c r="L299" i="33"/>
  <c r="P83" i="33"/>
  <c r="L63" i="33"/>
  <c r="M83" i="33"/>
  <c r="L103" i="33"/>
  <c r="J11" i="33"/>
  <c r="V11" i="33"/>
  <c r="J15" i="33"/>
  <c r="V15" i="33"/>
  <c r="J19" i="33"/>
  <c r="V19" i="33"/>
  <c r="J23" i="33"/>
  <c r="V23" i="33"/>
  <c r="J27" i="33"/>
  <c r="V27" i="33"/>
  <c r="J31" i="33"/>
  <c r="V31" i="33"/>
  <c r="J35" i="33"/>
  <c r="V35" i="33"/>
  <c r="J39" i="33"/>
  <c r="V39" i="33"/>
  <c r="J43" i="33"/>
  <c r="V43" i="33"/>
  <c r="J47" i="33"/>
  <c r="V47" i="33"/>
  <c r="J51" i="33"/>
  <c r="V51" i="33"/>
  <c r="J55" i="33"/>
  <c r="V55" i="33"/>
  <c r="J59" i="33"/>
  <c r="V59" i="33"/>
  <c r="V63" i="33"/>
  <c r="J63" i="33"/>
  <c r="J67" i="33"/>
  <c r="V67" i="33"/>
  <c r="J71" i="33"/>
  <c r="V71" i="33"/>
  <c r="J75" i="33"/>
  <c r="V75" i="33"/>
  <c r="V79" i="33"/>
  <c r="J79" i="33"/>
  <c r="J83" i="33"/>
  <c r="V83" i="33"/>
  <c r="V87" i="33"/>
  <c r="J87" i="33"/>
  <c r="V91" i="33"/>
  <c r="J91" i="33"/>
  <c r="J95" i="33"/>
  <c r="V95" i="33"/>
  <c r="V99" i="33"/>
  <c r="J99" i="33"/>
  <c r="J103" i="33"/>
  <c r="V103" i="33"/>
  <c r="V107" i="33"/>
  <c r="J107" i="33"/>
  <c r="J111" i="33"/>
  <c r="V111" i="33"/>
  <c r="J115" i="33"/>
  <c r="V115" i="33"/>
  <c r="J119" i="33"/>
  <c r="V119" i="33"/>
  <c r="J123" i="33"/>
  <c r="V123" i="33"/>
  <c r="J127" i="33"/>
  <c r="V127" i="33"/>
  <c r="V131" i="33"/>
  <c r="J131" i="33"/>
  <c r="J135" i="33"/>
  <c r="V135" i="33"/>
  <c r="J139" i="33"/>
  <c r="V139" i="33"/>
  <c r="J143" i="33"/>
  <c r="V143" i="33"/>
  <c r="V147" i="33"/>
  <c r="J147" i="33"/>
  <c r="V151" i="33"/>
  <c r="J151" i="33"/>
  <c r="V155" i="33"/>
  <c r="J155" i="33"/>
  <c r="V159" i="33"/>
  <c r="J159" i="33"/>
  <c r="J163" i="33"/>
  <c r="V163" i="33"/>
  <c r="V167" i="33"/>
  <c r="J167" i="33"/>
  <c r="J171" i="33"/>
  <c r="V171" i="33"/>
  <c r="V175" i="33"/>
  <c r="J175" i="33"/>
  <c r="J179" i="33"/>
  <c r="V179" i="33"/>
  <c r="J183" i="33"/>
  <c r="V183" i="33"/>
  <c r="J187" i="33"/>
  <c r="V187" i="33"/>
  <c r="J191" i="33"/>
  <c r="V191" i="33"/>
  <c r="J195" i="33"/>
  <c r="V195" i="33"/>
  <c r="J199" i="33"/>
  <c r="V199" i="33"/>
  <c r="J203" i="33"/>
  <c r="V203" i="33"/>
  <c r="J207" i="33"/>
  <c r="V207" i="33"/>
  <c r="J211" i="33"/>
  <c r="V211" i="33"/>
  <c r="J215" i="33"/>
  <c r="V215" i="33"/>
  <c r="J219" i="33"/>
  <c r="V219" i="33"/>
  <c r="J223" i="33"/>
  <c r="V223" i="33"/>
  <c r="J227" i="33"/>
  <c r="V227" i="33"/>
  <c r="J231" i="33"/>
  <c r="V231" i="33"/>
  <c r="J235" i="33"/>
  <c r="V235" i="33"/>
  <c r="J239" i="33"/>
  <c r="V239" i="33"/>
  <c r="J243" i="33"/>
  <c r="V243" i="33"/>
  <c r="J247" i="33"/>
  <c r="V247" i="33"/>
  <c r="V251" i="33"/>
  <c r="J251" i="33"/>
  <c r="J255" i="33"/>
  <c r="V255" i="33"/>
  <c r="V259" i="33"/>
  <c r="J259" i="33"/>
  <c r="V263" i="33"/>
  <c r="J263" i="33"/>
  <c r="V267" i="33"/>
  <c r="J267" i="33"/>
  <c r="V271" i="33"/>
  <c r="J271" i="33"/>
  <c r="V275" i="33"/>
  <c r="J275" i="33"/>
  <c r="V279" i="33"/>
  <c r="J279" i="33"/>
  <c r="V283" i="33"/>
  <c r="J283" i="33"/>
  <c r="V287" i="33"/>
  <c r="J287" i="33"/>
  <c r="V291" i="33"/>
  <c r="J291" i="33"/>
  <c r="V295" i="33"/>
  <c r="J295" i="33"/>
  <c r="V299" i="33"/>
  <c r="J299" i="33"/>
  <c r="P91" i="33"/>
  <c r="S49" i="33"/>
  <c r="P49" i="33"/>
  <c r="P147" i="33"/>
  <c r="S147" i="33"/>
  <c r="P163" i="33"/>
  <c r="S163" i="33"/>
  <c r="P128" i="33"/>
  <c r="S128" i="33"/>
  <c r="P161" i="33"/>
  <c r="S161" i="33"/>
  <c r="P169" i="33"/>
  <c r="S169" i="33"/>
  <c r="P227" i="33"/>
  <c r="S227" i="33"/>
  <c r="P11" i="33"/>
  <c r="S11" i="33"/>
  <c r="P27" i="33"/>
  <c r="S27" i="33"/>
  <c r="P43" i="33"/>
  <c r="S43" i="33"/>
  <c r="P59" i="33"/>
  <c r="S59" i="33"/>
  <c r="S17" i="33"/>
  <c r="P17" i="33"/>
  <c r="S37" i="33"/>
  <c r="P37" i="33"/>
  <c r="S122" i="33"/>
  <c r="P122" i="33"/>
  <c r="P153" i="33"/>
  <c r="S153" i="33"/>
  <c r="P116" i="33"/>
  <c r="S116" i="33"/>
  <c r="P233" i="33"/>
  <c r="S233" i="33"/>
  <c r="S21" i="33"/>
  <c r="P21" i="33"/>
  <c r="S73" i="33"/>
  <c r="P73" i="33"/>
  <c r="S53" i="33"/>
  <c r="P53" i="33"/>
  <c r="S151" i="33"/>
  <c r="P151" i="33"/>
  <c r="S167" i="33"/>
  <c r="P167" i="33"/>
  <c r="P139" i="33"/>
  <c r="S139" i="33"/>
  <c r="S155" i="33"/>
  <c r="P155" i="33"/>
  <c r="P231" i="33"/>
  <c r="S231" i="33"/>
  <c r="P209" i="33"/>
  <c r="S209" i="33"/>
  <c r="S15" i="33"/>
  <c r="P15" i="33"/>
  <c r="S31" i="33"/>
  <c r="P31" i="33"/>
  <c r="S47" i="33"/>
  <c r="P47" i="33"/>
  <c r="S13" i="33"/>
  <c r="P13" i="33"/>
  <c r="P120" i="33"/>
  <c r="S120" i="33"/>
  <c r="P171" i="33"/>
  <c r="S171" i="33"/>
  <c r="P124" i="33"/>
  <c r="S124" i="33"/>
  <c r="P107" i="33"/>
  <c r="S107" i="33"/>
  <c r="P223" i="33"/>
  <c r="S223" i="33"/>
  <c r="P193" i="33"/>
  <c r="S193" i="33"/>
  <c r="S9" i="33"/>
  <c r="P9" i="33"/>
  <c r="S71" i="33"/>
  <c r="P71" i="33"/>
  <c r="P105" i="33"/>
  <c r="S105" i="33"/>
  <c r="P111" i="33"/>
  <c r="S111" i="33"/>
  <c r="P85" i="33"/>
  <c r="S85" i="33"/>
  <c r="S41" i="33"/>
  <c r="P41" i="33"/>
  <c r="P118" i="33"/>
  <c r="S118" i="33"/>
  <c r="S119" i="33"/>
  <c r="P119" i="33"/>
  <c r="P175" i="33"/>
  <c r="S175" i="33"/>
  <c r="P225" i="33"/>
  <c r="S225" i="33"/>
  <c r="P19" i="33"/>
  <c r="S19" i="33"/>
  <c r="S35" i="33"/>
  <c r="P35" i="33"/>
  <c r="S51" i="33"/>
  <c r="P51" i="33"/>
  <c r="S29" i="33"/>
  <c r="P29" i="33"/>
  <c r="S33" i="33"/>
  <c r="P33" i="33"/>
  <c r="S131" i="33"/>
  <c r="P131" i="33"/>
  <c r="P145" i="33"/>
  <c r="S145" i="33"/>
  <c r="S25" i="33"/>
  <c r="P25" i="33"/>
  <c r="P61" i="33"/>
  <c r="S61" i="33"/>
  <c r="S137" i="33"/>
  <c r="P137" i="33"/>
  <c r="S115" i="33"/>
  <c r="P115" i="33"/>
  <c r="S159" i="33"/>
  <c r="P159" i="33"/>
  <c r="P130" i="33"/>
  <c r="S130" i="33"/>
  <c r="P23" i="33"/>
  <c r="S23" i="33"/>
  <c r="S39" i="33"/>
  <c r="P39" i="33"/>
  <c r="S55" i="33"/>
  <c r="P55" i="33"/>
  <c r="S45" i="33"/>
  <c r="P45" i="33"/>
  <c r="S87" i="33"/>
  <c r="P87" i="33"/>
  <c r="S57" i="33"/>
  <c r="P57" i="33"/>
  <c r="P134" i="33"/>
  <c r="S134" i="33"/>
  <c r="P229" i="33"/>
  <c r="S229" i="33"/>
  <c r="P183" i="33"/>
  <c r="S183" i="33"/>
  <c r="M49" i="33"/>
  <c r="M147" i="33"/>
  <c r="M163" i="33"/>
  <c r="M128" i="33"/>
  <c r="M161" i="33"/>
  <c r="M169" i="33"/>
  <c r="M227" i="33"/>
  <c r="M11" i="33"/>
  <c r="M27" i="33"/>
  <c r="M43" i="33"/>
  <c r="M59" i="33"/>
  <c r="M17" i="33"/>
  <c r="M37" i="33"/>
  <c r="M122" i="33"/>
  <c r="M153" i="33"/>
  <c r="M116" i="33"/>
  <c r="M233" i="33"/>
  <c r="M21" i="33"/>
  <c r="M73" i="33"/>
  <c r="M53" i="33"/>
  <c r="M151" i="33"/>
  <c r="M167" i="33"/>
  <c r="M139" i="33"/>
  <c r="M155" i="33"/>
  <c r="M231" i="33"/>
  <c r="M209" i="33"/>
  <c r="M15" i="33"/>
  <c r="M31" i="33"/>
  <c r="M47" i="33"/>
  <c r="M13" i="33"/>
  <c r="M120" i="33"/>
  <c r="M171" i="33"/>
  <c r="M124" i="33"/>
  <c r="M107" i="33"/>
  <c r="M223" i="33"/>
  <c r="M193" i="33"/>
  <c r="M9" i="33"/>
  <c r="M71" i="33"/>
  <c r="M105" i="33"/>
  <c r="M111" i="33"/>
  <c r="M85" i="33"/>
  <c r="M41" i="33"/>
  <c r="M118" i="33"/>
  <c r="M119" i="33"/>
  <c r="M175" i="33"/>
  <c r="M225" i="33"/>
  <c r="M19" i="33"/>
  <c r="M35" i="33"/>
  <c r="M51" i="33"/>
  <c r="M29" i="33"/>
  <c r="M33" i="33"/>
  <c r="M131" i="33"/>
  <c r="M145" i="33"/>
  <c r="M25" i="33"/>
  <c r="M61" i="33"/>
  <c r="M137" i="33"/>
  <c r="M115" i="33"/>
  <c r="M159" i="33"/>
  <c r="M130" i="33"/>
  <c r="M23" i="33"/>
  <c r="M39" i="33"/>
  <c r="M55" i="33"/>
  <c r="M45" i="33"/>
  <c r="M87" i="33"/>
  <c r="M57" i="33"/>
  <c r="M134" i="33"/>
  <c r="M229" i="33"/>
  <c r="M183" i="33"/>
  <c r="B56" i="29"/>
  <c r="D147" i="35"/>
  <c r="D28" i="35"/>
  <c r="R117" i="33"/>
  <c r="R203" i="33"/>
  <c r="N104" i="33"/>
  <c r="R283" i="33"/>
  <c r="N278" i="33"/>
  <c r="R154" i="33"/>
  <c r="R84" i="33"/>
  <c r="N68" i="33"/>
  <c r="R252" i="33"/>
  <c r="N244" i="33"/>
  <c r="R136" i="33"/>
  <c r="R157" i="33"/>
  <c r="N96" i="33"/>
  <c r="R95" i="33"/>
  <c r="N276" i="33"/>
  <c r="N238" i="33"/>
  <c r="R30" i="33"/>
  <c r="N156" i="33"/>
  <c r="N208" i="33"/>
  <c r="R238" i="33"/>
  <c r="N251" i="33"/>
  <c r="R198" i="33"/>
  <c r="N149" i="33"/>
  <c r="N54" i="33"/>
  <c r="N66" i="33"/>
  <c r="N214" i="33"/>
  <c r="R285" i="33"/>
  <c r="R250" i="33"/>
  <c r="R237" i="33"/>
  <c r="N258" i="33"/>
  <c r="R99" i="33"/>
  <c r="N74" i="33"/>
  <c r="N81" i="33"/>
  <c r="R92" i="33"/>
  <c r="R40" i="33"/>
  <c r="R273" i="33"/>
  <c r="R64" i="33"/>
  <c r="R63" i="33"/>
  <c r="R269" i="33"/>
  <c r="N135" i="33"/>
  <c r="R194" i="33"/>
  <c r="N282" i="33"/>
  <c r="R20" i="33"/>
  <c r="R108" i="33"/>
  <c r="N247" i="33"/>
  <c r="N12" i="33"/>
  <c r="R192" i="33"/>
  <c r="N72" i="33"/>
  <c r="N299" i="33"/>
  <c r="N216" i="33"/>
  <c r="N52" i="33"/>
  <c r="N290" i="33"/>
  <c r="R190" i="33"/>
  <c r="N237" i="33"/>
  <c r="N213" i="33"/>
  <c r="N239" i="33"/>
  <c r="N144" i="33"/>
  <c r="N44" i="33"/>
  <c r="R245" i="33"/>
  <c r="N222" i="33"/>
  <c r="R202" i="33"/>
  <c r="N236" i="33"/>
  <c r="R103" i="33"/>
  <c r="R121" i="33"/>
  <c r="N82" i="33"/>
  <c r="R261" i="33"/>
  <c r="R254" i="33"/>
  <c r="R38" i="33"/>
  <c r="R210" i="33"/>
  <c r="N189" i="33"/>
  <c r="R176" i="33"/>
  <c r="R100" i="33"/>
  <c r="R247" i="33"/>
  <c r="R293" i="33"/>
  <c r="N123" i="33"/>
  <c r="N256" i="33"/>
  <c r="R77" i="33"/>
  <c r="N110" i="33"/>
  <c r="R204" i="33"/>
  <c r="R207" i="33"/>
  <c r="R152" i="33"/>
  <c r="N217" i="33"/>
  <c r="N294" i="33"/>
  <c r="R179" i="33"/>
  <c r="R113" i="33"/>
  <c r="N176" i="33"/>
  <c r="N224" i="33"/>
  <c r="R248" i="33"/>
  <c r="R89" i="33"/>
  <c r="R69" i="33"/>
  <c r="R197" i="33"/>
  <c r="R185" i="33"/>
  <c r="N79" i="33"/>
  <c r="R18" i="33"/>
  <c r="N56" i="33"/>
  <c r="R224" i="33"/>
  <c r="N18" i="33"/>
  <c r="R68" i="33"/>
  <c r="N93" i="33"/>
  <c r="R271" i="33"/>
  <c r="R195" i="33"/>
  <c r="R62" i="33"/>
  <c r="R295" i="33"/>
  <c r="N261" i="33"/>
  <c r="N270" i="33"/>
  <c r="R32" i="33"/>
  <c r="R278" i="33"/>
  <c r="N70" i="33"/>
  <c r="N188" i="33"/>
  <c r="N158" i="33"/>
  <c r="N265" i="33"/>
  <c r="N152" i="33"/>
  <c r="R143" i="33"/>
  <c r="R228" i="33"/>
  <c r="N190" i="33"/>
  <c r="N204" i="33"/>
  <c r="N245" i="33"/>
  <c r="N187" i="33"/>
  <c r="N88" i="33"/>
  <c r="R206" i="33"/>
  <c r="R258" i="33"/>
  <c r="R205" i="33"/>
  <c r="N50" i="33"/>
  <c r="R14" i="33"/>
  <c r="R180" i="33"/>
  <c r="R222" i="33"/>
  <c r="N16" i="33"/>
  <c r="R220" i="33"/>
  <c r="N30" i="33"/>
  <c r="R60" i="33"/>
  <c r="R275" i="33"/>
  <c r="N148" i="33"/>
  <c r="R188" i="33"/>
  <c r="N200" i="33"/>
  <c r="N234" i="33"/>
  <c r="R133" i="33"/>
  <c r="R279" i="33"/>
  <c r="N293" i="33"/>
  <c r="R281" i="33"/>
  <c r="R240" i="33"/>
  <c r="N218" i="33"/>
  <c r="R268" i="33"/>
  <c r="R16" i="33"/>
  <c r="R219" i="33"/>
  <c r="N201" i="33"/>
  <c r="R299" i="33"/>
  <c r="N154" i="33"/>
  <c r="R78" i="33"/>
  <c r="N84" i="33"/>
  <c r="N97" i="33"/>
  <c r="R123" i="33"/>
  <c r="N255" i="33"/>
  <c r="R263" i="33"/>
  <c r="R102" i="33"/>
  <c r="N220" i="33"/>
  <c r="R12" i="33"/>
  <c r="N198" i="33"/>
  <c r="N165" i="33"/>
  <c r="N69" i="33"/>
  <c r="R298" i="33"/>
  <c r="N99" i="33"/>
  <c r="R246" i="33"/>
  <c r="R98" i="33"/>
  <c r="N14" i="33"/>
  <c r="N232" i="33"/>
  <c r="R264" i="33"/>
  <c r="N205" i="33"/>
  <c r="R216" i="33"/>
  <c r="R181" i="33"/>
  <c r="N253" i="33"/>
  <c r="R160" i="33"/>
  <c r="N178" i="33"/>
  <c r="N271" i="33"/>
  <c r="R284" i="33"/>
  <c r="R138" i="33"/>
  <c r="N76" i="33"/>
  <c r="N182" i="33"/>
  <c r="R104" i="33"/>
  <c r="N125" i="33"/>
  <c r="N114" i="33"/>
  <c r="R244" i="33"/>
  <c r="R170" i="33"/>
  <c r="N58" i="33"/>
  <c r="R48" i="33"/>
  <c r="R165" i="33"/>
  <c r="R80" i="33"/>
  <c r="R235" i="33"/>
  <c r="N277" i="33"/>
  <c r="R234" i="33"/>
  <c r="N288" i="33"/>
  <c r="R106" i="33"/>
  <c r="R201" i="33"/>
  <c r="N226" i="33"/>
  <c r="N286" i="33"/>
  <c r="N295" i="33"/>
  <c r="R162" i="33"/>
  <c r="R141" i="33"/>
  <c r="R199" i="33"/>
  <c r="N34" i="33"/>
  <c r="N108" i="33"/>
  <c r="N202" i="33"/>
  <c r="R54" i="33"/>
  <c r="R291" i="33"/>
  <c r="R182" i="33"/>
  <c r="N264" i="33"/>
  <c r="R262" i="33"/>
  <c r="N230" i="33"/>
  <c r="R177" i="33"/>
  <c r="N292" i="33"/>
  <c r="N98" i="33"/>
  <c r="N240" i="33"/>
  <c r="N117" i="33"/>
  <c r="N212" i="33"/>
  <c r="R189" i="33"/>
  <c r="R56" i="33"/>
  <c r="N186" i="33"/>
  <c r="N284" i="33"/>
  <c r="N254" i="33"/>
  <c r="N298" i="33"/>
  <c r="R265" i="33"/>
  <c r="R242" i="33"/>
  <c r="R267" i="33"/>
  <c r="N207" i="33"/>
  <c r="R93" i="33"/>
  <c r="N199" i="33"/>
  <c r="R164" i="33"/>
  <c r="N126" i="33"/>
  <c r="R86" i="33"/>
  <c r="N60" i="33"/>
  <c r="R211" i="33"/>
  <c r="R214" i="33"/>
  <c r="N250" i="33"/>
  <c r="R226" i="33"/>
  <c r="R140" i="33"/>
  <c r="N142" i="33"/>
  <c r="N101" i="33"/>
  <c r="R126" i="33"/>
  <c r="N100" i="33"/>
  <c r="N215" i="33"/>
  <c r="R46" i="33"/>
  <c r="N180" i="33"/>
  <c r="N262" i="33"/>
  <c r="N273" i="33"/>
  <c r="N191" i="33"/>
  <c r="N150" i="33"/>
  <c r="N136" i="33"/>
  <c r="N177" i="33"/>
  <c r="R296" i="33"/>
  <c r="N63" i="33"/>
  <c r="N267" i="33"/>
  <c r="N140" i="33"/>
  <c r="R173" i="33"/>
  <c r="R236" i="33"/>
  <c r="N243" i="33"/>
  <c r="N109" i="33"/>
  <c r="N138" i="33"/>
  <c r="N197" i="33"/>
  <c r="R168" i="33"/>
  <c r="N166" i="33"/>
  <c r="R158" i="33"/>
  <c r="R76" i="33"/>
  <c r="N95" i="33"/>
  <c r="N28" i="33"/>
  <c r="R156" i="33"/>
  <c r="R187" i="33"/>
  <c r="R255" i="33"/>
  <c r="N268" i="33"/>
  <c r="N192" i="33"/>
  <c r="N133" i="33"/>
  <c r="R292" i="33"/>
  <c r="R34" i="33"/>
  <c r="N246" i="33"/>
  <c r="N168" i="33"/>
  <c r="N297" i="33"/>
  <c r="N173" i="33"/>
  <c r="R276" i="33"/>
  <c r="R24" i="33"/>
  <c r="R149" i="33"/>
  <c r="R22" i="33"/>
  <c r="N22" i="33"/>
  <c r="R26" i="33"/>
  <c r="R66" i="33"/>
  <c r="N241" i="33"/>
  <c r="R266" i="33"/>
  <c r="R288" i="33"/>
  <c r="N42" i="33"/>
  <c r="R221" i="33"/>
  <c r="N36" i="33"/>
  <c r="R184" i="33"/>
  <c r="N40" i="33"/>
  <c r="R280" i="33"/>
  <c r="R243" i="33"/>
  <c r="N181" i="33"/>
  <c r="R112" i="33"/>
  <c r="N62" i="33"/>
  <c r="N106" i="33"/>
  <c r="R127" i="33"/>
  <c r="R36" i="33"/>
  <c r="N143" i="33"/>
  <c r="N141" i="33"/>
  <c r="R144" i="33"/>
  <c r="R256" i="33"/>
  <c r="N146" i="33"/>
  <c r="N266" i="33"/>
  <c r="N275" i="33"/>
  <c r="R58" i="33"/>
  <c r="N121" i="33"/>
  <c r="R90" i="33"/>
  <c r="R94" i="33"/>
  <c r="N289" i="33"/>
  <c r="N283" i="33"/>
  <c r="R274" i="33"/>
  <c r="N281" i="33"/>
  <c r="N157" i="33"/>
  <c r="R79" i="33"/>
  <c r="N211" i="33"/>
  <c r="R218" i="33"/>
  <c r="N20" i="33"/>
  <c r="N127" i="33"/>
  <c r="R191" i="33"/>
  <c r="R174" i="33"/>
  <c r="N185" i="33"/>
  <c r="N24" i="33"/>
  <c r="R215" i="33"/>
  <c r="N90" i="33"/>
  <c r="N48" i="33"/>
  <c r="N174" i="33"/>
  <c r="R232" i="33"/>
  <c r="R294" i="33"/>
  <c r="R196" i="33"/>
  <c r="R88" i="33"/>
  <c r="R286" i="33"/>
  <c r="N219" i="33"/>
  <c r="N195" i="33"/>
  <c r="N86" i="33"/>
  <c r="R52" i="33"/>
  <c r="N160" i="33"/>
  <c r="R290" i="33"/>
  <c r="N64" i="33"/>
  <c r="N248" i="33"/>
  <c r="R96" i="33"/>
  <c r="N263" i="33"/>
  <c r="R125" i="33"/>
  <c r="R166" i="33"/>
  <c r="N129" i="33"/>
  <c r="N210" i="33"/>
  <c r="R241" i="33"/>
  <c r="N279" i="33"/>
  <c r="N170" i="33"/>
  <c r="R272" i="33"/>
  <c r="N77" i="33"/>
  <c r="N164" i="33"/>
  <c r="N38" i="33"/>
  <c r="R44" i="33"/>
  <c r="R142" i="33"/>
  <c r="R282" i="33"/>
  <c r="N194" i="33"/>
  <c r="R260" i="33"/>
  <c r="R135" i="33"/>
  <c r="N179" i="33"/>
  <c r="R287" i="33"/>
  <c r="N89" i="33"/>
  <c r="N249" i="33"/>
  <c r="R200" i="33"/>
  <c r="R70" i="33"/>
  <c r="R72" i="33"/>
  <c r="N235" i="33"/>
  <c r="N274" i="33"/>
  <c r="N78" i="33"/>
  <c r="R42" i="33"/>
  <c r="R101" i="33"/>
  <c r="R217" i="33"/>
  <c r="N269" i="33"/>
  <c r="N112" i="33"/>
  <c r="N203" i="33"/>
  <c r="N260" i="33"/>
  <c r="N285" i="33"/>
  <c r="R109" i="33"/>
  <c r="R97" i="33"/>
  <c r="R253" i="33"/>
  <c r="R150" i="33"/>
  <c r="N103" i="33"/>
  <c r="R50" i="33"/>
  <c r="N252" i="33"/>
  <c r="R132" i="33"/>
  <c r="R297" i="33"/>
  <c r="R230" i="33"/>
  <c r="N242" i="33"/>
  <c r="N280" i="33"/>
  <c r="N272" i="33"/>
  <c r="N132" i="33"/>
  <c r="N287" i="33"/>
  <c r="R186" i="33"/>
  <c r="N113" i="33"/>
  <c r="R81" i="33"/>
  <c r="N162" i="33"/>
  <c r="N102" i="33"/>
  <c r="N26" i="33"/>
  <c r="N32" i="33"/>
  <c r="R74" i="33"/>
  <c r="R277" i="33"/>
  <c r="R208" i="33"/>
  <c r="R249" i="33"/>
  <c r="N65" i="33"/>
  <c r="N296" i="33"/>
  <c r="R28" i="33"/>
  <c r="R213" i="33"/>
  <c r="N228" i="33"/>
  <c r="R114" i="33"/>
  <c r="N184" i="33"/>
  <c r="R82" i="33"/>
  <c r="N206" i="33"/>
  <c r="R259" i="33"/>
  <c r="N80" i="33"/>
  <c r="R148" i="33"/>
  <c r="N196" i="33"/>
  <c r="R270" i="33"/>
  <c r="R239" i="33"/>
  <c r="R251" i="33"/>
  <c r="R212" i="33"/>
  <c r="R65" i="33"/>
  <c r="R257" i="33"/>
  <c r="N221" i="33"/>
  <c r="R129" i="33"/>
  <c r="R110" i="33"/>
  <c r="N259" i="33"/>
  <c r="N46" i="33"/>
  <c r="N94" i="33"/>
  <c r="N291" i="33"/>
  <c r="R178" i="33"/>
  <c r="R146" i="33"/>
  <c r="R289" i="33"/>
  <c r="N257" i="33"/>
  <c r="N92" i="33"/>
  <c r="N10" i="33"/>
  <c r="R10" i="33"/>
  <c r="P287" i="33" l="1"/>
  <c r="S287" i="33"/>
  <c r="P271" i="33"/>
  <c r="S271" i="33"/>
  <c r="P255" i="33"/>
  <c r="S255" i="33"/>
  <c r="P239" i="33"/>
  <c r="S239" i="33"/>
  <c r="P211" i="33"/>
  <c r="S211" i="33"/>
  <c r="P195" i="33"/>
  <c r="S195" i="33"/>
  <c r="P143" i="33"/>
  <c r="S143" i="33"/>
  <c r="P99" i="33"/>
  <c r="S99" i="33"/>
  <c r="S63" i="33"/>
  <c r="P63" i="33"/>
  <c r="S10" i="33"/>
  <c r="P10" i="33"/>
  <c r="P299" i="33"/>
  <c r="S299" i="33"/>
  <c r="P283" i="33"/>
  <c r="S283" i="33"/>
  <c r="P267" i="33"/>
  <c r="S267" i="33"/>
  <c r="P251" i="33"/>
  <c r="S251" i="33"/>
  <c r="P235" i="33"/>
  <c r="S235" i="33"/>
  <c r="S207" i="33"/>
  <c r="P207" i="33"/>
  <c r="S191" i="33"/>
  <c r="P191" i="33"/>
  <c r="S135" i="33"/>
  <c r="P135" i="33"/>
  <c r="P95" i="33"/>
  <c r="S95" i="33"/>
  <c r="P295" i="33"/>
  <c r="S295" i="33"/>
  <c r="P279" i="33"/>
  <c r="S279" i="33"/>
  <c r="P263" i="33"/>
  <c r="S263" i="33"/>
  <c r="P247" i="33"/>
  <c r="S247" i="33"/>
  <c r="P219" i="33"/>
  <c r="S219" i="33"/>
  <c r="P203" i="33"/>
  <c r="S203" i="33"/>
  <c r="P187" i="33"/>
  <c r="S187" i="33"/>
  <c r="S127" i="33"/>
  <c r="P127" i="33"/>
  <c r="S79" i="33"/>
  <c r="P79" i="33"/>
  <c r="P103" i="33"/>
  <c r="S103" i="33"/>
  <c r="P291" i="33"/>
  <c r="S291" i="33"/>
  <c r="P275" i="33"/>
  <c r="S275" i="33"/>
  <c r="P259" i="33"/>
  <c r="S259" i="33"/>
  <c r="P243" i="33"/>
  <c r="S243" i="33"/>
  <c r="P215" i="33"/>
  <c r="S215" i="33"/>
  <c r="P199" i="33"/>
  <c r="S199" i="33"/>
  <c r="P179" i="33"/>
  <c r="S179" i="33"/>
  <c r="S123" i="33"/>
  <c r="P123" i="33"/>
  <c r="P66" i="33"/>
  <c r="S66" i="33"/>
  <c r="S30" i="33"/>
  <c r="P30" i="33"/>
  <c r="P286" i="33"/>
  <c r="S286" i="33"/>
  <c r="P270" i="33"/>
  <c r="S270" i="33"/>
  <c r="P254" i="33"/>
  <c r="S254" i="33"/>
  <c r="P238" i="33"/>
  <c r="S238" i="33"/>
  <c r="P222" i="33"/>
  <c r="S222" i="33"/>
  <c r="P206" i="33"/>
  <c r="S206" i="33"/>
  <c r="P190" i="33"/>
  <c r="S190" i="33"/>
  <c r="P174" i="33"/>
  <c r="S174" i="33"/>
  <c r="S158" i="33"/>
  <c r="P158" i="33"/>
  <c r="S142" i="33"/>
  <c r="P142" i="33"/>
  <c r="P110" i="33"/>
  <c r="S110" i="33"/>
  <c r="P94" i="33"/>
  <c r="S94" i="33"/>
  <c r="P74" i="33"/>
  <c r="S74" i="33"/>
  <c r="S50" i="33"/>
  <c r="P50" i="33"/>
  <c r="S18" i="33"/>
  <c r="P18" i="33"/>
  <c r="P293" i="33"/>
  <c r="S293" i="33"/>
  <c r="P277" i="33"/>
  <c r="S277" i="33"/>
  <c r="P261" i="33"/>
  <c r="S261" i="33"/>
  <c r="P245" i="33"/>
  <c r="S245" i="33"/>
  <c r="P217" i="33"/>
  <c r="S217" i="33"/>
  <c r="P197" i="33"/>
  <c r="S197" i="33"/>
  <c r="P177" i="33"/>
  <c r="S177" i="33"/>
  <c r="P149" i="33"/>
  <c r="S149" i="33"/>
  <c r="S125" i="33"/>
  <c r="P125" i="33"/>
  <c r="P109" i="33"/>
  <c r="S109" i="33"/>
  <c r="P89" i="33"/>
  <c r="S89" i="33"/>
  <c r="S76" i="33"/>
  <c r="P76" i="33"/>
  <c r="S32" i="33"/>
  <c r="P32" i="33"/>
  <c r="P288" i="33"/>
  <c r="S288" i="33"/>
  <c r="P272" i="33"/>
  <c r="S272" i="33"/>
  <c r="P256" i="33"/>
  <c r="S256" i="33"/>
  <c r="P240" i="33"/>
  <c r="S240" i="33"/>
  <c r="P224" i="33"/>
  <c r="S224" i="33"/>
  <c r="P208" i="33"/>
  <c r="S208" i="33"/>
  <c r="P192" i="33"/>
  <c r="S192" i="33"/>
  <c r="P176" i="33"/>
  <c r="S176" i="33"/>
  <c r="P160" i="33"/>
  <c r="S160" i="33"/>
  <c r="P144" i="33"/>
  <c r="S144" i="33"/>
  <c r="P112" i="33"/>
  <c r="S112" i="33"/>
  <c r="P96" i="33"/>
  <c r="S96" i="33"/>
  <c r="P80" i="33"/>
  <c r="S80" i="33"/>
  <c r="S56" i="33"/>
  <c r="P56" i="33"/>
  <c r="S28" i="33"/>
  <c r="P28" i="33"/>
  <c r="S54" i="33"/>
  <c r="P54" i="33"/>
  <c r="S22" i="33"/>
  <c r="P22" i="33"/>
  <c r="P298" i="33"/>
  <c r="S298" i="33"/>
  <c r="P282" i="33"/>
  <c r="S282" i="33"/>
  <c r="P266" i="33"/>
  <c r="S266" i="33"/>
  <c r="P250" i="33"/>
  <c r="S250" i="33"/>
  <c r="P234" i="33"/>
  <c r="S234" i="33"/>
  <c r="P218" i="33"/>
  <c r="S218" i="33"/>
  <c r="P202" i="33"/>
  <c r="S202" i="33"/>
  <c r="P186" i="33"/>
  <c r="S186" i="33"/>
  <c r="P170" i="33"/>
  <c r="S170" i="33"/>
  <c r="P154" i="33"/>
  <c r="S154" i="33"/>
  <c r="P138" i="33"/>
  <c r="S138" i="33"/>
  <c r="P106" i="33"/>
  <c r="S106" i="33"/>
  <c r="P90" i="33"/>
  <c r="S90" i="33"/>
  <c r="P70" i="33"/>
  <c r="S70" i="33"/>
  <c r="S42" i="33"/>
  <c r="P42" i="33"/>
  <c r="S81" i="33"/>
  <c r="P81" i="33"/>
  <c r="P289" i="33"/>
  <c r="S289" i="33"/>
  <c r="P273" i="33"/>
  <c r="S273" i="33"/>
  <c r="P257" i="33"/>
  <c r="S257" i="33"/>
  <c r="S241" i="33"/>
  <c r="P241" i="33"/>
  <c r="P213" i="33"/>
  <c r="S213" i="33"/>
  <c r="P189" i="33"/>
  <c r="S189" i="33"/>
  <c r="P173" i="33"/>
  <c r="S173" i="33"/>
  <c r="P141" i="33"/>
  <c r="S141" i="33"/>
  <c r="S121" i="33"/>
  <c r="P121" i="33"/>
  <c r="P101" i="33"/>
  <c r="S101" i="33"/>
  <c r="P77" i="33"/>
  <c r="S77" i="33"/>
  <c r="S60" i="33"/>
  <c r="P60" i="33"/>
  <c r="S24" i="33"/>
  <c r="P24" i="33"/>
  <c r="P284" i="33"/>
  <c r="S284" i="33"/>
  <c r="P268" i="33"/>
  <c r="S268" i="33"/>
  <c r="P252" i="33"/>
  <c r="S252" i="33"/>
  <c r="S236" i="33"/>
  <c r="P236" i="33"/>
  <c r="P220" i="33"/>
  <c r="S220" i="33"/>
  <c r="P204" i="33"/>
  <c r="S204" i="33"/>
  <c r="P188" i="33"/>
  <c r="S188" i="33"/>
  <c r="S156" i="33"/>
  <c r="P156" i="33"/>
  <c r="P140" i="33"/>
  <c r="S140" i="33"/>
  <c r="S108" i="33"/>
  <c r="P108" i="33"/>
  <c r="S92" i="33"/>
  <c r="P92" i="33"/>
  <c r="P72" i="33"/>
  <c r="S72" i="33"/>
  <c r="S52" i="33"/>
  <c r="P52" i="33"/>
  <c r="S12" i="33"/>
  <c r="P12" i="33"/>
  <c r="S46" i="33"/>
  <c r="P46" i="33"/>
  <c r="S14" i="33"/>
  <c r="P14" i="33"/>
  <c r="P294" i="33"/>
  <c r="S294" i="33"/>
  <c r="P278" i="33"/>
  <c r="S278" i="33"/>
  <c r="P262" i="33"/>
  <c r="S262" i="33"/>
  <c r="P246" i="33"/>
  <c r="S246" i="33"/>
  <c r="P230" i="33"/>
  <c r="S230" i="33"/>
  <c r="P214" i="33"/>
  <c r="S214" i="33"/>
  <c r="P198" i="33"/>
  <c r="S198" i="33"/>
  <c r="P182" i="33"/>
  <c r="S182" i="33"/>
  <c r="S166" i="33"/>
  <c r="P166" i="33"/>
  <c r="S150" i="33"/>
  <c r="P150" i="33"/>
  <c r="S126" i="33"/>
  <c r="P126" i="33"/>
  <c r="P102" i="33"/>
  <c r="S102" i="33"/>
  <c r="P82" i="33"/>
  <c r="S82" i="33"/>
  <c r="P62" i="33"/>
  <c r="S62" i="33"/>
  <c r="S34" i="33"/>
  <c r="P34" i="33"/>
  <c r="P69" i="33"/>
  <c r="S69" i="33"/>
  <c r="P285" i="33"/>
  <c r="S285" i="33"/>
  <c r="P269" i="33"/>
  <c r="S269" i="33"/>
  <c r="S253" i="33"/>
  <c r="P253" i="33"/>
  <c r="P237" i="33"/>
  <c r="S237" i="33"/>
  <c r="P205" i="33"/>
  <c r="S205" i="33"/>
  <c r="P185" i="33"/>
  <c r="S185" i="33"/>
  <c r="P165" i="33"/>
  <c r="S165" i="33"/>
  <c r="S133" i="33"/>
  <c r="P133" i="33"/>
  <c r="S117" i="33"/>
  <c r="P117" i="33"/>
  <c r="P97" i="33"/>
  <c r="S97" i="33"/>
  <c r="P65" i="33"/>
  <c r="S65" i="33"/>
  <c r="S48" i="33"/>
  <c r="P48" i="33"/>
  <c r="P296" i="33"/>
  <c r="S296" i="33"/>
  <c r="P280" i="33"/>
  <c r="S280" i="33"/>
  <c r="P264" i="33"/>
  <c r="S264" i="33"/>
  <c r="P248" i="33"/>
  <c r="S248" i="33"/>
  <c r="S232" i="33"/>
  <c r="P232" i="33"/>
  <c r="P216" i="33"/>
  <c r="S216" i="33"/>
  <c r="P200" i="33"/>
  <c r="S200" i="33"/>
  <c r="P184" i="33"/>
  <c r="S184" i="33"/>
  <c r="P168" i="33"/>
  <c r="S168" i="33"/>
  <c r="P152" i="33"/>
  <c r="S152" i="33"/>
  <c r="S136" i="33"/>
  <c r="P136" i="33"/>
  <c r="P104" i="33"/>
  <c r="S104" i="33"/>
  <c r="S88" i="33"/>
  <c r="P88" i="33"/>
  <c r="S68" i="33"/>
  <c r="P68" i="33"/>
  <c r="S44" i="33"/>
  <c r="P44" i="33"/>
  <c r="P86" i="33"/>
  <c r="S86" i="33"/>
  <c r="S38" i="33"/>
  <c r="P38" i="33"/>
  <c r="P290" i="33"/>
  <c r="S290" i="33"/>
  <c r="P274" i="33"/>
  <c r="S274" i="33"/>
  <c r="P258" i="33"/>
  <c r="S258" i="33"/>
  <c r="P242" i="33"/>
  <c r="S242" i="33"/>
  <c r="S226" i="33"/>
  <c r="P226" i="33"/>
  <c r="P210" i="33"/>
  <c r="S210" i="33"/>
  <c r="P194" i="33"/>
  <c r="S194" i="33"/>
  <c r="P178" i="33"/>
  <c r="S178" i="33"/>
  <c r="P162" i="33"/>
  <c r="S162" i="33"/>
  <c r="P146" i="33"/>
  <c r="S146" i="33"/>
  <c r="S114" i="33"/>
  <c r="P114" i="33"/>
  <c r="S98" i="33"/>
  <c r="P98" i="33"/>
  <c r="S78" i="33"/>
  <c r="P78" i="33"/>
  <c r="S58" i="33"/>
  <c r="P58" i="33"/>
  <c r="S26" i="33"/>
  <c r="P26" i="33"/>
  <c r="S16" i="33"/>
  <c r="P16" i="33"/>
  <c r="P297" i="33"/>
  <c r="S297" i="33"/>
  <c r="P281" i="33"/>
  <c r="S281" i="33"/>
  <c r="P265" i="33"/>
  <c r="S265" i="33"/>
  <c r="S249" i="33"/>
  <c r="P249" i="33"/>
  <c r="P221" i="33"/>
  <c r="S221" i="33"/>
  <c r="P201" i="33"/>
  <c r="S201" i="33"/>
  <c r="P181" i="33"/>
  <c r="S181" i="33"/>
  <c r="P157" i="33"/>
  <c r="S157" i="33"/>
  <c r="S129" i="33"/>
  <c r="P129" i="33"/>
  <c r="P113" i="33"/>
  <c r="S113" i="33"/>
  <c r="P93" i="33"/>
  <c r="S93" i="33"/>
  <c r="S20" i="33"/>
  <c r="P20" i="33"/>
  <c r="S40" i="33"/>
  <c r="P40" i="33"/>
  <c r="P292" i="33"/>
  <c r="S292" i="33"/>
  <c r="P276" i="33"/>
  <c r="S276" i="33"/>
  <c r="P260" i="33"/>
  <c r="S260" i="33"/>
  <c r="S244" i="33"/>
  <c r="P244" i="33"/>
  <c r="P228" i="33"/>
  <c r="S228" i="33"/>
  <c r="P212" i="33"/>
  <c r="S212" i="33"/>
  <c r="P196" i="33"/>
  <c r="S196" i="33"/>
  <c r="P180" i="33"/>
  <c r="S180" i="33"/>
  <c r="P164" i="33"/>
  <c r="S164" i="33"/>
  <c r="S148" i="33"/>
  <c r="P148" i="33"/>
  <c r="P132" i="33"/>
  <c r="S132" i="33"/>
  <c r="S100" i="33"/>
  <c r="P100" i="33"/>
  <c r="S84" i="33"/>
  <c r="P84" i="33"/>
  <c r="S64" i="33"/>
  <c r="P64" i="33"/>
  <c r="S36" i="33"/>
  <c r="P36" i="33"/>
  <c r="M287" i="33"/>
  <c r="M271" i="33"/>
  <c r="M255" i="33"/>
  <c r="M239" i="33"/>
  <c r="M211" i="33"/>
  <c r="M195" i="33"/>
  <c r="M143" i="33"/>
  <c r="M99" i="33"/>
  <c r="M63" i="33"/>
  <c r="M10" i="33"/>
  <c r="M299" i="33"/>
  <c r="M283" i="33"/>
  <c r="M267" i="33"/>
  <c r="M251" i="33"/>
  <c r="M235" i="33"/>
  <c r="M207" i="33"/>
  <c r="M191" i="33"/>
  <c r="M135" i="33"/>
  <c r="M95" i="33"/>
  <c r="M295" i="33"/>
  <c r="M279" i="33"/>
  <c r="M263" i="33"/>
  <c r="M247" i="33"/>
  <c r="M219" i="33"/>
  <c r="M203" i="33"/>
  <c r="M187" i="33"/>
  <c r="M127" i="33"/>
  <c r="M79" i="33"/>
  <c r="M103" i="33"/>
  <c r="M291" i="33"/>
  <c r="M275" i="33"/>
  <c r="M259" i="33"/>
  <c r="M243" i="33"/>
  <c r="M215" i="33"/>
  <c r="M199" i="33"/>
  <c r="M179" i="33"/>
  <c r="M123" i="33"/>
  <c r="M66" i="33"/>
  <c r="M30" i="33"/>
  <c r="M286" i="33"/>
  <c r="M270" i="33"/>
  <c r="M254" i="33"/>
  <c r="M238" i="33"/>
  <c r="M222" i="33"/>
  <c r="M206" i="33"/>
  <c r="M190" i="33"/>
  <c r="M174" i="33"/>
  <c r="M158" i="33"/>
  <c r="M142" i="33"/>
  <c r="M110" i="33"/>
  <c r="M94" i="33"/>
  <c r="M74" i="33"/>
  <c r="M50" i="33"/>
  <c r="M18" i="33"/>
  <c r="M293" i="33"/>
  <c r="M277" i="33"/>
  <c r="M261" i="33"/>
  <c r="M245" i="33"/>
  <c r="M217" i="33"/>
  <c r="M197" i="33"/>
  <c r="M177" i="33"/>
  <c r="M149" i="33"/>
  <c r="M125" i="33"/>
  <c r="M109" i="33"/>
  <c r="M89" i="33"/>
  <c r="M76" i="33"/>
  <c r="M32" i="33"/>
  <c r="M288" i="33"/>
  <c r="M272" i="33"/>
  <c r="M256" i="33"/>
  <c r="M240" i="33"/>
  <c r="M224" i="33"/>
  <c r="M208" i="33"/>
  <c r="M192" i="33"/>
  <c r="M176" i="33"/>
  <c r="M160" i="33"/>
  <c r="M144" i="33"/>
  <c r="M112" i="33"/>
  <c r="M96" i="33"/>
  <c r="M80" i="33"/>
  <c r="M56" i="33"/>
  <c r="M28" i="33"/>
  <c r="M54" i="33"/>
  <c r="M22" i="33"/>
  <c r="L172" i="33"/>
  <c r="M298" i="33"/>
  <c r="M282" i="33"/>
  <c r="M266" i="33"/>
  <c r="M250" i="33"/>
  <c r="M234" i="33"/>
  <c r="M218" i="33"/>
  <c r="M202" i="33"/>
  <c r="M186" i="33"/>
  <c r="M170" i="33"/>
  <c r="M154" i="33"/>
  <c r="M138" i="33"/>
  <c r="M106" i="33"/>
  <c r="M90" i="33"/>
  <c r="M70" i="33"/>
  <c r="M42" i="33"/>
  <c r="M81" i="33"/>
  <c r="M289" i="33"/>
  <c r="M273" i="33"/>
  <c r="M257" i="33"/>
  <c r="M241" i="33"/>
  <c r="M213" i="33"/>
  <c r="M189" i="33"/>
  <c r="M173" i="33"/>
  <c r="M141" i="33"/>
  <c r="M121" i="33"/>
  <c r="M101" i="33"/>
  <c r="M77" i="33"/>
  <c r="M60" i="33"/>
  <c r="M24" i="33"/>
  <c r="M284" i="33"/>
  <c r="M268" i="33"/>
  <c r="M252" i="33"/>
  <c r="M236" i="33"/>
  <c r="M220" i="33"/>
  <c r="M204" i="33"/>
  <c r="M188" i="33"/>
  <c r="M156" i="33"/>
  <c r="M140" i="33"/>
  <c r="M108" i="33"/>
  <c r="M92" i="33"/>
  <c r="M72" i="33"/>
  <c r="M52" i="33"/>
  <c r="M12" i="33"/>
  <c r="M46" i="33"/>
  <c r="M14" i="33"/>
  <c r="M294" i="33"/>
  <c r="M278" i="33"/>
  <c r="M262" i="33"/>
  <c r="M246" i="33"/>
  <c r="M230" i="33"/>
  <c r="M214" i="33"/>
  <c r="M198" i="33"/>
  <c r="M182" i="33"/>
  <c r="M166" i="33"/>
  <c r="M150" i="33"/>
  <c r="M126" i="33"/>
  <c r="M102" i="33"/>
  <c r="M82" i="33"/>
  <c r="M62" i="33"/>
  <c r="M34" i="33"/>
  <c r="M69" i="33"/>
  <c r="M285" i="33"/>
  <c r="M269" i="33"/>
  <c r="M253" i="33"/>
  <c r="M237" i="33"/>
  <c r="M205" i="33"/>
  <c r="M185" i="33"/>
  <c r="M165" i="33"/>
  <c r="M133" i="33"/>
  <c r="M117" i="33"/>
  <c r="M97" i="33"/>
  <c r="M65" i="33"/>
  <c r="M48" i="33"/>
  <c r="M296" i="33"/>
  <c r="M280" i="33"/>
  <c r="M264" i="33"/>
  <c r="M248" i="33"/>
  <c r="M232" i="33"/>
  <c r="M216" i="33"/>
  <c r="M200" i="33"/>
  <c r="M184" i="33"/>
  <c r="M168" i="33"/>
  <c r="M152" i="33"/>
  <c r="M136" i="33"/>
  <c r="M104" i="33"/>
  <c r="M88" i="33"/>
  <c r="M68" i="33"/>
  <c r="M44" i="33"/>
  <c r="M86" i="33"/>
  <c r="M38" i="33"/>
  <c r="M290" i="33"/>
  <c r="M274" i="33"/>
  <c r="M258" i="33"/>
  <c r="M242" i="33"/>
  <c r="M226" i="33"/>
  <c r="M210" i="33"/>
  <c r="M194" i="33"/>
  <c r="M178" i="33"/>
  <c r="M162" i="33"/>
  <c r="M146" i="33"/>
  <c r="M114" i="33"/>
  <c r="M98" i="33"/>
  <c r="M78" i="33"/>
  <c r="M58" i="33"/>
  <c r="M26" i="33"/>
  <c r="M16" i="33"/>
  <c r="M297" i="33"/>
  <c r="M281" i="33"/>
  <c r="M265" i="33"/>
  <c r="M249" i="33"/>
  <c r="M221" i="33"/>
  <c r="M201" i="33"/>
  <c r="M181" i="33"/>
  <c r="M157" i="33"/>
  <c r="M129" i="33"/>
  <c r="M113" i="33"/>
  <c r="M93" i="33"/>
  <c r="M20" i="33"/>
  <c r="M40" i="33"/>
  <c r="M292" i="33"/>
  <c r="M276" i="33"/>
  <c r="M260" i="33"/>
  <c r="M244" i="33"/>
  <c r="M228" i="33"/>
  <c r="M212" i="33"/>
  <c r="M196" i="33"/>
  <c r="M180" i="33"/>
  <c r="M164" i="33"/>
  <c r="M148" i="33"/>
  <c r="M132" i="33"/>
  <c r="M100" i="33"/>
  <c r="M84" i="33"/>
  <c r="M64" i="33"/>
  <c r="M36" i="33"/>
  <c r="B58" i="36"/>
  <c r="B15" i="36"/>
  <c r="B13" i="36"/>
  <c r="N172" i="33"/>
  <c r="R172" i="33"/>
  <c r="P172" i="33" l="1"/>
  <c r="S172" i="33"/>
  <c r="M172" i="33"/>
  <c r="B59" i="36"/>
  <c r="B57" i="36"/>
  <c r="B42" i="36"/>
  <c r="B40" i="36"/>
  <c r="B55" i="36" l="1"/>
  <c r="B54" i="36"/>
  <c r="B48" i="36"/>
  <c r="B49" i="36"/>
  <c r="B51" i="36"/>
  <c r="B52" i="36"/>
  <c r="B77" i="29"/>
  <c r="B81" i="29" l="1"/>
  <c r="B60" i="29"/>
  <c r="B76" i="29" l="1"/>
  <c r="D168" i="35"/>
  <c r="L2" i="35" l="1"/>
  <c r="G56" i="35"/>
  <c r="G53" i="35"/>
  <c r="G59" i="35"/>
  <c r="E127" i="32" l="1"/>
  <c r="E6" i="32" l="1"/>
  <c r="Y99" i="33"/>
  <c r="Y98" i="33"/>
  <c r="Y94" i="33"/>
  <c r="B80" i="29" l="1"/>
  <c r="AC2" i="33" l="1"/>
  <c r="Y95" i="33"/>
  <c r="Z14" i="33"/>
  <c r="B141" i="32" l="1"/>
  <c r="F141" i="32" s="1"/>
  <c r="B140" i="32"/>
  <c r="F140" i="32" s="1"/>
  <c r="B139" i="32"/>
  <c r="F139" i="32" s="1"/>
  <c r="B138" i="32"/>
  <c r="F138" i="32" s="1"/>
  <c r="B137" i="32"/>
  <c r="F137" i="32" s="1"/>
  <c r="B136" i="32"/>
  <c r="F136" i="32" s="1"/>
  <c r="B135" i="32"/>
  <c r="F135" i="32" s="1"/>
  <c r="B134" i="32"/>
  <c r="F134" i="32" s="1"/>
  <c r="B133" i="32"/>
  <c r="F133" i="32" s="1"/>
  <c r="B132" i="32"/>
  <c r="F132" i="32" s="1"/>
  <c r="B131" i="32"/>
  <c r="F131" i="32" s="1"/>
  <c r="B130" i="32"/>
  <c r="F130" i="32" s="1"/>
  <c r="B129" i="32"/>
  <c r="F129" i="32" s="1"/>
  <c r="B128" i="32"/>
  <c r="F128" i="32" s="1"/>
  <c r="B127" i="32"/>
  <c r="F127" i="32" s="1"/>
  <c r="B126" i="32"/>
  <c r="F126" i="32" s="1"/>
  <c r="Y57" i="33"/>
  <c r="Y60" i="33"/>
  <c r="Y63" i="33"/>
  <c r="K141" i="32" l="1"/>
  <c r="K140" i="32"/>
  <c r="K139" i="32"/>
  <c r="K138" i="32"/>
  <c r="K137" i="32"/>
  <c r="K136" i="32"/>
  <c r="K135" i="32"/>
  <c r="K134" i="32"/>
  <c r="K133" i="32"/>
  <c r="K132" i="32"/>
  <c r="K131" i="32"/>
  <c r="K130" i="32"/>
  <c r="K129" i="32"/>
  <c r="K128" i="32"/>
  <c r="K127" i="32"/>
  <c r="K126" i="32"/>
  <c r="E142" i="32"/>
  <c r="B129" i="25" s="1"/>
  <c r="J142" i="32" l="1"/>
  <c r="B161" i="32"/>
  <c r="B160" i="32"/>
  <c r="B159" i="32"/>
  <c r="B158" i="32"/>
  <c r="B157" i="32"/>
  <c r="B156" i="32"/>
  <c r="B155" i="32"/>
  <c r="B154" i="32"/>
  <c r="B153" i="32"/>
  <c r="B152" i="32"/>
  <c r="B151" i="32"/>
  <c r="B150" i="32"/>
  <c r="B149" i="32"/>
  <c r="B148" i="32"/>
  <c r="B147" i="32"/>
  <c r="B146" i="32"/>
  <c r="B121" i="32"/>
  <c r="B120" i="32"/>
  <c r="B119" i="32"/>
  <c r="B118" i="32"/>
  <c r="B117" i="32"/>
  <c r="B116" i="32"/>
  <c r="B115" i="32"/>
  <c r="B114" i="32"/>
  <c r="B113" i="32"/>
  <c r="B112" i="32"/>
  <c r="B111" i="32"/>
  <c r="B110" i="32"/>
  <c r="B109" i="32"/>
  <c r="B108" i="32"/>
  <c r="B107" i="32"/>
  <c r="B106" i="32"/>
  <c r="B62" i="32"/>
  <c r="B63" i="32"/>
  <c r="B64" i="32"/>
  <c r="B65" i="32"/>
  <c r="B66" i="32"/>
  <c r="B67" i="32"/>
  <c r="B68" i="32"/>
  <c r="B69" i="32"/>
  <c r="B70" i="32"/>
  <c r="B71" i="32"/>
  <c r="B72" i="32"/>
  <c r="B73" i="32"/>
  <c r="B74" i="32"/>
  <c r="B75" i="32"/>
  <c r="B76" i="32"/>
  <c r="B77" i="32"/>
  <c r="H161" i="32" l="1"/>
  <c r="K161" i="32"/>
  <c r="F160" i="32"/>
  <c r="K160" i="32"/>
  <c r="H159" i="32"/>
  <c r="K159" i="32"/>
  <c r="F158" i="32"/>
  <c r="K158" i="32"/>
  <c r="H157" i="32"/>
  <c r="K157" i="32"/>
  <c r="F156" i="32"/>
  <c r="K156" i="32"/>
  <c r="H155" i="32"/>
  <c r="K155" i="32"/>
  <c r="F154" i="32"/>
  <c r="K154" i="32"/>
  <c r="H153" i="32"/>
  <c r="K153" i="32"/>
  <c r="F152" i="32"/>
  <c r="K152" i="32"/>
  <c r="H151" i="32"/>
  <c r="K151" i="32"/>
  <c r="F150" i="32"/>
  <c r="K150" i="32"/>
  <c r="H149" i="32"/>
  <c r="K149" i="32"/>
  <c r="F148" i="32"/>
  <c r="K148" i="32"/>
  <c r="H147" i="32"/>
  <c r="K147" i="32"/>
  <c r="F146" i="32"/>
  <c r="K146" i="32"/>
  <c r="F121" i="32"/>
  <c r="K121" i="32"/>
  <c r="F120" i="32"/>
  <c r="K120" i="32"/>
  <c r="F119" i="32"/>
  <c r="K119" i="32"/>
  <c r="F118" i="32"/>
  <c r="K118" i="32"/>
  <c r="F117" i="32"/>
  <c r="K117" i="32"/>
  <c r="F116" i="32"/>
  <c r="K116" i="32"/>
  <c r="F115" i="32"/>
  <c r="K115" i="32"/>
  <c r="F114" i="32"/>
  <c r="K114" i="32"/>
  <c r="F113" i="32"/>
  <c r="K113" i="32"/>
  <c r="F112" i="32"/>
  <c r="K112" i="32"/>
  <c r="F111" i="32"/>
  <c r="K111" i="32"/>
  <c r="F110" i="32"/>
  <c r="K110" i="32"/>
  <c r="F109" i="32"/>
  <c r="K109" i="32"/>
  <c r="F108" i="32"/>
  <c r="K108" i="32"/>
  <c r="F107" i="32"/>
  <c r="K107" i="32"/>
  <c r="F106" i="32"/>
  <c r="K106" i="32"/>
  <c r="F77" i="32"/>
  <c r="K77" i="32"/>
  <c r="F76" i="32"/>
  <c r="K76" i="32"/>
  <c r="F75" i="32"/>
  <c r="K75" i="32"/>
  <c r="F74" i="32"/>
  <c r="K74" i="32"/>
  <c r="F73" i="32"/>
  <c r="K73" i="32"/>
  <c r="F72" i="32"/>
  <c r="K72" i="32"/>
  <c r="F71" i="32"/>
  <c r="K71" i="32"/>
  <c r="F70" i="32"/>
  <c r="K70" i="32"/>
  <c r="F69" i="32"/>
  <c r="K69" i="32"/>
  <c r="F68" i="32"/>
  <c r="K68" i="32"/>
  <c r="F67" i="32"/>
  <c r="K67" i="32"/>
  <c r="F66" i="32"/>
  <c r="K66" i="32"/>
  <c r="F65" i="32"/>
  <c r="K65" i="32"/>
  <c r="F64" i="32"/>
  <c r="K64" i="32"/>
  <c r="F63" i="32"/>
  <c r="K63" i="32"/>
  <c r="F62" i="32"/>
  <c r="K62" i="32"/>
  <c r="F159" i="32"/>
  <c r="F147" i="32"/>
  <c r="F155" i="32"/>
  <c r="F151" i="32"/>
  <c r="F149" i="32"/>
  <c r="F153" i="32"/>
  <c r="F157" i="32"/>
  <c r="F161" i="32"/>
  <c r="H146" i="32"/>
  <c r="H148" i="32"/>
  <c r="H150" i="32"/>
  <c r="H152" i="32"/>
  <c r="H154" i="32"/>
  <c r="H156" i="32"/>
  <c r="H158" i="32"/>
  <c r="H160" i="32"/>
  <c r="E78" i="32" l="1"/>
  <c r="J162" i="32"/>
  <c r="J122" i="32"/>
  <c r="E122" i="32"/>
  <c r="B128" i="25" s="1"/>
  <c r="J78" i="32"/>
  <c r="E162" i="32"/>
  <c r="B139" i="25" s="1"/>
  <c r="G163" i="32"/>
  <c r="B140" i="25" s="1"/>
  <c r="B29" i="25" l="1"/>
  <c r="B28" i="25"/>
  <c r="B55" i="32"/>
  <c r="B54" i="32"/>
  <c r="B53" i="32"/>
  <c r="B52" i="32"/>
  <c r="B51" i="32"/>
  <c r="B50" i="32"/>
  <c r="B49" i="32"/>
  <c r="B48" i="32"/>
  <c r="B40" i="32"/>
  <c r="B39" i="32"/>
  <c r="B38" i="32"/>
  <c r="B37" i="32"/>
  <c r="B36" i="32"/>
  <c r="B35" i="32"/>
  <c r="B34" i="32"/>
  <c r="B33" i="32"/>
  <c r="B32" i="32"/>
  <c r="B31" i="32"/>
  <c r="B30" i="32"/>
  <c r="B29" i="32"/>
  <c r="B28" i="32"/>
  <c r="B27" i="32"/>
  <c r="B26" i="32"/>
  <c r="B25" i="32"/>
  <c r="B20" i="32"/>
  <c r="B19" i="32"/>
  <c r="B18" i="32"/>
  <c r="B17" i="32"/>
  <c r="B16" i="32"/>
  <c r="B15" i="32"/>
  <c r="B14" i="32"/>
  <c r="B13" i="32"/>
  <c r="B12" i="32"/>
  <c r="B11" i="32"/>
  <c r="B10" i="32"/>
  <c r="B9" i="32"/>
  <c r="B8" i="32"/>
  <c r="B7" i="32"/>
  <c r="B6" i="32"/>
  <c r="B5" i="32"/>
  <c r="B97" i="32"/>
  <c r="B96" i="32"/>
  <c r="B95" i="32"/>
  <c r="B94" i="32"/>
  <c r="B93" i="32"/>
  <c r="B92" i="32"/>
  <c r="B91" i="32"/>
  <c r="B90" i="32"/>
  <c r="B89" i="32"/>
  <c r="B88" i="32"/>
  <c r="B87" i="32"/>
  <c r="B86" i="32"/>
  <c r="B85" i="32"/>
  <c r="B84" i="32"/>
  <c r="B83" i="32"/>
  <c r="B82" i="32"/>
  <c r="B74" i="25"/>
  <c r="F5" i="32" l="1"/>
  <c r="K5" i="32"/>
  <c r="F7" i="32"/>
  <c r="K7" i="32"/>
  <c r="F9" i="32"/>
  <c r="K9" i="32"/>
  <c r="F6" i="32"/>
  <c r="K6" i="32"/>
  <c r="F8" i="32"/>
  <c r="K8" i="32"/>
  <c r="F11" i="32"/>
  <c r="K11" i="32"/>
  <c r="F13" i="32"/>
  <c r="K13" i="32"/>
  <c r="F15" i="32"/>
  <c r="K15" i="32"/>
  <c r="F17" i="32"/>
  <c r="K17" i="32"/>
  <c r="F19" i="32"/>
  <c r="K19" i="32"/>
  <c r="H25" i="32"/>
  <c r="K25" i="32"/>
  <c r="H27" i="32"/>
  <c r="K27" i="32"/>
  <c r="H29" i="32"/>
  <c r="K29" i="32"/>
  <c r="H31" i="32"/>
  <c r="K31" i="32"/>
  <c r="H33" i="32"/>
  <c r="K33" i="32"/>
  <c r="H35" i="32"/>
  <c r="K35" i="32"/>
  <c r="H37" i="32"/>
  <c r="K37" i="32"/>
  <c r="H39" i="32"/>
  <c r="K39" i="32"/>
  <c r="F48" i="32"/>
  <c r="K48" i="32"/>
  <c r="F50" i="32"/>
  <c r="K50" i="32"/>
  <c r="F52" i="32"/>
  <c r="K52" i="32"/>
  <c r="F54" i="32"/>
  <c r="K54" i="32"/>
  <c r="F10" i="32"/>
  <c r="K10" i="32"/>
  <c r="F12" i="32"/>
  <c r="K12" i="32"/>
  <c r="F14" i="32"/>
  <c r="K14" i="32"/>
  <c r="F16" i="32"/>
  <c r="K16" i="32"/>
  <c r="F18" i="32"/>
  <c r="K18" i="32"/>
  <c r="F20" i="32"/>
  <c r="K20" i="32"/>
  <c r="F26" i="32"/>
  <c r="K26" i="32"/>
  <c r="F28" i="32"/>
  <c r="K28" i="32"/>
  <c r="F30" i="32"/>
  <c r="K30" i="32"/>
  <c r="F32" i="32"/>
  <c r="K32" i="32"/>
  <c r="F34" i="32"/>
  <c r="K34" i="32"/>
  <c r="F36" i="32"/>
  <c r="K36" i="32"/>
  <c r="F38" i="32"/>
  <c r="K38" i="32"/>
  <c r="F40" i="32"/>
  <c r="K40" i="32"/>
  <c r="F49" i="32"/>
  <c r="K49" i="32"/>
  <c r="F51" i="32"/>
  <c r="K51" i="32"/>
  <c r="F53" i="32"/>
  <c r="K53" i="32"/>
  <c r="F55" i="32"/>
  <c r="K55" i="32"/>
  <c r="H97" i="32"/>
  <c r="K97" i="32"/>
  <c r="F96" i="32"/>
  <c r="K96" i="32"/>
  <c r="H95" i="32"/>
  <c r="K95" i="32"/>
  <c r="F94" i="32"/>
  <c r="K94" i="32"/>
  <c r="H93" i="32"/>
  <c r="K93" i="32"/>
  <c r="F92" i="32"/>
  <c r="K92" i="32"/>
  <c r="H91" i="32"/>
  <c r="K91" i="32"/>
  <c r="F90" i="32"/>
  <c r="K90" i="32"/>
  <c r="H89" i="32"/>
  <c r="K89" i="32"/>
  <c r="F88" i="32"/>
  <c r="K88" i="32"/>
  <c r="H87" i="32"/>
  <c r="K87" i="32"/>
  <c r="F86" i="32"/>
  <c r="K86" i="32"/>
  <c r="H85" i="32"/>
  <c r="K85" i="32"/>
  <c r="F84" i="32"/>
  <c r="K84" i="32"/>
  <c r="H83" i="32"/>
  <c r="K83" i="32"/>
  <c r="F82" i="32"/>
  <c r="K82" i="32"/>
  <c r="F31" i="32"/>
  <c r="F83" i="32"/>
  <c r="F39" i="32"/>
  <c r="F91" i="32"/>
  <c r="F87" i="32"/>
  <c r="F95" i="32"/>
  <c r="F27" i="32"/>
  <c r="F35" i="32"/>
  <c r="F85" i="32"/>
  <c r="F89" i="32"/>
  <c r="F93" i="32"/>
  <c r="F97" i="32"/>
  <c r="F25" i="32"/>
  <c r="F29" i="32"/>
  <c r="F33" i="32"/>
  <c r="F37" i="32"/>
  <c r="H82" i="32"/>
  <c r="H84" i="32"/>
  <c r="H86" i="32"/>
  <c r="H88" i="32"/>
  <c r="H90" i="32"/>
  <c r="H92" i="32"/>
  <c r="H94" i="32"/>
  <c r="H96" i="32"/>
  <c r="H26" i="32"/>
  <c r="H28" i="32"/>
  <c r="H30" i="32"/>
  <c r="H32" i="32"/>
  <c r="H34" i="32"/>
  <c r="H36" i="32"/>
  <c r="H38" i="32"/>
  <c r="H40" i="32"/>
  <c r="E21" i="32" l="1"/>
  <c r="B22" i="25" s="1"/>
  <c r="E56" i="32"/>
  <c r="B59" i="25" s="1"/>
  <c r="J56" i="32"/>
  <c r="J21" i="32"/>
  <c r="J41" i="32"/>
  <c r="J98" i="32"/>
  <c r="E98" i="32"/>
  <c r="B82" i="25" s="1"/>
  <c r="G42" i="32"/>
  <c r="B39" i="25" s="1"/>
  <c r="E41" i="32"/>
  <c r="B38" i="25" s="1"/>
  <c r="G99" i="32"/>
  <c r="B83" i="25" s="1"/>
  <c r="B12" i="25" l="1"/>
  <c r="B68" i="29" l="1"/>
  <c r="B54" i="29" l="1"/>
  <c r="B55" i="29" s="1"/>
  <c r="B19" i="30" l="1"/>
  <c r="B52" i="29"/>
  <c r="B53" i="29" s="1"/>
  <c r="B25" i="25" s="1"/>
  <c r="D15" i="35" l="1"/>
  <c r="D79" i="35"/>
  <c r="D143" i="35"/>
  <c r="D107" i="35"/>
  <c r="D78" i="35"/>
  <c r="D48" i="35"/>
  <c r="D112" i="35"/>
  <c r="D146" i="35"/>
  <c r="D77" i="35"/>
  <c r="D17" i="35"/>
  <c r="D81" i="35"/>
  <c r="D145" i="35"/>
  <c r="D163" i="35"/>
  <c r="D58" i="35"/>
  <c r="D35" i="35"/>
  <c r="D14" i="35"/>
  <c r="D149" i="35"/>
  <c r="D44" i="35"/>
  <c r="D108" i="35"/>
  <c r="D117" i="35"/>
  <c r="D8" i="35"/>
  <c r="D16" i="35"/>
  <c r="D24" i="35"/>
  <c r="D32" i="35"/>
  <c r="D40" i="35"/>
  <c r="D56" i="35"/>
  <c r="D64" i="35"/>
  <c r="D72" i="35"/>
  <c r="D80" i="35"/>
  <c r="D88" i="35"/>
  <c r="D96" i="35"/>
  <c r="D104" i="35"/>
  <c r="D120" i="35"/>
  <c r="D128" i="35"/>
  <c r="D136" i="35"/>
  <c r="D144" i="35"/>
  <c r="D152" i="35"/>
  <c r="D160" i="35"/>
  <c r="D60" i="35"/>
  <c r="D100" i="35"/>
  <c r="D124" i="35"/>
  <c r="D156" i="35"/>
  <c r="D55" i="35"/>
  <c r="D155" i="35"/>
  <c r="D121" i="35"/>
  <c r="D61" i="35"/>
  <c r="D20" i="35"/>
  <c r="D13" i="35"/>
  <c r="D29" i="35"/>
  <c r="D53" i="35"/>
  <c r="D109" i="35"/>
  <c r="D133" i="35"/>
  <c r="D157" i="35"/>
  <c r="D127" i="35"/>
  <c r="D167" i="35"/>
  <c r="D23" i="35"/>
  <c r="D87" i="35"/>
  <c r="D151" i="35"/>
  <c r="D118" i="35"/>
  <c r="D19" i="35"/>
  <c r="D125" i="35"/>
  <c r="D25" i="35"/>
  <c r="D89" i="35"/>
  <c r="D153" i="35"/>
  <c r="D21" i="35"/>
  <c r="D66" i="35"/>
  <c r="D75" i="35"/>
  <c r="D70" i="35"/>
  <c r="D46" i="35"/>
  <c r="D52" i="35"/>
  <c r="D116" i="35"/>
  <c r="D9" i="35"/>
  <c r="D33" i="35"/>
  <c r="D41" i="35"/>
  <c r="D49" i="35"/>
  <c r="D57" i="35"/>
  <c r="D65" i="35"/>
  <c r="D73" i="35"/>
  <c r="D97" i="35"/>
  <c r="D105" i="35"/>
  <c r="D113" i="35"/>
  <c r="D129" i="35"/>
  <c r="D137" i="35"/>
  <c r="D161" i="35"/>
  <c r="D74" i="35"/>
  <c r="D115" i="35"/>
  <c r="D94" i="35"/>
  <c r="D10" i="35"/>
  <c r="D18" i="35"/>
  <c r="D34" i="35"/>
  <c r="D42" i="35"/>
  <c r="D82" i="35"/>
  <c r="D98" i="35"/>
  <c r="D106" i="35"/>
  <c r="D122" i="35"/>
  <c r="D130" i="35"/>
  <c r="D154" i="35"/>
  <c r="D162" i="35"/>
  <c r="D90" i="35"/>
  <c r="D86" i="35"/>
  <c r="D68" i="35"/>
  <c r="D92" i="35"/>
  <c r="D140" i="35"/>
  <c r="D164" i="35"/>
  <c r="D27" i="35"/>
  <c r="D102" i="35"/>
  <c r="D51" i="35"/>
  <c r="D126" i="35"/>
  <c r="D37" i="35"/>
  <c r="D69" i="35"/>
  <c r="D93" i="35"/>
  <c r="D95" i="35"/>
  <c r="D111" i="35"/>
  <c r="D31" i="35"/>
  <c r="D159" i="35"/>
  <c r="D150" i="35"/>
  <c r="D67" i="35"/>
  <c r="D165" i="35"/>
  <c r="D110" i="35"/>
  <c r="D30" i="35"/>
  <c r="D26" i="35"/>
  <c r="D50" i="35"/>
  <c r="D114" i="35"/>
  <c r="D138" i="35"/>
  <c r="D11" i="35"/>
  <c r="D12" i="35"/>
  <c r="D36" i="35"/>
  <c r="D76" i="35"/>
  <c r="D148" i="35"/>
  <c r="D119" i="35"/>
  <c r="D84" i="35"/>
  <c r="D101" i="35"/>
  <c r="D141" i="35"/>
  <c r="D135" i="35"/>
  <c r="D39" i="35"/>
  <c r="D103" i="35"/>
  <c r="D99" i="35"/>
  <c r="D38" i="35"/>
  <c r="D158" i="35"/>
  <c r="D142" i="35"/>
  <c r="D132" i="35"/>
  <c r="D62" i="35"/>
  <c r="D43" i="35"/>
  <c r="D59" i="35"/>
  <c r="D83" i="35"/>
  <c r="D91" i="35"/>
  <c r="D123" i="35"/>
  <c r="D131" i="35"/>
  <c r="D139" i="35"/>
  <c r="D47" i="35"/>
  <c r="D54" i="35"/>
  <c r="D45" i="35"/>
  <c r="D85" i="35"/>
  <c r="D63" i="35"/>
  <c r="D134" i="35"/>
  <c r="D166" i="35"/>
  <c r="D22" i="35"/>
  <c r="D71" i="35"/>
  <c r="D7" i="35"/>
  <c r="I7" i="35"/>
  <c r="I8" i="35" l="1"/>
  <c r="Z16" i="33" l="1"/>
  <c r="J8" i="33" l="1"/>
  <c r="J7" i="33" l="1"/>
  <c r="B71" i="29" l="1"/>
  <c r="B65" i="29" l="1"/>
  <c r="B37" i="25" s="1"/>
  <c r="B70" i="29"/>
  <c r="B58" i="29"/>
  <c r="B72" i="29"/>
  <c r="B86" i="25" l="1"/>
  <c r="B110" i="25" l="1"/>
  <c r="B127" i="25"/>
  <c r="B106" i="25"/>
  <c r="B108" i="25"/>
  <c r="B126" i="25"/>
  <c r="B116" i="25"/>
  <c r="B115" i="25"/>
  <c r="B136" i="25" l="1"/>
  <c r="B137" i="25"/>
  <c r="B134" i="25" l="1"/>
  <c r="B124" i="25"/>
  <c r="Z13" i="33"/>
  <c r="B123" i="25" l="1"/>
  <c r="B87" i="25" l="1"/>
  <c r="B135" i="25" s="1"/>
  <c r="B88" i="25"/>
  <c r="B107" i="25" s="1"/>
  <c r="Z15" i="33"/>
  <c r="B105" i="25" l="1"/>
  <c r="B109" i="25"/>
  <c r="B112" i="25"/>
  <c r="B113" i="25" s="1"/>
  <c r="N8" i="33"/>
  <c r="R8" i="33"/>
  <c r="P8" i="33" l="1"/>
  <c r="S8" i="33"/>
  <c r="M8" i="33"/>
  <c r="N7" i="33"/>
  <c r="R7" i="33"/>
  <c r="Z9" i="33"/>
  <c r="U474" i="33" l="1"/>
  <c r="U487" i="33"/>
  <c r="U463" i="33"/>
  <c r="U497" i="33"/>
  <c r="U438" i="33"/>
  <c r="U464" i="33"/>
  <c r="U450" i="33"/>
  <c r="U536" i="33"/>
  <c r="U481" i="33"/>
  <c r="U495" i="33"/>
  <c r="U460" i="33"/>
  <c r="U377" i="33"/>
  <c r="U371" i="33"/>
  <c r="U398" i="33"/>
  <c r="U392" i="33"/>
  <c r="U494" i="33"/>
  <c r="U455" i="33"/>
  <c r="U489" i="33"/>
  <c r="U453" i="33"/>
  <c r="U383" i="33"/>
  <c r="U462" i="33"/>
  <c r="U402" i="33"/>
  <c r="U456" i="33"/>
  <c r="U442" i="33"/>
  <c r="U435" i="33"/>
  <c r="U452" i="33"/>
  <c r="U431" i="33"/>
  <c r="U379" i="33"/>
  <c r="U367" i="33"/>
  <c r="U394" i="33"/>
  <c r="U388" i="33"/>
  <c r="U532" i="33"/>
  <c r="U528" i="33"/>
  <c r="U430" i="33"/>
  <c r="U418" i="33"/>
  <c r="U445" i="33"/>
  <c r="U486" i="33"/>
  <c r="U461" i="33"/>
  <c r="U375" i="33"/>
  <c r="U454" i="33"/>
  <c r="U448" i="33"/>
  <c r="U466" i="33"/>
  <c r="U538" i="33"/>
  <c r="U526" i="33"/>
  <c r="U480" i="33"/>
  <c r="U381" i="33"/>
  <c r="U496" i="33"/>
  <c r="U472" i="33"/>
  <c r="U390" i="33"/>
  <c r="U400" i="33"/>
  <c r="U378" i="33"/>
  <c r="U498" i="33"/>
  <c r="U447" i="33"/>
  <c r="U479" i="33"/>
  <c r="U471" i="33"/>
  <c r="U446" i="33"/>
  <c r="U440" i="33"/>
  <c r="U458" i="33"/>
  <c r="U468" i="33"/>
  <c r="U369" i="33"/>
  <c r="U365" i="33"/>
  <c r="U490" i="33"/>
  <c r="U444" i="33"/>
  <c r="U473" i="33"/>
  <c r="U488" i="33"/>
  <c r="U469" i="33"/>
  <c r="U439" i="33"/>
  <c r="U386" i="33"/>
  <c r="U361" i="33"/>
  <c r="U396" i="33"/>
  <c r="U300" i="33"/>
  <c r="U515" i="33"/>
  <c r="U321" i="33"/>
  <c r="U311" i="33"/>
  <c r="U537" i="33"/>
  <c r="U493" i="33"/>
  <c r="U475" i="33"/>
  <c r="U327" i="33"/>
  <c r="U517" i="33"/>
  <c r="U339" i="33"/>
  <c r="U335" i="33"/>
  <c r="U525" i="33"/>
  <c r="U309" i="33"/>
  <c r="U345" i="33"/>
  <c r="U523" i="33"/>
  <c r="U477" i="33"/>
  <c r="U507" i="33"/>
  <c r="U539" i="33"/>
  <c r="U491" i="33"/>
  <c r="U355" i="33"/>
  <c r="U529" i="33"/>
  <c r="U317" i="33"/>
  <c r="U503" i="33"/>
  <c r="U499" i="33"/>
  <c r="U505" i="33"/>
  <c r="U329" i="33"/>
  <c r="U349" i="33"/>
  <c r="U485" i="33"/>
  <c r="U436" i="33"/>
  <c r="U319" i="33"/>
  <c r="U432" i="33"/>
  <c r="U351" i="33"/>
  <c r="U434" i="33"/>
  <c r="U325" i="33"/>
  <c r="U341" i="33"/>
  <c r="U511" i="33"/>
  <c r="U513" i="33"/>
  <c r="U527" i="33"/>
  <c r="U428" i="33"/>
  <c r="U337" i="33"/>
  <c r="U541" i="33"/>
  <c r="U531" i="33"/>
  <c r="U333" i="33"/>
  <c r="U347" i="33"/>
  <c r="U519" i="33"/>
  <c r="U301" i="33"/>
  <c r="U535" i="33"/>
  <c r="U343" i="33"/>
  <c r="U307" i="33"/>
  <c r="U313" i="33"/>
  <c r="U315" i="33"/>
  <c r="U521" i="33"/>
  <c r="U323" i="33"/>
  <c r="U509" i="33"/>
  <c r="U331" i="33"/>
  <c r="U303" i="33"/>
  <c r="U501" i="33"/>
  <c r="U357" i="33"/>
  <c r="U533" i="33"/>
  <c r="U353" i="33"/>
  <c r="U483" i="33"/>
  <c r="U305" i="33"/>
  <c r="U302" i="33"/>
  <c r="U304" i="33"/>
  <c r="U306" i="33"/>
  <c r="U308" i="33"/>
  <c r="U310" i="33"/>
  <c r="U312" i="33"/>
  <c r="U314" i="33"/>
  <c r="U316" i="33"/>
  <c r="U318" i="33"/>
  <c r="U320" i="33"/>
  <c r="U322" i="33"/>
  <c r="U324" i="33"/>
  <c r="U326" i="33"/>
  <c r="U328" i="33"/>
  <c r="U330" i="33"/>
  <c r="U332" i="33"/>
  <c r="U334" i="33"/>
  <c r="U336" i="33"/>
  <c r="U338" i="33"/>
  <c r="U340" i="33"/>
  <c r="U342" i="33"/>
  <c r="U344" i="33"/>
  <c r="U346" i="33"/>
  <c r="U348" i="33"/>
  <c r="U350" i="33"/>
  <c r="U352" i="33"/>
  <c r="U354" i="33"/>
  <c r="U364" i="33"/>
  <c r="U374" i="33"/>
  <c r="U359" i="33"/>
  <c r="U368" i="33"/>
  <c r="U380" i="33"/>
  <c r="U385" i="33"/>
  <c r="U387" i="33"/>
  <c r="U389" i="33"/>
  <c r="U391" i="33"/>
  <c r="U393" i="33"/>
  <c r="U395" i="33"/>
  <c r="U397" i="33"/>
  <c r="U399" i="33"/>
  <c r="U401" i="33"/>
  <c r="U403" i="33"/>
  <c r="U405" i="33"/>
  <c r="U407" i="33"/>
  <c r="U409" i="33"/>
  <c r="U411" i="33"/>
  <c r="U413" i="33"/>
  <c r="U415" i="33"/>
  <c r="U417" i="33"/>
  <c r="U360" i="33"/>
  <c r="U372" i="33"/>
  <c r="U366" i="33"/>
  <c r="U362" i="33"/>
  <c r="U373" i="33"/>
  <c r="U376" i="33"/>
  <c r="U384" i="33"/>
  <c r="U370" i="33"/>
  <c r="U356" i="33"/>
  <c r="U358" i="33"/>
  <c r="U363" i="33"/>
  <c r="U382" i="33"/>
  <c r="U416" i="33"/>
  <c r="U426" i="33"/>
  <c r="U429" i="33"/>
  <c r="U423" i="33"/>
  <c r="U419" i="33"/>
  <c r="U420" i="33"/>
  <c r="U406" i="33"/>
  <c r="U408" i="33"/>
  <c r="U410" i="33"/>
  <c r="U412" i="33"/>
  <c r="U421" i="33"/>
  <c r="U424" i="33"/>
  <c r="U427" i="33"/>
  <c r="U433" i="33"/>
  <c r="U441" i="33"/>
  <c r="U449" i="33"/>
  <c r="U457" i="33"/>
  <c r="U465" i="33"/>
  <c r="U425" i="33"/>
  <c r="U470" i="33"/>
  <c r="U478" i="33"/>
  <c r="U404" i="33"/>
  <c r="U414" i="33"/>
  <c r="U437" i="33"/>
  <c r="U467" i="33"/>
  <c r="U514" i="33"/>
  <c r="U482" i="33"/>
  <c r="U504" i="33"/>
  <c r="U512" i="33"/>
  <c r="U520" i="33"/>
  <c r="U530" i="33"/>
  <c r="U422" i="33"/>
  <c r="U459" i="33"/>
  <c r="U502" i="33"/>
  <c r="U510" i="33"/>
  <c r="U518" i="33"/>
  <c r="U451" i="33"/>
  <c r="U540" i="33"/>
  <c r="U542" i="33"/>
  <c r="U534" i="33"/>
  <c r="U492" i="33"/>
  <c r="U500" i="33"/>
  <c r="U508" i="33"/>
  <c r="U516" i="33"/>
  <c r="U524" i="33"/>
  <c r="U443" i="33"/>
  <c r="U484" i="33"/>
  <c r="U476" i="33"/>
  <c r="U506" i="33"/>
  <c r="U522" i="33"/>
  <c r="U12" i="33"/>
  <c r="U16" i="33"/>
  <c r="U20" i="33"/>
  <c r="U24" i="33"/>
  <c r="U28" i="33"/>
  <c r="U32" i="33"/>
  <c r="U36" i="33"/>
  <c r="U40" i="33"/>
  <c r="U44" i="33"/>
  <c r="U48" i="33"/>
  <c r="U52" i="33"/>
  <c r="U56" i="33"/>
  <c r="U72" i="33"/>
  <c r="U60" i="33"/>
  <c r="U76" i="33"/>
  <c r="U84" i="33"/>
  <c r="U64" i="33"/>
  <c r="U38" i="33"/>
  <c r="U68" i="33"/>
  <c r="U109" i="33"/>
  <c r="U114" i="33"/>
  <c r="U54" i="33"/>
  <c r="U74" i="33"/>
  <c r="U90" i="33"/>
  <c r="U92" i="33"/>
  <c r="U22" i="33"/>
  <c r="U112" i="33"/>
  <c r="U126" i="33"/>
  <c r="U107" i="33"/>
  <c r="U118" i="33"/>
  <c r="U147" i="33"/>
  <c r="U67" i="33"/>
  <c r="U83" i="33"/>
  <c r="U154" i="33"/>
  <c r="U162" i="33"/>
  <c r="U170" i="33"/>
  <c r="U122" i="33"/>
  <c r="U132" i="33"/>
  <c r="U137" i="33"/>
  <c r="U156" i="33"/>
  <c r="U164" i="33"/>
  <c r="U172" i="33"/>
  <c r="U190" i="33"/>
  <c r="U200" i="33"/>
  <c r="U216" i="33"/>
  <c r="U69" i="33"/>
  <c r="U160" i="33"/>
  <c r="U206" i="33"/>
  <c r="U145" i="33"/>
  <c r="U196" i="33"/>
  <c r="U212" i="33"/>
  <c r="U202" i="33"/>
  <c r="U218" i="33"/>
  <c r="U224" i="33"/>
  <c r="U105" i="33"/>
  <c r="U168" i="33"/>
  <c r="U192" i="33"/>
  <c r="U208" i="33"/>
  <c r="U139" i="33"/>
  <c r="U152" i="33"/>
  <c r="U198" i="33"/>
  <c r="U214" i="33"/>
  <c r="U222" i="33"/>
  <c r="U151" i="33"/>
  <c r="U204" i="33"/>
  <c r="U220" i="33"/>
  <c r="U235" i="33"/>
  <c r="U243" i="33"/>
  <c r="U226" i="33"/>
  <c r="U232" i="33"/>
  <c r="U236" i="33"/>
  <c r="U244" i="33"/>
  <c r="U237" i="33"/>
  <c r="U228" i="33"/>
  <c r="U240" i="33"/>
  <c r="U238" i="33"/>
  <c r="U239" i="33"/>
  <c r="U241" i="33"/>
  <c r="U242" i="33"/>
  <c r="U234" i="33"/>
  <c r="U250" i="33"/>
  <c r="U252" i="33"/>
  <c r="U246" i="33"/>
  <c r="U230" i="33"/>
  <c r="U248" i="33"/>
  <c r="U283" i="33"/>
  <c r="U297" i="33"/>
  <c r="U279" i="33"/>
  <c r="U251" i="33"/>
  <c r="U93" i="33"/>
  <c r="U185" i="33"/>
  <c r="U201" i="33"/>
  <c r="U155" i="33"/>
  <c r="U33" i="33"/>
  <c r="U15" i="33"/>
  <c r="U111" i="33"/>
  <c r="U37" i="33"/>
  <c r="U289" i="33"/>
  <c r="U257" i="33"/>
  <c r="U277" i="33"/>
  <c r="U159" i="33"/>
  <c r="U91" i="33"/>
  <c r="U213" i="33"/>
  <c r="U174" i="33"/>
  <c r="U120" i="33"/>
  <c r="U187" i="33"/>
  <c r="U143" i="33"/>
  <c r="U29" i="33"/>
  <c r="U128" i="33"/>
  <c r="U27" i="33"/>
  <c r="U275" i="33"/>
  <c r="U271" i="33"/>
  <c r="U121" i="33"/>
  <c r="U95" i="33"/>
  <c r="U53" i="33"/>
  <c r="U50" i="33"/>
  <c r="U26" i="33"/>
  <c r="U281" i="33"/>
  <c r="U269" i="33"/>
  <c r="U167" i="33"/>
  <c r="U209" i="33"/>
  <c r="U197" i="33"/>
  <c r="U141" i="33"/>
  <c r="U31" i="33"/>
  <c r="U45" i="33"/>
  <c r="U18" i="33"/>
  <c r="U43" i="33"/>
  <c r="U47" i="33"/>
  <c r="U267" i="33"/>
  <c r="U263" i="33"/>
  <c r="U79" i="33"/>
  <c r="U116" i="33"/>
  <c r="U13" i="33"/>
  <c r="U71" i="33"/>
  <c r="U11" i="33"/>
  <c r="U87" i="33"/>
  <c r="U30" i="33"/>
  <c r="U293" i="33"/>
  <c r="U299" i="33"/>
  <c r="U273" i="33"/>
  <c r="U295" i="33"/>
  <c r="U261" i="33"/>
  <c r="U249" i="33"/>
  <c r="U255" i="33"/>
  <c r="U205" i="33"/>
  <c r="U171" i="33"/>
  <c r="U193" i="33"/>
  <c r="U163" i="33"/>
  <c r="U182" i="33"/>
  <c r="U21" i="33"/>
  <c r="U189" i="33"/>
  <c r="U180" i="33"/>
  <c r="U123" i="33"/>
  <c r="U49" i="33"/>
  <c r="U133" i="33"/>
  <c r="U10" i="33"/>
  <c r="U85" i="33"/>
  <c r="U285" i="33"/>
  <c r="U291" i="33"/>
  <c r="U259" i="33"/>
  <c r="U287" i="33"/>
  <c r="U247" i="33"/>
  <c r="U97" i="33"/>
  <c r="U177" i="33"/>
  <c r="U217" i="33"/>
  <c r="U188" i="33"/>
  <c r="U149" i="33"/>
  <c r="U127" i="33"/>
  <c r="U17" i="33"/>
  <c r="U14" i="33"/>
  <c r="U265" i="33"/>
  <c r="U254" i="33"/>
  <c r="U245" i="33"/>
  <c r="U253" i="33"/>
  <c r="U184" i="33"/>
  <c r="U59" i="33"/>
  <c r="U179" i="33"/>
  <c r="U99" i="33"/>
  <c r="U131" i="33"/>
  <c r="U124" i="33"/>
  <c r="U34" i="33"/>
  <c r="U61" i="33"/>
  <c r="U65" i="33"/>
  <c r="U272" i="33"/>
  <c r="U46" i="33"/>
  <c r="U266" i="33"/>
  <c r="U51" i="33"/>
  <c r="U129" i="33"/>
  <c r="U227" i="33"/>
  <c r="U9" i="33"/>
  <c r="U231" i="33"/>
  <c r="U274" i="33"/>
  <c r="U194" i="33"/>
  <c r="U103" i="33"/>
  <c r="U102" i="33"/>
  <c r="U106" i="33"/>
  <c r="U136" i="33"/>
  <c r="U115" i="33"/>
  <c r="U280" i="33"/>
  <c r="U229" i="33"/>
  <c r="U130" i="33"/>
  <c r="U166" i="33"/>
  <c r="U262" i="33"/>
  <c r="U138" i="33"/>
  <c r="U23" i="33"/>
  <c r="U288" i="33"/>
  <c r="U215" i="33"/>
  <c r="U158" i="33"/>
  <c r="U282" i="33"/>
  <c r="U211" i="33"/>
  <c r="U233" i="33"/>
  <c r="U135" i="33"/>
  <c r="U256" i="33"/>
  <c r="U100" i="33"/>
  <c r="U270" i="33"/>
  <c r="U66" i="33"/>
  <c r="U191" i="33"/>
  <c r="U203" i="33"/>
  <c r="U296" i="33"/>
  <c r="U195" i="33"/>
  <c r="U81" i="33"/>
  <c r="U88" i="33"/>
  <c r="U290" i="33"/>
  <c r="U57" i="33"/>
  <c r="U113" i="33"/>
  <c r="U260" i="33"/>
  <c r="U223" i="33"/>
  <c r="U144" i="33"/>
  <c r="U183" i="33"/>
  <c r="U278" i="33"/>
  <c r="U94" i="33"/>
  <c r="U75" i="33"/>
  <c r="U73" i="33"/>
  <c r="U134" i="33"/>
  <c r="U125" i="33"/>
  <c r="U207" i="33"/>
  <c r="U298" i="33"/>
  <c r="U108" i="33"/>
  <c r="U175" i="33"/>
  <c r="U225" i="33"/>
  <c r="U117" i="33"/>
  <c r="U181" i="33"/>
  <c r="U153" i="33"/>
  <c r="U104" i="33"/>
  <c r="U41" i="33"/>
  <c r="U119" i="33"/>
  <c r="U268" i="33"/>
  <c r="U286" i="33"/>
  <c r="U77" i="33"/>
  <c r="U78" i="33"/>
  <c r="U80" i="33"/>
  <c r="U219" i="33"/>
  <c r="U58" i="33"/>
  <c r="U276" i="33"/>
  <c r="U161" i="33"/>
  <c r="U294" i="33"/>
  <c r="U62" i="33"/>
  <c r="U150" i="33"/>
  <c r="U186" i="33"/>
  <c r="U35" i="33"/>
  <c r="U25" i="33"/>
  <c r="U19" i="33"/>
  <c r="U169" i="33"/>
  <c r="U89" i="33"/>
  <c r="U63" i="33"/>
  <c r="U146" i="33"/>
  <c r="U39" i="33"/>
  <c r="U221" i="33"/>
  <c r="U284" i="33"/>
  <c r="U96" i="33"/>
  <c r="U148" i="33"/>
  <c r="U210" i="33"/>
  <c r="U101" i="33"/>
  <c r="U264" i="33"/>
  <c r="U70" i="33"/>
  <c r="U142" i="33"/>
  <c r="U140" i="33"/>
  <c r="U258" i="33"/>
  <c r="U86" i="33"/>
  <c r="U176" i="33"/>
  <c r="U98" i="33"/>
  <c r="U292" i="33"/>
  <c r="U199" i="33"/>
  <c r="U55" i="33"/>
  <c r="U42" i="33"/>
  <c r="U165" i="33"/>
  <c r="U82" i="33"/>
  <c r="U157" i="33"/>
  <c r="U110" i="33"/>
  <c r="U173" i="33"/>
  <c r="U178" i="33"/>
  <c r="P7" i="33"/>
  <c r="S7" i="33"/>
  <c r="U7" i="33"/>
  <c r="U8" i="33"/>
  <c r="Z10" i="33"/>
  <c r="M7" i="33"/>
  <c r="B67" i="29" l="1"/>
  <c r="B66" i="29"/>
  <c r="B69" i="29"/>
  <c r="AB77" i="33"/>
  <c r="AB73" i="33"/>
  <c r="AB79" i="33"/>
  <c r="AB74" i="33"/>
  <c r="AB80" i="33"/>
  <c r="AB76" i="33"/>
  <c r="AB75" i="33"/>
  <c r="AB81" i="33"/>
  <c r="AB78" i="33"/>
  <c r="B12" i="31"/>
  <c r="AB84" i="33"/>
  <c r="AB72" i="33"/>
  <c r="AB82" i="33"/>
  <c r="AB83" i="33"/>
  <c r="B57" i="29" l="1"/>
  <c r="B104" i="25" l="1"/>
  <c r="B73" i="25"/>
  <c r="B16" i="30"/>
  <c r="B17" i="30"/>
  <c r="B18" i="30"/>
  <c r="B26" i="25"/>
  <c r="B20" i="30" l="1"/>
  <c r="B37" i="30"/>
  <c r="B38" i="30" s="1"/>
</calcChain>
</file>

<file path=xl/comments1.xml><?xml version="1.0" encoding="utf-8"?>
<comments xmlns="http://schemas.openxmlformats.org/spreadsheetml/2006/main">
  <authors>
    <author>Biegert Rainer (AS-ER/ENK3)</author>
    <author>g51885</author>
  </authors>
  <commentList>
    <comment ref="E8" authorId="0" shapeId="0">
      <text>
        <r>
          <rPr>
            <sz val="9"/>
            <color indexed="81"/>
            <rFont val="Segoe UI"/>
            <family val="2"/>
          </rPr>
          <t>letter "i" stands for: c-factor  (german usage)
so "i-var" means a variable gear ratio from column --&gt; rack</t>
        </r>
      </text>
    </comment>
    <comment ref="E10" authorId="1" shapeId="0">
      <text>
        <r>
          <rPr>
            <sz val="10"/>
            <color indexed="81"/>
            <rFont val="Verdana"/>
            <family val="2"/>
          </rPr>
          <t>remarks: - the generated values are not rounded to the quantization of the variables!
            - not all variables might be included, esp. LuT --&gt; copy manually.
            - variant coding is not incorporated.</t>
        </r>
      </text>
    </comment>
    <comment ref="E28" authorId="1" shapeId="0">
      <text>
        <r>
          <rPr>
            <sz val="10"/>
            <color indexed="81"/>
            <rFont val="Verdana"/>
            <family val="2"/>
          </rPr>
          <t>remarks: - the generated values are not rounded to the quantization of the variables!
            - not all variables might be included, esp. LuT --&gt; copy manually.
            - variant coding is not incorporated.</t>
        </r>
      </text>
    </comment>
    <comment ref="E34" authorId="1" shapeId="0">
      <text>
        <r>
          <rPr>
            <sz val="10"/>
            <color indexed="81"/>
            <rFont val="Verdana"/>
            <family val="2"/>
          </rPr>
          <t>remarks: - the generated values are not rounded to the quantization of the variables!
            - not all variables might be included, esp. LuT --&gt; copy manually.
            - variant coding is not incorporated.</t>
        </r>
      </text>
    </comment>
    <comment ref="E41" authorId="1" shapeId="0">
      <text>
        <r>
          <rPr>
            <sz val="10"/>
            <color indexed="81"/>
            <rFont val="Verdana"/>
            <family val="2"/>
          </rPr>
          <t>remarks: - the generated values are not rounded to the quantization of the variables!
            - not all variables might be included, esp. LuT --&gt; copy manually.
            - variant coding is not incorporated.</t>
        </r>
      </text>
    </comment>
    <comment ref="E46" authorId="0" shapeId="0">
      <text>
        <r>
          <rPr>
            <sz val="10"/>
            <color indexed="81"/>
            <rFont val="Verdana"/>
            <family val="2"/>
          </rPr>
          <t>remarks: - the generated values are not rounded to the quantization of the variables!
            - not all variables might be included, esp. LuT --&gt; copy manually.
            - variant coding is not incorporated.</t>
        </r>
      </text>
    </comment>
  </commentList>
</comments>
</file>

<file path=xl/comments2.xml><?xml version="1.0" encoding="utf-8"?>
<comments xmlns="http://schemas.openxmlformats.org/spreadsheetml/2006/main">
  <authors>
    <author>g51885</author>
    <author>Biegert Rainer (AS-ER/ENK3)</author>
    <author>g52042</author>
    <author>g53304</author>
  </authors>
  <commentList>
    <comment ref="A25" authorId="0" shapeId="0">
      <text>
        <r>
          <rPr>
            <sz val="9"/>
            <color indexed="81"/>
            <rFont val="Segoe UI"/>
            <family val="2"/>
          </rPr>
          <t xml:space="preserve">"mechanische Mitnahme" of sensor element, [+-]
max. possible mechanical  angel in both directions
</t>
        </r>
      </text>
    </comment>
    <comment ref="A26" authorId="0" shapeId="0">
      <text>
        <r>
          <rPr>
            <sz val="9"/>
            <color indexed="81"/>
            <rFont val="Segoe UI"/>
            <family val="2"/>
          </rPr>
          <t xml:space="preserve">"mechanische Mitnahme" of sensor element, [+-]
min. guaranteed mechanical  angel in both directions,
checked at EOL by measuring the maximum blocking torque of sensor,
which must have at least:
-   8,0Nm (at stiffness 2,0 Nm/°)            --&gt; 4,0°
-   8,5Nm (at stiffness 2,5 / 2,2 Nm/°)   --&gt; 3,4° / 3,9°
- 11,1Nm (at stiffness 3,3 Nm/°)            --&gt; 3,4°
</t>
        </r>
      </text>
    </comment>
    <comment ref="A28" authorId="1" shapeId="0">
      <text>
        <r>
          <rPr>
            <sz val="9"/>
            <color indexed="81"/>
            <rFont val="Segoe UI"/>
            <family val="2"/>
          </rPr>
          <t xml:space="preserve">inertia regrads the revoluting parts of motor shaft, as given in construction drawing (used for  xsyRotorInertia_XDU16)
this value is used in 
- alteration calculation / wormwheel protection
- rackforce calculation (dynamic)
- slipping clutch --&gt; calculation of coefficients (done in separate excel sheet)
</t>
        </r>
      </text>
    </comment>
    <comment ref="A29" authorId="1" shapeId="0">
      <text>
        <r>
          <rPr>
            <sz val="9"/>
            <color indexed="81"/>
            <rFont val="Segoe UI"/>
            <family val="2"/>
          </rPr>
          <t xml:space="preserve">additional inertias means: all revoluting parts at motor shaft, that must be accelerated / decelerated, 
   incl. pinion / worm, hubs, inner parts of ball bearings, clutch / collar, ... 
   (motor shaft and directly linked parts; not the parts after transmission/gear)
   </t>
        </r>
        <r>
          <rPr>
            <i/>
            <sz val="9"/>
            <color indexed="81"/>
            <rFont val="Segoe UI"/>
            <family val="2"/>
          </rPr>
          <t>[german: Nabe motor- und schneckenseitig, Schnecke/Ritzel, Lagerinnenringe, Manschette;
       also alles was sich motorseitig vor der Übersetzungsstufe mitdreht und noch nicht in der Rotorträgheit 
       von oben enthalten ist]</t>
        </r>
        <r>
          <rPr>
            <sz val="9"/>
            <color indexed="81"/>
            <rFont val="Segoe UI"/>
            <family val="2"/>
          </rPr>
          <t xml:space="preserve">
this value is used in 
- alteration calculation / wormwheel protection
- rackforce calculation (dynamic)
- slipping clutch --&gt; calculation of coefficients (done in separate excel sheet)
</t>
        </r>
      </text>
    </comment>
    <comment ref="A30" authorId="1" shapeId="0">
      <text>
        <r>
          <rPr>
            <sz val="9"/>
            <color indexed="81"/>
            <rFont val="Segoe UI"/>
            <family val="2"/>
          </rPr>
          <t xml:space="preserve">the relevant inertia means all revoluting parts, that must be accelerated / decelerated;
   here, the  indirectly linked parts after a transmission are meant: belt wheel + kgt; (belt itself can be ignored)
   as this value is "transmitted" by the ratio of the belt, a roughly estimated minimum value can also be used.
    in case of a wrong value this can be compensated by the subsequent sw-tuning. 
this value is used in 
- rackforce calculation (dynamic)
</t>
        </r>
      </text>
    </comment>
    <comment ref="A31" authorId="1" shapeId="0">
      <text>
        <r>
          <rPr>
            <sz val="9"/>
            <color indexed="81"/>
            <rFont val="Segoe UI"/>
            <family val="2"/>
          </rPr>
          <t xml:space="preserve">the relevant inertia means all revoluting parts, that must be accelerated / decelerated;
   here, the  indirectly linked parts after the 1. transmission are meant: whorm wheel and pinion-shaft; in case of EPSc/Si-Pi also 
         column and steering wheel;
   as this value might be difficult to calculate and the gear ratio of the wrom wheel is high (and used 1 / i^2 ), a roughly estimated minimum value 
         can be used or it can even be set =0.
   in case of a wrong value this can be compensated by the subsequent sw-tuning. 
this value is used in 
- rackforce calculation (dynamic)
</t>
        </r>
      </text>
    </comment>
    <comment ref="A32" authorId="0" shapeId="0">
      <text>
        <r>
          <rPr>
            <sz val="9"/>
            <color indexed="81"/>
            <rFont val="Segoe UI"/>
            <family val="2"/>
          </rPr>
          <t>GearSign is:
+1 : gradients of column and motor shaft have same sign by mechanical coupling
          --&gt; when turning steering wheel to left (positive) the motor shaft also turns left (positive; counter-clockwise), when
                   looking from pinion towards motor.
-1: gradients of column and motor shaft have opposite sign
--&gt; Tool: Axalant  7800.050.003
http://sgd-pdmwebapp.zf-lenksysteme.net:8081/Jacc/jacc.jnlp?RECORD=411334433&amp;ENTITY=EDB-DOCUMENT&amp;MASK=ZF-WEB-DOC-CFR&amp;IDNAME=T_DOC_DAT.EDB_ID&amp;FILEPOS=10</t>
        </r>
      </text>
    </comment>
    <comment ref="A33" authorId="1" shapeId="0">
      <text>
        <r>
          <rPr>
            <sz val="9"/>
            <color indexed="81"/>
            <rFont val="Segoe UI"/>
            <family val="2"/>
          </rPr>
          <t>motor controller (FOC) will not allow higher desired values,
therefore generated motor torque will also not be higher (within tolerances…)
you can probably get inputs for this value from ...
for DualPinion: 
- the LoadTracking / AlerationCalculation Excel-sheet ("Ms. S. Meyer")   --&gt; to ensure lifetime of system
     Axalant Nr: 004000336611
     http://sgd-pdmwebapp.zf-lenksysteme.net:8081/Jacc/jacc.jnlp?RECORD=411749802&amp;ENTITY=EDB-DOCUMENT&amp;MASK=ZF-WEB-DOC-CFR&amp;IDNAME=T_DOC_DAT.EDB_ID&amp;FILEPOS=10
- max. batterie current / max. motor current  --&gt; HW development
for APA:
- tool Elena (?)
- max. batterie current / max. motor current  --&gt; HW development</t>
        </r>
      </text>
    </comment>
    <comment ref="A35" authorId="1" shapeId="0">
      <text>
        <r>
          <rPr>
            <sz val="9"/>
            <color indexed="81"/>
            <rFont val="Segoe UI"/>
            <family val="2"/>
          </rPr>
          <t>lock - lock
120 .. 190 mm</t>
        </r>
      </text>
    </comment>
    <comment ref="A36" authorId="2" shapeId="0">
      <text>
        <r>
          <rPr>
            <sz val="9"/>
            <color indexed="81"/>
            <rFont val="Tahoma"/>
            <family val="2"/>
          </rPr>
          <t>possible additional rackstroke; 
related to full range, not only one side!
Value comes from tolerance calculation of substraction
('Toleranzrechnung Unterbau')</t>
        </r>
      </text>
    </comment>
    <comment ref="A37" authorId="0" shapeId="0">
      <text>
        <r>
          <rPr>
            <sz val="9"/>
            <color indexed="81"/>
            <rFont val="Segoe UI"/>
            <family val="2"/>
          </rPr>
          <t>possible reduction of nominal rackstroke; 
related to full range, not only one side!
value has to be negative;
value is normally symmetric to positive tolerance.
Value comes from tolerance calculation of substraction
('Toleranzrechnung Unterbau')</t>
        </r>
      </text>
    </comment>
    <comment ref="A38" authorId="0" shapeId="0">
      <text>
        <r>
          <rPr>
            <sz val="9"/>
            <color indexed="81"/>
            <rFont val="Segoe UI"/>
            <family val="2"/>
          </rPr>
          <t>absolute value, for 1 damper (not both);
(value was previously @30kN, which makes no longer sense)
see: 'Unterbaurichtlinie'</t>
        </r>
      </text>
    </comment>
    <comment ref="A39" authorId="1" shapeId="0">
      <text>
        <r>
          <rPr>
            <sz val="9"/>
            <color indexed="81"/>
            <rFont val="Segoe UI"/>
            <family val="2"/>
          </rPr>
          <t>value is needed in range calculations in 
- sw-endstop --&gt; min/max endstop position and range
- steering angle --&gt; range monitoring
! in case of doubt about the 'correct' value better choose 
a higher value</t>
        </r>
      </text>
    </comment>
    <comment ref="A40" authorId="1" shapeId="0">
      <text>
        <r>
          <rPr>
            <sz val="9"/>
            <color indexed="81"/>
            <rFont val="Segoe UI"/>
            <family val="2"/>
          </rPr>
          <t xml:space="preserve">value is needed in sw-endstop to reduce the 
learned ES-position if SteeringAngle is not exactly initialized
! in case of doubt about the 'correct' value better choose 
a higher value
remarks: 
- inaccuracy / deviation is related to 'exactly initialized value' 
- </t>
        </r>
        <r>
          <rPr>
            <sz val="9"/>
            <color indexed="81"/>
            <rFont val="Segoe UI"/>
            <family val="2"/>
          </rPr>
          <t>the deviation can be created near center position and eventually 
    become larger towards the endstops (due to i-var gear ratio)</t>
        </r>
      </text>
    </comment>
    <comment ref="A43" authorId="0" shapeId="0">
      <text>
        <r>
          <rPr>
            <sz val="9"/>
            <color indexed="81"/>
            <rFont val="Segoe UI"/>
            <family val="2"/>
          </rPr>
          <t>efficiency for transfering TBT to motor torque;
as value depends on many parameters (temperature, load, age, …) it is only a rough estimation.</t>
        </r>
      </text>
    </comment>
    <comment ref="A44" authorId="0" shapeId="0">
      <text>
        <r>
          <rPr>
            <sz val="9"/>
            <color indexed="81"/>
            <rFont val="Segoe UI"/>
            <family val="2"/>
          </rPr>
          <t>efficiency for transfering motor torque to rackforce
as value depends on many parameters (temperature, load, age, …) it is only a rough estimation.</t>
        </r>
      </text>
    </comment>
    <comment ref="A45" authorId="0" shapeId="0">
      <text>
        <r>
          <rPr>
            <sz val="9"/>
            <color indexed="81"/>
            <rFont val="Segoe UI"/>
            <family val="2"/>
          </rPr>
          <t xml:space="preserve">how far turns motor shaft at max. motor torque, when rack is locked?
</t>
        </r>
      </text>
    </comment>
    <comment ref="B47" authorId="0" shapeId="0">
      <text>
        <r>
          <rPr>
            <sz val="9"/>
            <color indexed="81"/>
            <rFont val="Segoe UI"/>
            <family val="2"/>
          </rPr>
          <t>Formulas are inserted by VBA script;
if new lines are added above, the VBA script must be updated !!
Otherwise wrong formulas and calculations result and the whole data sheet is crashed!</t>
        </r>
      </text>
    </comment>
    <comment ref="A48" authorId="0" shapeId="0">
      <text>
        <r>
          <rPr>
            <sz val="9"/>
            <color indexed="81"/>
            <rFont val="Segoe UI"/>
            <family val="2"/>
          </rPr>
          <t xml:space="preserve">in case of EPSc and i-var: averaged value;
remark: formula in column B is set by OptionButton (APA/DP);
</t>
        </r>
      </text>
    </comment>
    <comment ref="C48" authorId="0" shapeId="0">
      <text>
        <r>
          <rPr>
            <sz val="9"/>
            <color indexed="81"/>
            <rFont val="Segoe UI"/>
            <family val="2"/>
          </rPr>
          <t xml:space="preserve">mm/rev motor
</t>
        </r>
      </text>
    </comment>
    <comment ref="A49" authorId="0" shapeId="0">
      <text>
        <r>
          <rPr>
            <sz val="9"/>
            <color indexed="81"/>
            <rFont val="Segoe UI"/>
            <family val="2"/>
          </rPr>
          <t>with i-var this value is calculated for least-mean-square-error;
as a consequence the transformation from steering angle to rackposition at the endstop might be "wrong"
with i-const this is not an issue.</t>
        </r>
      </text>
    </comment>
    <comment ref="C49" authorId="0" shapeId="0">
      <text>
        <r>
          <rPr>
            <sz val="9"/>
            <color indexed="81"/>
            <rFont val="Segoe UI"/>
            <family val="2"/>
          </rPr>
          <t>RA / SA</t>
        </r>
      </text>
    </comment>
    <comment ref="A50" authorId="1" shapeId="0">
      <text>
        <r>
          <rPr>
            <sz val="9"/>
            <color indexed="81"/>
            <rFont val="Segoe UI"/>
            <family val="2"/>
          </rPr>
          <t>only to be used near center, e.g in HAD</t>
        </r>
      </text>
    </comment>
    <comment ref="C50" authorId="0" shapeId="0">
      <text>
        <r>
          <rPr>
            <sz val="9"/>
            <color indexed="81"/>
            <rFont val="Segoe UI"/>
            <family val="2"/>
          </rPr>
          <t>RA / SA</t>
        </r>
      </text>
    </comment>
    <comment ref="A51" authorId="0" shapeId="0">
      <text>
        <r>
          <rPr>
            <sz val="9"/>
            <color indexed="81"/>
            <rFont val="Segoe UI"/>
            <family val="2"/>
          </rPr>
          <t>see comment in averaged gear ratio</t>
        </r>
        <r>
          <rPr>
            <sz val="9"/>
            <color indexed="81"/>
            <rFont val="Segoe UI"/>
            <family val="2"/>
          </rPr>
          <t xml:space="preserve">
</t>
        </r>
      </text>
    </comment>
    <comment ref="A53" authorId="0" shapeId="0">
      <text>
        <r>
          <rPr>
            <sz val="9"/>
            <color indexed="81"/>
            <rFont val="Segoe UI"/>
            <family val="2"/>
          </rPr>
          <t xml:space="preserve">in case of variable ratio: ratio is selected in order to get correct values in the endstops; higher deviations in middle of rackstroke are likely
</t>
        </r>
      </text>
    </comment>
    <comment ref="A59" authorId="1" shapeId="0">
      <text>
        <r>
          <rPr>
            <sz val="9"/>
            <color indexed="81"/>
            <rFont val="Segoe UI"/>
            <family val="2"/>
          </rPr>
          <t xml:space="preserve">only copied from above
</t>
        </r>
      </text>
    </comment>
    <comment ref="A60" authorId="1" shapeId="0">
      <text>
        <r>
          <rPr>
            <sz val="9"/>
            <color indexed="81"/>
            <rFont val="Segoe UI"/>
            <family val="2"/>
          </rPr>
          <t xml:space="preserve">only copied from above
</t>
        </r>
      </text>
    </comment>
    <comment ref="A61" authorId="1" shapeId="0">
      <text>
        <r>
          <rPr>
            <sz val="9"/>
            <color indexed="81"/>
            <rFont val="Segoe UI"/>
            <family val="2"/>
          </rPr>
          <t>additional moment of inertia, seen from motor side.</t>
        </r>
        <r>
          <rPr>
            <sz val="9"/>
            <color indexed="81"/>
            <rFont val="Segoe UI"/>
            <family val="2"/>
          </rPr>
          <t xml:space="preserve">
</t>
        </r>
      </text>
    </comment>
    <comment ref="C66" authorId="0" shapeId="0">
      <text>
        <r>
          <rPr>
            <sz val="9"/>
            <color indexed="81"/>
            <rFont val="Segoe UI"/>
            <family val="2"/>
          </rPr>
          <t xml:space="preserve">SA / RA
scaling: 2^15
</t>
        </r>
      </text>
    </comment>
    <comment ref="A67" authorId="1" shapeId="0">
      <text>
        <r>
          <rPr>
            <sz val="9"/>
            <color indexed="81"/>
            <rFont val="Segoe UI"/>
            <family val="2"/>
          </rPr>
          <t xml:space="preserve">only to be used near center, e.g in HAD
</t>
        </r>
      </text>
    </comment>
    <comment ref="C67" authorId="0" shapeId="0">
      <text>
        <r>
          <rPr>
            <sz val="9"/>
            <color indexed="81"/>
            <rFont val="Segoe UI"/>
            <family val="2"/>
          </rPr>
          <t xml:space="preserve">SA / RA
scaling: 2^15
</t>
        </r>
      </text>
    </comment>
    <comment ref="A68" authorId="0" shapeId="0">
      <text>
        <r>
          <rPr>
            <sz val="9"/>
            <color indexed="81"/>
            <rFont val="Segoe UI"/>
            <family val="2"/>
          </rPr>
          <t>conversion factor from TBT --&gt; SA; 
incl. the scalings</t>
        </r>
      </text>
    </comment>
    <comment ref="C68" authorId="0" shapeId="0">
      <text>
        <r>
          <rPr>
            <sz val="9"/>
            <color indexed="81"/>
            <rFont val="Segoe UI"/>
            <family val="2"/>
          </rPr>
          <t xml:space="preserve">
scaling TBT: 1/1024 Nm
scaling SA: 1/10°
</t>
        </r>
      </text>
    </comment>
    <comment ref="C69" authorId="0" shapeId="0">
      <text>
        <r>
          <rPr>
            <sz val="9"/>
            <color indexed="81"/>
            <rFont val="Segoe UI"/>
            <family val="2"/>
          </rPr>
          <t>Nm motor / Nm TBT</t>
        </r>
      </text>
    </comment>
    <comment ref="A72" authorId="0" shapeId="0">
      <text>
        <r>
          <rPr>
            <sz val="9"/>
            <color indexed="81"/>
            <rFont val="Segoe UI"/>
            <family val="2"/>
          </rPr>
          <t>how should efficiency be regarded?
- which motor torque is needed to generate a requested rackforce? --&gt; additional torque needed (?)
- which motor torque is needed to compensate a given rackforce? --&gt; less torque needed (?)</t>
        </r>
      </text>
    </comment>
    <comment ref="A73" authorId="0" shapeId="0">
      <text>
        <r>
          <rPr>
            <sz val="9"/>
            <color indexed="81"/>
            <rFont val="Segoe UI"/>
            <family val="2"/>
          </rPr>
          <t xml:space="preserve">guaranteed upper limit of TBT, that can be reached/measured under all conditions 
    (both directions, assembly and sensor tolerances, …)
--&gt; 'minimum' of max. values;  limit in kgt: 10Nm
</t>
        </r>
      </text>
    </comment>
    <comment ref="B73" authorId="3" shapeId="0">
      <text>
        <r>
          <rPr>
            <sz val="9"/>
            <color indexed="81"/>
            <rFont val="Segoe UI"/>
            <family val="2"/>
          </rPr>
          <t xml:space="preserve">
MEB 
- BS Sensor 10 Nm
- BOSCH Sensor 8,5 Nm (China)
- limit in kgt: 10Nm
REMARK: 8Nm is the minimum blocking torque that needs to be measured at EOL (Bosch AS)</t>
        </r>
      </text>
    </comment>
    <comment ref="A74" authorId="1" shapeId="0">
      <text>
        <r>
          <rPr>
            <sz val="9"/>
            <color indexed="81"/>
            <rFont val="Segoe UI"/>
            <family val="2"/>
          </rPr>
          <t xml:space="preserve">the variable  </t>
        </r>
        <r>
          <rPr>
            <i/>
            <sz val="9"/>
            <color indexed="81"/>
            <rFont val="Segoe UI"/>
            <family val="2"/>
          </rPr>
          <t>xsyRotorInertia_XDU16</t>
        </r>
        <r>
          <rPr>
            <sz val="9"/>
            <color indexed="81"/>
            <rFont val="Segoe UI"/>
            <family val="2"/>
          </rPr>
          <t xml:space="preserve">  is used in SW only in the Rackforce module dynamic (RFMD).
   There, only the value of the rotor inertia was considered; even though in case of APA the inertia 
   of the belt wheel and KGT might have an additional effect (divided by the ratio ~2.8) --&gt; to be checked in project;
   An 'inaccurate' value can be compensated by overlaying tuning. 
   </t>
        </r>
        <r>
          <rPr>
            <strike/>
            <sz val="9"/>
            <color indexed="81"/>
            <rFont val="Segoe UI"/>
            <family val="2"/>
          </rPr>
          <t>But in SDK3 template we now calculate the inertia including 'reduced inertias', transformed by J_red = J*(n/n0)^2.</t>
        </r>
        <r>
          <rPr>
            <sz val="9"/>
            <color indexed="81"/>
            <rFont val="Segoe UI"/>
            <family val="2"/>
          </rPr>
          <t xml:space="preserve">
New: the value will also be used for calculation of wormwheel torque in alteration calculation.
Additionally, the value  </t>
        </r>
        <r>
          <rPr>
            <i/>
            <sz val="9"/>
            <color indexed="81"/>
            <rFont val="Segoe UI"/>
            <family val="2"/>
          </rPr>
          <t xml:space="preserve">xsyRotorInertia_XDU16 </t>
        </r>
        <r>
          <rPr>
            <sz val="9"/>
            <color indexed="81"/>
            <rFont val="Segoe UI"/>
            <family val="2"/>
          </rPr>
          <t xml:space="preserve"> (calc. with old formula) is used in the calculation of the slipping clutch 
coefficients, done in a separate excel sheet; therefore, only the inertia of the rotor shaft shall be used, without belt wheel / worm wheel
</t>
        </r>
      </text>
    </comment>
    <comment ref="A75" authorId="1" shapeId="0">
      <text>
        <r>
          <rPr>
            <sz val="9"/>
            <color indexed="81"/>
            <rFont val="Segoe UI"/>
            <family val="2"/>
          </rPr>
          <t xml:space="preserve">the variable  xsyExpandedRotorInertia_XDU16  is used in SW for calculation of wormwheel torque in alteration calculation.
Additionally, this value  should be used in the calculation of the slipping clutch 
coefficients, done in a separate excel sheet; therefore, only the inertia of the rotor shaft shall be used, without belt wheel / worm wheel
</t>
        </r>
      </text>
    </comment>
    <comment ref="A80" authorId="0" shapeId="0">
      <text>
        <r>
          <rPr>
            <b/>
            <sz val="9"/>
            <color indexed="81"/>
            <rFont val="Segoe UI"/>
            <family val="2"/>
          </rPr>
          <t>ONLY</t>
        </r>
        <r>
          <rPr>
            <sz val="9"/>
            <color indexed="81"/>
            <rFont val="Segoe UI"/>
            <family val="2"/>
          </rPr>
          <t xml:space="preserve"> APPLICABLE WITH </t>
        </r>
        <r>
          <rPr>
            <b/>
            <sz val="9"/>
            <color indexed="81"/>
            <rFont val="Segoe UI"/>
            <family val="2"/>
          </rPr>
          <t>MMT</t>
        </r>
        <r>
          <rPr>
            <sz val="9"/>
            <color indexed="81"/>
            <rFont val="Segoe UI"/>
            <family val="2"/>
          </rPr>
          <t xml:space="preserve">-SENSOR  (moving-magnet-technologie)
Based on the “TbtStiffnessSelecetion” value, the polynom coefficients for the MMT torsion bar torque linearization in the software shall be selected 
(hint: for the VW BS sensor no linearization is done).
Furthermore this value is used to provide the real torsion bar stiffness of the used MMT sensor in the HwLib interface “yHwlI_TorsionBarStiffness_gdu16”, 
and to calculate and provide the real torsion bar twist in the HwLib interface “wHwlI_TorsionBarTwist_gdf32”.
Calib Value    TBT Stiffness       Polynom Coeff. A     Polynom Coeff. C         Customer Project
0                         2,2                                0,0                              0,0                                Default
1                         2,2                                0,00279                      0,0                                SGM GEM
2                         2,5                                0,0030319987            0,0078                          Ford B/C
3                           ?                                  -                                 -                                   VW BS
4 - 255               2,2                                0,0                               0,0                               Default
</t>
        </r>
      </text>
    </comment>
  </commentList>
</comments>
</file>

<file path=xl/comments3.xml><?xml version="1.0" encoding="utf-8"?>
<comments xmlns="http://schemas.openxmlformats.org/spreadsheetml/2006/main">
  <authors>
    <author>g52193</author>
    <author>g51885</author>
    <author>Biegert Rainer (AS-ER/ENK3)</author>
    <author>Rainer</author>
    <author>G51827</author>
  </authors>
  <commentList>
    <comment ref="B6" authorId="0" shapeId="0">
      <text>
        <r>
          <rPr>
            <sz val="10"/>
            <color indexed="81"/>
            <rFont val="Verdana"/>
            <family val="2"/>
          </rPr>
          <t xml:space="preserve">input data: pinion angle [°] in steps of 1°
</t>
        </r>
        <r>
          <rPr>
            <sz val="8"/>
            <color indexed="81"/>
            <rFont val="Tahoma"/>
            <family val="2"/>
          </rPr>
          <t xml:space="preserve">
</t>
        </r>
      </text>
    </comment>
    <comment ref="C6" authorId="1" shapeId="0">
      <text>
        <r>
          <rPr>
            <sz val="10"/>
            <color indexed="81"/>
            <rFont val="Segoe UI"/>
            <family val="2"/>
          </rPr>
          <t>input data: rackstroke [mm]</t>
        </r>
        <r>
          <rPr>
            <sz val="9"/>
            <color indexed="81"/>
            <rFont val="Segoe UI"/>
            <family val="2"/>
          </rPr>
          <t xml:space="preserve">
</t>
        </r>
      </text>
    </comment>
    <comment ref="D6" authorId="2" shapeId="0">
      <text>
        <r>
          <rPr>
            <sz val="10"/>
            <color indexed="81"/>
            <rFont val="Segoe UI"/>
            <family val="2"/>
          </rPr>
          <t>input data: gear ratio driver pinion --&gt;rack [mm/rev]</t>
        </r>
        <r>
          <rPr>
            <sz val="9"/>
            <color indexed="81"/>
            <rFont val="Segoe UI"/>
            <family val="2"/>
          </rPr>
          <t xml:space="preserve">
</t>
        </r>
      </text>
    </comment>
    <comment ref="E6" authorId="0" shapeId="0">
      <text>
        <r>
          <rPr>
            <sz val="10"/>
            <color indexed="81"/>
            <rFont val="Verdana"/>
            <family val="2"/>
          </rPr>
          <t xml:space="preserve">input data: pinion angle [°] in steps of 1°
</t>
        </r>
        <r>
          <rPr>
            <sz val="8"/>
            <color indexed="81"/>
            <rFont val="Tahoma"/>
            <family val="2"/>
          </rPr>
          <t xml:space="preserve">
</t>
        </r>
      </text>
    </comment>
    <comment ref="F6" authorId="1" shapeId="0">
      <text>
        <r>
          <rPr>
            <sz val="10"/>
            <color indexed="81"/>
            <rFont val="Verdana"/>
            <family val="2"/>
          </rPr>
          <t>input data: rackstroke [mm]</t>
        </r>
        <r>
          <rPr>
            <sz val="9"/>
            <color indexed="81"/>
            <rFont val="Segoe UI"/>
            <family val="2"/>
          </rPr>
          <t xml:space="preserve">
</t>
        </r>
      </text>
    </comment>
    <comment ref="G6" authorId="2" shapeId="0">
      <text>
        <r>
          <rPr>
            <sz val="10"/>
            <color indexed="81"/>
            <rFont val="Segoe UI"/>
            <family val="2"/>
          </rPr>
          <t>input data: gear ratio driver pinion --&gt;rack [mm/rev]</t>
        </r>
      </text>
    </comment>
    <comment ref="H6" authorId="0" shapeId="0">
      <text>
        <r>
          <rPr>
            <sz val="10"/>
            <color indexed="81"/>
            <rFont val="Verdana"/>
            <family val="2"/>
          </rPr>
          <t xml:space="preserve">input data: pinion angle [°] for calculations
</t>
        </r>
        <r>
          <rPr>
            <sz val="8"/>
            <color indexed="81"/>
            <rFont val="Tahoma"/>
            <family val="2"/>
          </rPr>
          <t xml:space="preserve">
</t>
        </r>
      </text>
    </comment>
    <comment ref="I6" authorId="1" shapeId="0">
      <text>
        <r>
          <rPr>
            <sz val="10"/>
            <color indexed="81"/>
            <rFont val="Verdana"/>
            <family val="2"/>
          </rPr>
          <t>physical ratio of driver pinion to rack</t>
        </r>
      </text>
    </comment>
    <comment ref="J6" authorId="1" shapeId="0">
      <text>
        <r>
          <rPr>
            <sz val="10"/>
            <color indexed="81"/>
            <rFont val="Verdana"/>
            <family val="2"/>
          </rPr>
          <t>mm_rack / °_pinion</t>
        </r>
      </text>
    </comment>
    <comment ref="K6" authorId="1" shapeId="0">
      <text>
        <r>
          <rPr>
            <sz val="10"/>
            <color indexed="81"/>
            <rFont val="Verdana"/>
            <family val="2"/>
          </rPr>
          <t>input data: rackstroke [mm] for calculations</t>
        </r>
        <r>
          <rPr>
            <sz val="9"/>
            <color indexed="81"/>
            <rFont val="Segoe UI"/>
            <family val="2"/>
          </rPr>
          <t xml:space="preserve">
</t>
        </r>
      </text>
    </comment>
    <comment ref="L6" authorId="3" shapeId="0">
      <text>
        <r>
          <rPr>
            <sz val="10"/>
            <color indexed="81"/>
            <rFont val="Tahoma"/>
            <family val="2"/>
          </rPr>
          <t>rotor angle, calculated from rack stroke</t>
        </r>
      </text>
    </comment>
    <comment ref="M6" authorId="3" shapeId="0">
      <text>
        <r>
          <rPr>
            <sz val="10"/>
            <color indexed="81"/>
            <rFont val="Verdana"/>
            <family val="2"/>
          </rPr>
          <t>rotor angle, calculated from rack stroke and rounded to integer</t>
        </r>
        <r>
          <rPr>
            <sz val="10"/>
            <color indexed="81"/>
            <rFont val="Tahoma"/>
            <family val="2"/>
          </rPr>
          <t xml:space="preserve">
</t>
        </r>
      </text>
    </comment>
    <comment ref="N6" authorId="3" shapeId="0">
      <text>
        <r>
          <rPr>
            <sz val="10"/>
            <color indexed="81"/>
            <rFont val="Verdana"/>
            <family val="2"/>
          </rPr>
          <t>stroke calculated from rotor angle (col. F) and LuT</t>
        </r>
        <r>
          <rPr>
            <b/>
            <sz val="9"/>
            <color indexed="81"/>
            <rFont val="Tahoma"/>
            <family val="2"/>
          </rPr>
          <t xml:space="preserve">
</t>
        </r>
      </text>
    </comment>
    <comment ref="P6" authorId="3" shapeId="0">
      <text>
        <r>
          <rPr>
            <sz val="10"/>
            <color indexed="81"/>
            <rFont val="Verdana"/>
            <family val="2"/>
          </rPr>
          <t>deviation of interpolated stroke and original stroke</t>
        </r>
      </text>
    </comment>
    <comment ref="R6" authorId="3" shapeId="0">
      <text>
        <r>
          <rPr>
            <sz val="10"/>
            <color indexed="81"/>
            <rFont val="Verdana"/>
            <family val="2"/>
          </rPr>
          <t>steering angle calculated from rotor angle (col. F) and LuT</t>
        </r>
        <r>
          <rPr>
            <b/>
            <sz val="8"/>
            <color indexed="81"/>
            <rFont val="Tahoma"/>
            <family val="2"/>
          </rPr>
          <t xml:space="preserve">
</t>
        </r>
      </text>
    </comment>
    <comment ref="S6" authorId="3" shapeId="0">
      <text>
        <r>
          <rPr>
            <sz val="10"/>
            <color indexed="81"/>
            <rFont val="Verdana"/>
            <family val="2"/>
          </rPr>
          <t>deviation of interpolated steering angle and original pinion angle</t>
        </r>
      </text>
    </comment>
    <comment ref="U6" authorId="1" shapeId="0">
      <text>
        <r>
          <rPr>
            <sz val="10"/>
            <color indexed="81"/>
            <rFont val="Verdana"/>
            <family val="2"/>
          </rPr>
          <t>real_ratio / averaged_ratio   from column --&gt; motor</t>
        </r>
      </text>
    </comment>
    <comment ref="V6" authorId="1" shapeId="0">
      <text>
        <r>
          <rPr>
            <sz val="10"/>
            <color indexed="81"/>
            <rFont val="Verdana"/>
            <family val="2"/>
          </rPr>
          <t>[°]RA / [°]PA , physically</t>
        </r>
      </text>
    </comment>
    <comment ref="X7" authorId="1" shapeId="0">
      <text>
        <r>
          <rPr>
            <sz val="10"/>
            <color indexed="81"/>
            <rFont val="Verdana"/>
            <family val="2"/>
          </rPr>
          <t>in case of EPSc / single pinion and i-var:
averaged ratio (least-mean-square)</t>
        </r>
        <r>
          <rPr>
            <sz val="9"/>
            <color indexed="81"/>
            <rFont val="Segoe UI"/>
            <family val="2"/>
          </rPr>
          <t xml:space="preserve">
</t>
        </r>
      </text>
    </comment>
    <comment ref="X9" authorId="1" shapeId="0">
      <text>
        <r>
          <rPr>
            <sz val="10"/>
            <color indexed="81"/>
            <rFont val="Verdana"/>
            <family val="2"/>
          </rPr>
          <t>calculated by 
least-mean-square-error</t>
        </r>
      </text>
    </comment>
    <comment ref="X13" authorId="3" shapeId="0">
      <text>
        <r>
          <rPr>
            <sz val="10"/>
            <color indexed="81"/>
            <rFont val="Verdana"/>
            <family val="2"/>
          </rPr>
          <t>averaged steering ratio from center to endstop, to have correct values at endstop (!= least mean square error)</t>
        </r>
        <r>
          <rPr>
            <b/>
            <sz val="8"/>
            <color indexed="81"/>
            <rFont val="Tahoma"/>
            <family val="2"/>
          </rPr>
          <t xml:space="preserve">
</t>
        </r>
      </text>
    </comment>
    <comment ref="X14" authorId="1" shapeId="0">
      <text>
        <r>
          <rPr>
            <sz val="10"/>
            <color indexed="81"/>
            <rFont val="Verdana"/>
            <family val="2"/>
          </rPr>
          <t>averaged steering ratio from center to endstop, to have correct values at endstop (!= least mean square error)</t>
        </r>
      </text>
    </comment>
    <comment ref="X15" authorId="1" shapeId="0">
      <text>
        <r>
          <rPr>
            <sz val="10"/>
            <color indexed="81"/>
            <rFont val="Verdana"/>
            <family val="2"/>
          </rPr>
          <t>rotor - rack is a constant ratio;
exeption: EPSc / SiPi with i-var</t>
        </r>
      </text>
    </comment>
    <comment ref="X21" authorId="4" shapeId="0">
      <text>
        <r>
          <rPr>
            <sz val="10"/>
            <color indexed="81"/>
            <rFont val="Verdana"/>
            <family val="2"/>
          </rPr>
          <t xml:space="preserve">stroke is beeing taken directly from table
</t>
        </r>
      </text>
    </comment>
    <comment ref="Y21" authorId="4" shapeId="0">
      <text>
        <r>
          <rPr>
            <sz val="10"/>
            <color indexed="81"/>
            <rFont val="Verdana"/>
            <family val="2"/>
          </rPr>
          <t xml:space="preserve">motor angle:
the motor angle has to be moved to the array. the samplepoints match the rackposition
</t>
        </r>
      </text>
    </comment>
    <comment ref="AB21" authorId="4" shapeId="0">
      <text>
        <r>
          <rPr>
            <sz val="10"/>
            <color indexed="81"/>
            <rFont val="Verdana"/>
            <family val="2"/>
          </rPr>
          <t xml:space="preserve">stroke is beeing taken directly from table
</t>
        </r>
      </text>
    </comment>
    <comment ref="AC21" authorId="4" shapeId="0">
      <text>
        <r>
          <rPr>
            <sz val="10"/>
            <color indexed="81"/>
            <rFont val="Verdana"/>
            <family val="2"/>
          </rPr>
          <t>steering angle:
the steering angle has to be moved to the array. the samplepoints match the rackposition</t>
        </r>
      </text>
    </comment>
    <comment ref="Y42" authorId="2" shapeId="0">
      <text>
        <r>
          <rPr>
            <sz val="10"/>
            <color indexed="81"/>
            <rFont val="Segoe UI"/>
            <family val="2"/>
          </rPr>
          <t xml:space="preserve">motor     means    motor shaft
column   means    pinion at column
no play; ideal stiffness
resolution of steering angle variable is 0.1°,
so the deviation should be below 0.1°, if possible
This tolerances means the possible deviation in the calculation in SW. </t>
        </r>
        <r>
          <rPr>
            <sz val="9"/>
            <color indexed="81"/>
            <rFont val="Segoe UI"/>
            <family val="2"/>
          </rPr>
          <t xml:space="preserve">
</t>
        </r>
      </text>
    </comment>
    <comment ref="Z46" authorId="1" shapeId="0">
      <text>
        <r>
          <rPr>
            <sz val="10"/>
            <color indexed="81"/>
            <rFont val="Verdana"/>
            <family val="2"/>
          </rPr>
          <t>SW implementation allows 10 sample points for these arrays</t>
        </r>
      </text>
    </comment>
    <comment ref="X70" authorId="1" shapeId="0">
      <text>
        <r>
          <rPr>
            <sz val="10"/>
            <color indexed="81"/>
            <rFont val="Verdana"/>
            <family val="2"/>
          </rPr>
          <t>the jsyInvSteeringRatio_XDU16 must be divided by this 'factor' to get the physical ratio at the current position;
Monitoring: xBci_InvSteeringRatioVarFact_XAF32  must be tuned with same values!</t>
        </r>
      </text>
    </comment>
    <comment ref="AB70" authorId="2" shapeId="0">
      <text>
        <r>
          <rPr>
            <b/>
            <sz val="9"/>
            <color indexed="81"/>
            <rFont val="Segoe UI"/>
            <family val="2"/>
          </rPr>
          <t>local ratio = jsyInvSteeringRatio_xdu16 / xysInvSteeringRatioVarFact_XAU16</t>
        </r>
      </text>
    </comment>
    <comment ref="Y87" authorId="1" shapeId="0">
      <text>
        <r>
          <rPr>
            <sz val="10"/>
            <color indexed="81"/>
            <rFont val="Verdana"/>
            <family val="2"/>
          </rPr>
          <t>SW implementation allows 13 sample points for this look-up-table</t>
        </r>
        <r>
          <rPr>
            <sz val="9"/>
            <color indexed="81"/>
            <rFont val="Segoe UI"/>
            <family val="2"/>
          </rPr>
          <t xml:space="preserve">
</t>
        </r>
      </text>
    </comment>
    <comment ref="Y97" authorId="1" shapeId="0">
      <text>
        <r>
          <rPr>
            <sz val="9"/>
            <color indexed="81"/>
            <rFont val="Segoe UI"/>
            <family val="2"/>
          </rPr>
          <t xml:space="preserve">keep in mind:
values in integer-array might be rounded due to scaling;
use the resulting values in the float-array, too (to avoid deviations)
</t>
        </r>
      </text>
    </comment>
  </commentList>
</comments>
</file>

<file path=xl/comments4.xml><?xml version="1.0" encoding="utf-8"?>
<comments xmlns="http://schemas.openxmlformats.org/spreadsheetml/2006/main">
  <authors>
    <author>g51885</author>
    <author>g52579</author>
    <author>g52042</author>
    <author>Biegert Rainer (AS-ER/ENK3)</author>
  </authors>
  <commentList>
    <comment ref="A6" authorId="0" shapeId="0">
      <text>
        <r>
          <rPr>
            <sz val="9"/>
            <color indexed="81"/>
            <rFont val="Segoe UI"/>
            <family val="2"/>
          </rPr>
          <t xml:space="preserve">The upper threshold for the endstop learning is increased by this tolerance to make sure that the threshold will not be exceeded;
The lower threshold for the endstop learning is decreased by this tolerance to make sure that the threshold will be exceeded;
The minimum rackstroke is reduced by this tolerance to do the learned-range-check;
</t>
        </r>
      </text>
    </comment>
    <comment ref="A7" authorId="1" shapeId="0">
      <text>
        <r>
          <rPr>
            <b/>
            <sz val="8"/>
            <color indexed="81"/>
            <rFont val="Tahoma"/>
            <family val="2"/>
          </rPr>
          <t>g52579:</t>
        </r>
        <r>
          <rPr>
            <sz val="8"/>
            <color indexed="81"/>
            <rFont val="Tahoma"/>
            <family val="2"/>
          </rPr>
          <t xml:space="preserve">
Distance from the end stop where an end stop torque can be set.
Normally 3-4mm -&gt; Residual safety
-&gt; </t>
        </r>
        <r>
          <rPr>
            <b/>
            <sz val="8"/>
            <color indexed="81"/>
            <rFont val="Tahoma"/>
            <family val="2"/>
          </rPr>
          <t xml:space="preserve">double check with tuning!
</t>
        </r>
      </text>
    </comment>
    <comment ref="D7" authorId="2" shapeId="0">
      <text>
        <r>
          <rPr>
            <sz val="9"/>
            <color indexed="81"/>
            <rFont val="Tahoma"/>
            <family val="2"/>
          </rPr>
          <t xml:space="preserve">Characteristic curves start before endstop (distance to Endstop): the highest value from both characteristic curves shall be taken.
</t>
        </r>
      </text>
    </comment>
    <comment ref="A8" authorId="0" shapeId="0">
      <text>
        <r>
          <rPr>
            <sz val="9"/>
            <color indexed="81"/>
            <rFont val="Segoe UI"/>
            <family val="2"/>
          </rPr>
          <t xml:space="preserve">information used for calculation of L2 limits
</t>
        </r>
      </text>
    </comment>
    <comment ref="A13" authorId="0" shapeId="0">
      <text>
        <r>
          <rPr>
            <sz val="9"/>
            <color indexed="81"/>
            <rFont val="Segoe UI"/>
            <family val="2"/>
          </rPr>
          <t>relates to:
- lEndStopI_ReqRackPosMax_xds16/..Min..  --&gt; left / right endstop position
- lEndStopI_AbsPosOffset_xds16 --&gt; symmetrical drawing in of both endstops</t>
        </r>
      </text>
    </comment>
    <comment ref="A14" authorId="0" shapeId="0">
      <text>
        <r>
          <rPr>
            <sz val="9"/>
            <color indexed="81"/>
            <rFont val="Segoe UI"/>
            <family val="2"/>
          </rPr>
          <t>with non-oversteerable endstops an ASIL-D rackposition is mandatory!</t>
        </r>
      </text>
    </comment>
    <comment ref="A16" authorId="0" shapeId="0">
      <text>
        <r>
          <rPr>
            <sz val="9"/>
            <color indexed="81"/>
            <rFont val="Segoe UI"/>
            <family val="2"/>
          </rPr>
          <t>- used in handling of NoLearnFlag, when &gt; HalfSteerRange
- used in calculation of AdditionalSteerRange and for initialization of RackPosMin/..Max after Startup
- half of this value must be achievable on both sides by the used rackposition signal 
   (e.g. when offset between mechanical rack center and rackposition offspring
(steering angle exactly initialized; offset in raw init doesn't need 
to be considered)</t>
        </r>
      </text>
    </comment>
    <comment ref="A17" authorId="0" shapeId="0">
      <text>
        <r>
          <rPr>
            <sz val="9"/>
            <color indexed="81"/>
            <rFont val="Segoe UI"/>
            <family val="2"/>
          </rPr>
          <t>- this value is used as a limitation for the detected min-/max-values of rackposition
- steering angle can be assumed as exactly initialized; 
    offset in raw init doesn't need to be considered</t>
        </r>
      </text>
    </comment>
    <comment ref="A18" authorId="0" shapeId="0">
      <text>
        <r>
          <rPr>
            <sz val="9"/>
            <color indexed="81"/>
            <rFont val="Segoe UI"/>
            <family val="2"/>
          </rPr>
          <t>learning below this threshold is not possible;
the steering angle is exactly initialized 
--&gt; offset in raw init doesn't need to be considered)</t>
        </r>
      </text>
    </comment>
    <comment ref="A19" authorId="0" shapeId="0">
      <text>
        <r>
          <rPr>
            <sz val="9"/>
            <color indexed="81"/>
            <rFont val="Segoe UI"/>
            <family val="2"/>
          </rPr>
          <t xml:space="preserve">this range check is only done once: when the learning of both endstops is finished;
The Minimum rackstroke must be reached, but there is a tunable tolerance allowed and the elasticity of the system (belt, …) gives additional tolerance. 
</t>
        </r>
      </text>
    </comment>
    <comment ref="A20" authorId="3" shapeId="0">
      <text>
        <r>
          <rPr>
            <sz val="9"/>
            <color indexed="81"/>
            <rFont val="Segoe UI"/>
            <family val="2"/>
          </rPr>
          <t xml:space="preserve">The used endstop positions, incl. dynamic endstops etc are limited to this value, they are not allowed below. 
</t>
        </r>
      </text>
    </comment>
    <comment ref="A21" authorId="0" shapeId="0">
      <text>
        <r>
          <rPr>
            <sz val="9"/>
            <color indexed="81"/>
            <rFont val="Segoe UI"/>
            <family val="2"/>
          </rPr>
          <t>value used to avoid 'frequent relearning' and therefore frequent writing of NV-Ram.
if new value is accepted, this new endstop positions are written to variables / NV-Ram only after leaving the endstop area</t>
        </r>
      </text>
    </comment>
    <comment ref="A22" authorId="0" shapeId="0">
      <text>
        <r>
          <rPr>
            <sz val="9"/>
            <color indexed="81"/>
            <rFont val="Segoe UI"/>
            <family val="2"/>
          </rPr>
          <t>the offset in raw-initialization can be created near rack center and become larger towards the endstops, if a i-var ratio is used.</t>
        </r>
      </text>
    </comment>
    <comment ref="A25" authorId="0" shapeId="0">
      <text>
        <r>
          <rPr>
            <sz val="9"/>
            <color indexed="81"/>
            <rFont val="Segoe UI"/>
            <family val="2"/>
          </rPr>
          <t xml:space="preserve">a minimum vehicle speed is needed to ensure that the rackforces are low enough to really reach the mechanical endstops. In vehicle stillstand the rackforces near the endstops might be too high, esp. on high-mue.
</t>
        </r>
      </text>
    </comment>
    <comment ref="A26" authorId="0" shapeId="0">
      <text>
        <r>
          <rPr>
            <sz val="9"/>
            <color indexed="81"/>
            <rFont val="Segoe UI"/>
            <family val="2"/>
          </rPr>
          <t>with TotalMotTorLim below this threshold the endstops cannot be learned</t>
        </r>
      </text>
    </comment>
    <comment ref="A27" authorId="0" shapeId="0">
      <text>
        <r>
          <rPr>
            <sz val="9"/>
            <color indexed="81"/>
            <rFont val="Segoe UI"/>
            <family val="2"/>
          </rPr>
          <t xml:space="preserve">when using the "standard" learning with the endstops becoming soft (ramp down spring torque), the ramping down means already a debouncing.
When learning with drifting endstops (no dampers) the endstops cannot become soft and therefore a separate debouncing is needed.
</t>
        </r>
      </text>
    </comment>
    <comment ref="A29" authorId="0" shapeId="0">
      <text>
        <r>
          <rPr>
            <sz val="9"/>
            <color indexed="81"/>
            <rFont val="Segoe UI"/>
            <family val="2"/>
          </rPr>
          <t>Assist &gt; spring torque;
spring torque becomes lower, when endstops drift outward</t>
        </r>
      </text>
    </comment>
    <comment ref="A31" authorId="0" shapeId="0">
      <text>
        <r>
          <rPr>
            <sz val="9"/>
            <color indexed="81"/>
            <rFont val="Segoe UI"/>
            <family val="2"/>
          </rPr>
          <t xml:space="preserve">once this value is exceeded, no learning is possible until the endstop area was left again (--&gt; NoLearnFlag is set)
</t>
        </r>
      </text>
    </comment>
    <comment ref="A37" authorId="0" shapeId="0">
      <text>
        <r>
          <rPr>
            <sz val="9"/>
            <color indexed="81"/>
            <rFont val="Segoe UI"/>
            <family val="2"/>
          </rPr>
          <t>endstop torque below this threshold leads to endstop ErrorStatus = 1
(ASIL-D)
- value must be smaller than allowed minimum VES position, less the range of the curves 
   for torque and damping</t>
        </r>
      </text>
    </comment>
    <comment ref="A38" authorId="0" shapeId="0">
      <text>
        <r>
          <rPr>
            <sz val="9"/>
            <color indexed="81"/>
            <rFont val="Segoe UI"/>
            <family val="2"/>
          </rPr>
          <t xml:space="preserve">the AbsPosOffset is subtracted from this threshold; so the actual value of the dynamic endstop 
is used instead of the overall maximum.
endstop torque below the resulting threshold leads to endstop ErrorStatus = 2
(ASIL rating: from ES-Supp offset)
even if no dynamic endstops are used, the value has to be tuned
</t>
        </r>
      </text>
    </comment>
    <comment ref="A42" authorId="0" shapeId="0">
      <text>
        <r>
          <rPr>
            <sz val="9"/>
            <color indexed="81"/>
            <rFont val="Segoe UI"/>
            <family val="2"/>
          </rPr>
          <t xml:space="preserve">1 - no filtering
.. 0.1 very strong filtering
0 - no more outout
</t>
        </r>
      </text>
    </comment>
    <comment ref="A43" authorId="0" shapeId="0">
      <text>
        <r>
          <rPr>
            <sz val="9"/>
            <color indexed="81"/>
            <rFont val="Segoe UI"/>
            <family val="2"/>
          </rPr>
          <t>change of factor (0..1) per ms</t>
        </r>
      </text>
    </comment>
    <comment ref="A44" authorId="0" shapeId="0">
      <text>
        <r>
          <rPr>
            <sz val="9"/>
            <color indexed="81"/>
            <rFont val="Segoe UI"/>
            <family val="2"/>
          </rPr>
          <t xml:space="preserve">sw endstops can become soft (ramp down spring torque) when at the endstop position at low steering speed; this is used to have the maximum steering range, esp if endstop-position is learned too low
</t>
        </r>
      </text>
    </comment>
    <comment ref="A45" authorId="0" shapeId="0">
      <text>
        <r>
          <rPr>
            <sz val="9"/>
            <color indexed="81"/>
            <rFont val="Segoe UI"/>
            <family val="2"/>
          </rPr>
          <t>this damping is limited to mEndStop_MaxTorquePointingOutwards_XDU16.</t>
        </r>
      </text>
    </comment>
    <comment ref="A49" authorId="0" shapeId="0">
      <text>
        <r>
          <rPr>
            <sz val="9"/>
            <color indexed="81"/>
            <rFont val="Segoe UI"/>
            <family val="2"/>
          </rPr>
          <t xml:space="preserve">only available if:  (AND)
- no dynamic endstops used from ES-Supp component (fEndStop_EnableDyn_XDU8 =0)
- LimitsActive ==1 (fEndStop_LimitEnable_XDU8==1 || Startup in SpringArea || SpringReduced)
SpringReduced: non-oversteerable endstops can become soft, when fully learned.
Thereby the full mechanical range can be used --&gt; low turning radius of vehicle
</t>
        </r>
      </text>
    </comment>
    <comment ref="A50" authorId="3" shapeId="0">
      <text>
        <r>
          <rPr>
            <sz val="9"/>
            <color indexed="81"/>
            <rFont val="Segoe UI"/>
            <family val="2"/>
          </rPr>
          <t xml:space="preserve">not the damping value </t>
        </r>
        <r>
          <rPr>
            <i/>
            <sz val="9"/>
            <color indexed="81"/>
            <rFont val="Segoe UI"/>
            <family val="2"/>
          </rPr>
          <t>mEndStopI_Damping4Check_xds16</t>
        </r>
        <r>
          <rPr>
            <sz val="9"/>
            <color indexed="81"/>
            <rFont val="Segoe UI"/>
            <family val="2"/>
          </rPr>
          <t xml:space="preserve"> itself is limited to this limit, but only the max. spring torque is reduced by this limit (only in case of oversteerable endstops) to ensure this damping can be applied. So the damping can have values from 0Nm … Limit. 
</t>
        </r>
      </text>
    </comment>
    <comment ref="A55" authorId="0" shapeId="0">
      <text>
        <r>
          <rPr>
            <sz val="9"/>
            <color indexed="81"/>
            <rFont val="Segoe UI"/>
            <family val="2"/>
          </rPr>
          <t xml:space="preserve">1: reactivation of endstop after an iSAS error is healed is not allowed
0: reactivation of endstop after an iSAS error is healed is        allowed
</t>
        </r>
      </text>
    </comment>
  </commentList>
</comments>
</file>

<file path=xl/comments5.xml><?xml version="1.0" encoding="utf-8"?>
<comments xmlns="http://schemas.openxmlformats.org/spreadsheetml/2006/main">
  <authors>
    <author>g51885</author>
    <author>Biegert Rainer (AS-ER/ENK3)</author>
    <author>g52042</author>
  </authors>
  <commentList>
    <comment ref="A6" authorId="0" shapeId="0">
      <text>
        <r>
          <rPr>
            <sz val="9"/>
            <color indexed="81"/>
            <rFont val="Segoe UI"/>
            <family val="2"/>
          </rPr>
          <t>used in monitoring;
includes 
- torsion of column @startup  (up to 40°)
- cardanic joint error @startup (up to 5°)
- and further tolerances…</t>
        </r>
      </text>
    </comment>
    <comment ref="A7" authorId="0" shapeId="0">
      <text>
        <r>
          <rPr>
            <sz val="9"/>
            <color indexed="81"/>
            <rFont val="Segoe UI"/>
            <family val="2"/>
          </rPr>
          <t>the monitoring can be disabled, because the calculated rack speed is limited @ 250mm/s (scaling of variable); 
so depending on the gear-ratio there can be a deviation between the input rotorspeed and the backward calculated value (limited); in this monitoring-case even the steering angle would become invalid. 
So it is better only to disable the speed monitoring (at these speeds no motor torque can be realized)</t>
        </r>
      </text>
    </comment>
    <comment ref="A17" authorId="0" shapeId="0">
      <text>
        <r>
          <rPr>
            <sz val="9"/>
            <color indexed="81"/>
            <rFont val="Segoe UI"/>
            <family val="2"/>
          </rPr>
          <t xml:space="preserve">for example at test bench, when  no rack is mounted (EPSc), the rotor angle can become higher than 16bit range; then no synchronization would be possible.
To prevent this, the rotor angle is reset then.
+-525rad = +-30080° motor
</t>
        </r>
      </text>
    </comment>
    <comment ref="A18" authorId="0" shapeId="0">
      <text>
        <r>
          <rPr>
            <sz val="9"/>
            <color indexed="81"/>
            <rFont val="Segoe UI"/>
            <family val="2"/>
          </rPr>
          <t>step in rotor angle due to synchronization is gradient limited.
e.g. when synchronization switches from RAW --&gt; EXACTLY
or when resynchronization is done.</t>
        </r>
      </text>
    </comment>
    <comment ref="A27" authorId="0" shapeId="0">
      <text>
        <r>
          <rPr>
            <sz val="9"/>
            <color indexed="81"/>
            <rFont val="Segoe UI"/>
            <family val="2"/>
          </rPr>
          <t>beyond this value the iSAS is set invalid by the monitoring;
tuning: (near center)
+-180° with DMS 5 (index every 360°)  OR  with external steering angle sensor
+-90° .. +-165° with DMS 6 (index every 180°)</t>
        </r>
      </text>
    </comment>
    <comment ref="A32" authorId="0" shapeId="0">
      <text>
        <r>
          <rPr>
            <sz val="9"/>
            <color indexed="81"/>
            <rFont val="Segoe UI"/>
            <family val="2"/>
          </rPr>
          <t xml:space="preserve">deviations might occur 
- when synchronization is done with ramping
- on errors
</t>
        </r>
      </text>
    </comment>
    <comment ref="A37" authorId="0" shapeId="0">
      <text>
        <r>
          <rPr>
            <sz val="9"/>
            <color indexed="81"/>
            <rFont val="Segoe UI"/>
            <family val="2"/>
          </rPr>
          <t>the monitoring is disabled, because the calculated rack speed is limited @ 250mm/s (variable scaling); so depending on the gear-ratio there can be a deviation between the input rotorspeed and the backward calculated value (limited); in this monitoring-case even the steering angle would become invalid. 
So it is better only to disable the speed monitoring (at these speeds no motor torque can be realized)</t>
        </r>
      </text>
    </comment>
    <comment ref="A38" authorId="0" shapeId="0">
      <text>
        <r>
          <rPr>
            <sz val="9"/>
            <color indexed="81"/>
            <rFont val="Segoe UI"/>
            <family val="2"/>
          </rPr>
          <t xml:space="preserve">select monitoring checks to be used
</t>
        </r>
      </text>
    </comment>
    <comment ref="A39" authorId="0" shapeId="0">
      <text>
        <r>
          <rPr>
            <sz val="9"/>
            <color indexed="81"/>
            <rFont val="Segoe UI"/>
            <family val="2"/>
          </rPr>
          <t xml:space="preserve">reaction to a detected error:
0 - go to reversible error mode
1 - go to permanent error mode --&gt; key cycle for healing
</t>
        </r>
      </text>
    </comment>
    <comment ref="A42" authorId="0" shapeId="0">
      <text>
        <r>
          <rPr>
            <sz val="9"/>
            <color indexed="81"/>
            <rFont val="Segoe UI"/>
            <family val="2"/>
          </rPr>
          <t xml:space="preserve">value must be able to cover possible offsets of ext.SAS due to assembly
OR calibration errors, respectively.
Output is limited to this value.
</t>
        </r>
      </text>
    </comment>
    <comment ref="A43" authorId="0" shapeId="0">
      <text>
        <r>
          <rPr>
            <sz val="9"/>
            <color indexed="81"/>
            <rFont val="Segoe UI"/>
            <family val="2"/>
          </rPr>
          <t>working range of longterm correction algorithm; within this range the learning conditions can be fulfilled</t>
        </r>
      </text>
    </comment>
    <comment ref="A44" authorId="0" shapeId="0">
      <text>
        <r>
          <rPr>
            <sz val="9"/>
            <color indexed="81"/>
            <rFont val="Segoe UI"/>
            <family val="2"/>
          </rPr>
          <t>working range of shortterm correction algorithm; 
within this range the learning conditions can be fulfilled</t>
        </r>
      </text>
    </comment>
    <comment ref="A45" authorId="0" shapeId="0">
      <text>
        <r>
          <rPr>
            <sz val="9"/>
            <color indexed="81"/>
            <rFont val="Segoe UI"/>
            <family val="2"/>
          </rPr>
          <t xml:space="preserve">value must be able to cover possible offsets of ext.SAS due to assembly
OR calibration errors, respectively.
Output is limited to this value.
</t>
        </r>
      </text>
    </comment>
    <comment ref="A46" authorId="0" shapeId="0">
      <text>
        <r>
          <rPr>
            <sz val="9"/>
            <color indexed="81"/>
            <rFont val="Segoe UI"/>
            <family val="2"/>
          </rPr>
          <t>this value can be used to do learning only for relevant changes, e.g 30° motor
--&gt; smaller changes in angle are ignored, the learning values remain 'constant'.</t>
        </r>
      </text>
    </comment>
    <comment ref="A48" authorId="0" shapeId="0">
      <text>
        <r>
          <rPr>
            <sz val="9"/>
            <color indexed="81"/>
            <rFont val="Segoe UI"/>
            <family val="2"/>
          </rPr>
          <t xml:space="preserve">this value sets the basic learning speed of the LT-correction.
</t>
        </r>
      </text>
    </comment>
    <comment ref="A55" authorId="0" shapeId="0">
      <text>
        <r>
          <rPr>
            <sz val="9"/>
            <color indexed="81"/>
            <rFont val="Segoe UI"/>
            <family val="2"/>
          </rPr>
          <t xml:space="preserve">this value sets the basic learning speed of the ST-correction.
</t>
        </r>
      </text>
    </comment>
    <comment ref="A62" authorId="0" shapeId="0">
      <text>
        <r>
          <rPr>
            <sz val="9"/>
            <color indexed="81"/>
            <rFont val="Segoe UI"/>
            <family val="2"/>
          </rPr>
          <t xml:space="preserve">the goal is to synchronize the internal steering angle very accurate to the 0° position of the ext.SAS.
This can be done best near the center, where almost no cardanic errors are present and when steering dynamic is low (no torsions, no relevant signal delays) </t>
        </r>
      </text>
    </comment>
    <comment ref="A63" authorId="0" shapeId="0">
      <text>
        <r>
          <rPr>
            <sz val="9"/>
            <color indexed="81"/>
            <rFont val="Segoe UI"/>
            <family val="2"/>
          </rPr>
          <t>if the center position of the ext.SAS was already stored in relation to the motor shaft (singleturn angle 0..360°) a synchronization at startup can be done by using this information.
This can be done in a wider range around the center, where the accuracy is still sufficient.</t>
        </r>
      </text>
    </comment>
    <comment ref="A64" authorId="0" shapeId="0">
      <text>
        <r>
          <rPr>
            <sz val="9"/>
            <color indexed="81"/>
            <rFont val="Segoe UI"/>
            <family val="2"/>
          </rPr>
          <t xml:space="preserve">for example, if the value of the ext.SAS is received via CAN bus every 10ms:
  1500rpm * 10ms = 9000°/s * 0.01s = 90° rotor
  --&gt; the value of the ext.SAS can have a deviation up to ~4°SA due to the data age.
</t>
        </r>
      </text>
    </comment>
    <comment ref="A70" authorId="0" shapeId="0">
      <text>
        <r>
          <rPr>
            <sz val="9"/>
            <color indexed="81"/>
            <rFont val="Segoe UI"/>
            <family val="2"/>
          </rPr>
          <t xml:space="preserve">only if the internal steering angle is within +-180° while Ahead is being detected for the mentioned observation period, then the exact synchronization to the extSAS can be confirmed.
</t>
        </r>
      </text>
    </comment>
    <comment ref="A71" authorId="1" shapeId="0">
      <text>
        <r>
          <rPr>
            <sz val="9"/>
            <color indexed="81"/>
            <rFont val="Segoe UI"/>
            <family val="2"/>
          </rPr>
          <t xml:space="preserve">example:   
  factor: 0,125      (low; default)
  msg cycle time: 20ms
  steering speed: 1000°/s   --&gt; with 10ms  task cycle we get alternating steps of 20° / 0° every 20ms
=&gt;  0,125 * 20° --&gt; 2,5° compensation value; it is held for (20+2)ms, (msg time + jitter)
The delay consists of
- delay in ext. SA sensor, until msg is transmitted
- delay in EPS from receiving msg until RP-synchronization is done
</t>
        </r>
      </text>
    </comment>
    <comment ref="A72" authorId="1" shapeId="0">
      <text>
        <r>
          <rPr>
            <sz val="9"/>
            <color indexed="81"/>
            <rFont val="Segoe UI"/>
            <family val="2"/>
          </rPr>
          <t xml:space="preserve">a new compensation value is calculated if the ext. steering angle value changes and it is being held for this cycletime,
afterwards it is set =0.
</t>
        </r>
      </text>
    </comment>
    <comment ref="A73" authorId="0" shapeId="0">
      <text>
        <r>
          <rPr>
            <sz val="9"/>
            <color indexed="81"/>
            <rFont val="Segoe UI"/>
            <family val="2"/>
          </rPr>
          <t xml:space="preserve">the sync-check is done to ensure that no 360° offset of the extSAS is given (could occur after workshop).
If it is possible to traverse more then this range without the range-check in the monitoring to be triggerd,
there is no 360° offset! 
</t>
        </r>
      </text>
    </comment>
    <comment ref="A83" authorId="0" shapeId="0">
      <text>
        <r>
          <rPr>
            <sz val="9"/>
            <color indexed="81"/>
            <rFont val="Segoe UI"/>
            <family val="2"/>
          </rPr>
          <t xml:space="preserve">reaction to a detected error:
0 - go to reversible error mode
1 - go to permanent error mode --&gt; key cycle for healing
</t>
        </r>
      </text>
    </comment>
    <comment ref="A91" authorId="0" shapeId="0">
      <text>
        <r>
          <rPr>
            <sz val="9"/>
            <color indexed="81"/>
            <rFont val="Segoe UI"/>
            <family val="2"/>
          </rPr>
          <t>incl. magnet / hall sensor hysteresis
and electrical hysteresis</t>
        </r>
      </text>
    </comment>
    <comment ref="A92" authorId="0" shapeId="0">
      <text>
        <r>
          <rPr>
            <sz val="9"/>
            <color indexed="81"/>
            <rFont val="Segoe UI"/>
            <family val="2"/>
          </rPr>
          <t xml:space="preserve">incl. magnet / hall sensor hysteresis
and electrical hysteresis;
DMS 5:  9°
DMS 6:  8° worst case (EMV)
</t>
        </r>
      </text>
    </comment>
    <comment ref="A93" authorId="0" shapeId="0">
      <text>
        <r>
          <rPr>
            <sz val="9"/>
            <color indexed="81"/>
            <rFont val="Segoe UI"/>
            <family val="2"/>
          </rPr>
          <t xml:space="preserve">complete hysteresis due to
- magnet / hall sensor
- electrical evaluation
- stiffness between index sensor and rotor position sensor (stiffness of mechanical system, pinion, belt, ...)
DMS5: 2,5° worst case sensor (no EMC), plus mechanical effects --&gt; ~3,0°? (torsionbar torsion not to be considered)
DMS6: 3,8° worst case (hall+magnet, EMV), plus mechanical effects --&gt; 4,0°? (torsionbar torsion is compensated)
</t>
        </r>
      </text>
    </comment>
    <comment ref="A94" authorId="0" shapeId="0">
      <text>
        <r>
          <rPr>
            <sz val="9"/>
            <color indexed="81"/>
            <rFont val="Segoe UI"/>
            <family val="2"/>
          </rPr>
          <t>depends on …
- assembly tolerance of index related to mechanical center of gear
- assembly tolerance of gear related to vehicle center / wheel alignment
--&gt; calibration =0° should be where vehicle is driving straight (on leveled road)</t>
        </r>
      </text>
    </comment>
    <comment ref="A95" authorId="0" shapeId="0">
      <text>
        <r>
          <rPr>
            <sz val="9"/>
            <color indexed="81"/>
            <rFont val="Segoe UI"/>
            <family val="2"/>
          </rPr>
          <t>depends on …
- assembly tolerance of index related to mechanical center of gear
- assembly tolerance of gear related to vehicle center / wheel alignment
- allowed offset of steering wheel while doing caliubration
--&gt; calibration =0° should be where vehicle is driving straight (on leveled road)
--&gt; passed offset is limited to this threshold</t>
        </r>
      </text>
    </comment>
    <comment ref="A96" authorId="2" shapeId="0">
      <text>
        <r>
          <rPr>
            <sz val="9"/>
            <color indexed="81"/>
            <rFont val="Tahoma"/>
            <family val="2"/>
          </rPr>
          <t>Tolerance to previously learned index width (updated during calibration or re-synchronization)
If not fulfilled, the detected edges are reset.</t>
        </r>
      </text>
    </comment>
    <comment ref="A97" authorId="2" shapeId="0">
      <text>
        <r>
          <rPr>
            <sz val="9"/>
            <color indexed="81"/>
            <rFont val="Tahoma"/>
            <family val="2"/>
          </rPr>
          <t>If deviation of internal steering angle to middle index center exceeds this value, the steering angle will be rejected; 
(between ~2° and ~10° it will be resynchronised)</t>
        </r>
      </text>
    </comment>
    <comment ref="A98" authorId="2" shapeId="0">
      <text>
        <r>
          <rPr>
            <sz val="9"/>
            <color indexed="81"/>
            <rFont val="Tahoma"/>
            <family val="2"/>
          </rPr>
          <t>To avoid deviations, for example in case of i-var.</t>
        </r>
      </text>
    </comment>
    <comment ref="A100" authorId="2" shapeId="0">
      <text>
        <r>
          <rPr>
            <sz val="9"/>
            <color indexed="81"/>
            <rFont val="Tahoma"/>
            <family val="2"/>
          </rPr>
          <t>Maximum deviation between steering angle and center index position. 
Above that resynchronisation can be executed.</t>
        </r>
      </text>
    </comment>
    <comment ref="A101" authorId="2" shapeId="0">
      <text>
        <r>
          <rPr>
            <sz val="9"/>
            <color indexed="81"/>
            <rFont val="Tahoma"/>
            <family val="2"/>
          </rPr>
          <t>Maximum deviation between steering angle and center index position. 
Above that resynchronisation can be executed.</t>
        </r>
      </text>
    </comment>
    <comment ref="A104" authorId="0" shapeId="0">
      <text>
        <r>
          <rPr>
            <sz val="9"/>
            <color indexed="81"/>
            <rFont val="Segoe UI"/>
            <family val="2"/>
          </rPr>
          <t>depending on the index sensor (DMS5/DMS6), the rackstroke and the gear ratio there is a corresponding number of indexpositions possible. this affects the lenght of the arrays in the index detections.
for the calculation: asymmetric placement of index related to center is taken into account by calibration offset (only one side); also additional rackstroke is taken into account by additional tolerance</t>
        </r>
      </text>
    </comment>
    <comment ref="A110" authorId="2" shapeId="0">
      <text>
        <r>
          <rPr>
            <b/>
            <sz val="9"/>
            <color indexed="81"/>
            <rFont val="Tahoma"/>
            <family val="2"/>
          </rPr>
          <t>g52042:</t>
        </r>
        <r>
          <rPr>
            <sz val="9"/>
            <color indexed="81"/>
            <rFont val="Tahoma"/>
            <family val="2"/>
          </rPr>
          <t xml:space="preserve">
Tolerance of previously learned index width (updated during calibration or post synchronization)</t>
        </r>
      </text>
    </comment>
    <comment ref="A111" authorId="1" shapeId="0">
      <text>
        <r>
          <rPr>
            <sz val="9"/>
            <color indexed="81"/>
            <rFont val="Segoe UI"/>
            <family val="2"/>
          </rPr>
          <t xml:space="preserve">hysteresis can become negative if
- compensation for belt tension is used (and overcompensates)
- DMS6-TB compensation is used (and overcompensates)
neg. limit can be tuned max. symmetrically to positive hystesis value.
</t>
        </r>
      </text>
    </comment>
    <comment ref="A113" authorId="0" shapeId="0">
      <text>
        <r>
          <rPr>
            <sz val="9"/>
            <color indexed="81"/>
            <rFont val="Segoe UI"/>
            <family val="2"/>
          </rPr>
          <t xml:space="preserve">to decide (when already one edge was detected) if further edges belong to this same index
</t>
        </r>
      </text>
    </comment>
    <comment ref="A114" authorId="0" shapeId="0">
      <text>
        <r>
          <rPr>
            <sz val="9"/>
            <color indexed="81"/>
            <rFont val="Segoe UI"/>
            <family val="2"/>
          </rPr>
          <t>in DMS6 the index sensor is mounted above the torsionbar. so if a torque is applied the indexposition is shifted and has to be corrected.
Therfore the current twist-angle is provided by the HwLib (in terms of steering angle) and has to be converted to rotor angle, which might depend on i-var.
The given correction factor is a factor to the converted twist-angle.</t>
        </r>
      </text>
    </comment>
    <comment ref="A134" authorId="0" shapeId="0">
      <text>
        <r>
          <rPr>
            <sz val="9"/>
            <color indexed="81"/>
            <rFont val="Segoe UI"/>
            <family val="2"/>
          </rPr>
          <t xml:space="preserve">value is used in index handling - so if repeating sequence of index is 180° then "one turn.." is only 180°
</t>
        </r>
      </text>
    </comment>
    <comment ref="A135" authorId="0" shapeId="0">
      <text>
        <r>
          <rPr>
            <sz val="9"/>
            <color indexed="81"/>
            <rFont val="Segoe UI"/>
            <family val="2"/>
          </rPr>
          <t>for safety reasons, the smaller value is taken (if i-var)</t>
        </r>
      </text>
    </comment>
    <comment ref="A138" authorId="0" shapeId="0">
      <text>
        <r>
          <rPr>
            <sz val="9"/>
            <color indexed="81"/>
            <rFont val="Segoe UI"/>
            <family val="2"/>
          </rPr>
          <t xml:space="preserve">additional range, where index = 1 is allowed
</t>
        </r>
      </text>
    </comment>
    <comment ref="A140" authorId="0" shapeId="0">
      <text>
        <r>
          <rPr>
            <sz val="9"/>
            <color indexed="81"/>
            <rFont val="Segoe UI"/>
            <family val="2"/>
          </rPr>
          <t xml:space="preserve">reaction to a detected error:
0 - go to reversible error mode
1 - go to permanent error mode --&gt; key cycle for healing
</t>
        </r>
      </text>
    </comment>
    <comment ref="A146" authorId="0" shapeId="0">
      <text>
        <r>
          <rPr>
            <sz val="9"/>
            <color indexed="81"/>
            <rFont val="Segoe UI"/>
            <family val="2"/>
          </rPr>
          <t xml:space="preserve">steering torque caused by
- road banking
- flat tire
- offset in steering angle --&gt; active return
- ...
should be tolerated up to a certain degree.
</t>
        </r>
      </text>
    </comment>
    <comment ref="A151" authorId="0" shapeId="0">
      <text>
        <r>
          <rPr>
            <sz val="9"/>
            <color indexed="81"/>
            <rFont val="Segoe UI"/>
            <family val="2"/>
          </rPr>
          <t>this check can be used to exclude vehicle acceleration phases with slipping wheels.
tolerances in speed measuring of the wheels and different wheel diameters (spare wheel?) must be allowed.</t>
        </r>
      </text>
    </comment>
    <comment ref="A152" authorId="0" shapeId="0">
      <text>
        <r>
          <rPr>
            <sz val="9"/>
            <color indexed="81"/>
            <rFont val="Segoe UI"/>
            <family val="2"/>
          </rPr>
          <t>this check can be used to exclude dynamic driving situations (acceleration, braking)
where the wheelspeeds change quickly.
offsets in speed measuring of the wheels and different wheel diameters (spare wheel?) are not a probleme here.
but jitter in measuring might be a problem.</t>
        </r>
      </text>
    </comment>
    <comment ref="A153" authorId="0" shapeId="0">
      <text>
        <r>
          <rPr>
            <sz val="9"/>
            <color indexed="81"/>
            <rFont val="Segoe UI"/>
            <family val="2"/>
          </rPr>
          <t xml:space="preserve">this check can be used to exclude vehicle acceleration or braking phases with a slipping/blocked wheel
tolerances in speed measuring of the wheels and different wheel diameters (spare wheel?) should be allowed (or can be excluded) </t>
        </r>
      </text>
    </comment>
    <comment ref="A155" authorId="0" shapeId="0">
      <text>
        <r>
          <rPr>
            <sz val="9"/>
            <color indexed="81"/>
            <rFont val="Segoe UI"/>
            <family val="2"/>
          </rPr>
          <t xml:space="preserve">each wheelspeed is compared to the speed of the slower axle. 
the ratio must not deviate from 1 for more than this tuning value.
</t>
        </r>
      </text>
    </comment>
    <comment ref="A157" authorId="0" shapeId="0">
      <text>
        <r>
          <rPr>
            <sz val="9"/>
            <color indexed="81"/>
            <rFont val="Segoe UI"/>
            <family val="2"/>
          </rPr>
          <t xml:space="preserve">ratio of front-right to rear-left  and front-left to rear-right must be below this threshold
</t>
        </r>
      </text>
    </comment>
    <comment ref="A158" authorId="0" shapeId="0">
      <text>
        <r>
          <rPr>
            <sz val="9"/>
            <color indexed="81"/>
            <rFont val="Segoe UI"/>
            <family val="2"/>
          </rPr>
          <t xml:space="preserve">ratio of front-right to rear-left  and front-left to rear-right must be above this threshold
</t>
        </r>
      </text>
    </comment>
    <comment ref="A159" authorId="0" shapeId="0">
      <text>
        <r>
          <rPr>
            <sz val="9"/>
            <color indexed="81"/>
            <rFont val="Segoe UI"/>
            <family val="2"/>
          </rPr>
          <t>ratios FL/RR  and   FR/RL must not change faster than this threshold</t>
        </r>
      </text>
    </comment>
  </commentList>
</comments>
</file>

<file path=xl/comments6.xml><?xml version="1.0" encoding="utf-8"?>
<comments xmlns="http://schemas.openxmlformats.org/spreadsheetml/2006/main">
  <authors>
    <author>g51885</author>
    <author>Autor</author>
    <author>Biegert Rainer (AS-ER/ENK3)</author>
  </authors>
  <commentList>
    <comment ref="E6" authorId="0" shapeId="0">
      <text>
        <r>
          <rPr>
            <sz val="9"/>
            <color indexed="81"/>
            <rFont val="Segoe UI"/>
            <family val="2"/>
          </rPr>
          <t>derived from OptionButton_ivar in "MechanicalData";
Value is checked via MechanicalData.C12 (Linked Cell of button)</t>
        </r>
      </text>
    </comment>
    <comment ref="C20" authorId="0" shapeId="0">
      <text>
        <r>
          <rPr>
            <sz val="9"/>
            <color indexed="81"/>
            <rFont val="Segoe UI"/>
            <family val="2"/>
          </rPr>
          <t xml:space="preserve">[july 2018] 
no longer used;
has to be handled by DEM
</t>
        </r>
      </text>
    </comment>
    <comment ref="G24" authorId="1" shapeId="0">
      <text>
        <r>
          <rPr>
            <sz val="9"/>
            <color indexed="81"/>
            <rFont val="Tahoma"/>
            <family val="2"/>
          </rPr>
          <t>0 - go to reversible error
1 - go to permanent error</t>
        </r>
      </text>
    </comment>
    <comment ref="C25" authorId="0" shapeId="0">
      <text>
        <r>
          <rPr>
            <sz val="9"/>
            <color indexed="81"/>
            <rFont val="Segoe UI"/>
            <family val="2"/>
          </rPr>
          <t xml:space="preserve">not implemented
</t>
        </r>
      </text>
    </comment>
    <comment ref="C29" authorId="2" shapeId="0">
      <text>
        <r>
          <rPr>
            <sz val="9"/>
            <color indexed="81"/>
            <rFont val="Segoe UI"/>
            <family val="2"/>
          </rPr>
          <t xml:space="preserve">Gradient check must be disabled / might detect errors, if
no ramping is used on resynchronizations.
Remark: currently, ramping is always used and can not be disables.
</t>
        </r>
      </text>
    </comment>
    <comment ref="C31" authorId="0" shapeId="0">
      <text>
        <r>
          <rPr>
            <sz val="9"/>
            <color indexed="81"/>
            <rFont val="Segoe UI"/>
            <family val="2"/>
          </rPr>
          <t xml:space="preserve">not implemented
</t>
        </r>
      </text>
    </comment>
    <comment ref="D71" authorId="2" shapeId="0">
      <text>
        <r>
          <rPr>
            <sz val="9"/>
            <color indexed="81"/>
            <rFont val="Segoe UI"/>
            <family val="2"/>
          </rPr>
          <t xml:space="preserve">allow detection of high-quality-range  (required for learning of offset)
only near center   OR   every 180° from center
</t>
        </r>
      </text>
    </comment>
    <comment ref="D72" authorId="2" shapeId="0">
      <text>
        <r>
          <rPr>
            <sz val="9"/>
            <color indexed="81"/>
            <rFont val="Segoe UI"/>
            <family val="2"/>
          </rPr>
          <t xml:space="preserve">allow detection of medium-quality-range (required for synchronization using learned  offset)
only near center   OR   every 180° from center
</t>
        </r>
      </text>
    </comment>
    <comment ref="C74" authorId="0" shapeId="0">
      <text>
        <r>
          <rPr>
            <sz val="9"/>
            <color indexed="81"/>
            <rFont val="Segoe UI"/>
            <family val="2"/>
          </rPr>
          <t xml:space="preserve">currently not used;
always write immediately
</t>
        </r>
      </text>
    </comment>
    <comment ref="C77" authorId="0" shapeId="0">
      <text>
        <r>
          <rPr>
            <sz val="9"/>
            <color indexed="81"/>
            <rFont val="Segoe UI"/>
            <family val="2"/>
          </rPr>
          <t>to be removed;
is handled by DEM</t>
        </r>
      </text>
    </comment>
    <comment ref="G81" authorId="1" shapeId="0">
      <text>
        <r>
          <rPr>
            <sz val="9"/>
            <color indexed="81"/>
            <rFont val="Tahoma"/>
            <family val="2"/>
          </rPr>
          <t>0 - go to reversible error
1 - go to permanent error</t>
        </r>
      </text>
    </comment>
    <comment ref="D85" authorId="2" shapeId="0">
      <text>
        <r>
          <rPr>
            <sz val="9"/>
            <color indexed="81"/>
            <rFont val="Segoe UI"/>
            <family val="2"/>
          </rPr>
          <t>if RP_KFA_REF_INV is selected,
RP_KFA_TIMO must be activated as a precondition</t>
        </r>
      </text>
    </comment>
    <comment ref="G145" authorId="1" shapeId="0">
      <text>
        <r>
          <rPr>
            <sz val="9"/>
            <color indexed="81"/>
            <rFont val="Tahoma"/>
            <family val="2"/>
          </rPr>
          <t>0 - go to reversible error
1 - go to permanent error</t>
        </r>
      </text>
    </comment>
  </commentList>
</comments>
</file>

<file path=xl/comments7.xml><?xml version="1.0" encoding="utf-8"?>
<comments xmlns="http://schemas.openxmlformats.org/spreadsheetml/2006/main">
  <authors>
    <author>g51885</author>
    <author>g52193</author>
  </authors>
  <commentList>
    <comment ref="B6" authorId="0" shapeId="0">
      <text>
        <r>
          <rPr>
            <sz val="10"/>
            <color indexed="81"/>
            <rFont val="Verdana"/>
            <family val="2"/>
          </rPr>
          <t>input data: rackstroke [mm]
quantization:  ~ 0.5mm .. 2mm 
   --&gt; number of sample points should be at least 10 
          .. up to ~400 
     and equidistant</t>
        </r>
        <r>
          <rPr>
            <sz val="9"/>
            <color indexed="81"/>
            <rFont val="Segoe UI"/>
            <family val="2"/>
          </rPr>
          <t xml:space="preserve">
</t>
        </r>
      </text>
    </comment>
    <comment ref="C6" authorId="1" shapeId="0">
      <text>
        <r>
          <rPr>
            <sz val="10"/>
            <color indexed="81"/>
            <rFont val="Verdana"/>
            <family val="2"/>
          </rPr>
          <t xml:space="preserve">input data: pinion angle [°] for calculations
</t>
        </r>
        <r>
          <rPr>
            <sz val="8"/>
            <color indexed="81"/>
            <rFont val="Tahoma"/>
            <family val="2"/>
          </rPr>
          <t xml:space="preserve">
</t>
        </r>
      </text>
    </comment>
    <comment ref="D6" authorId="0" shapeId="0">
      <text>
        <r>
          <rPr>
            <sz val="10"/>
            <color indexed="81"/>
            <rFont val="Verdana"/>
            <family val="2"/>
          </rPr>
          <t>physical ratio of rack to wheel angle</t>
        </r>
      </text>
    </comment>
    <comment ref="F7" authorId="0" shapeId="0">
      <text>
        <r>
          <rPr>
            <sz val="10"/>
            <color indexed="81"/>
            <rFont val="Verdana"/>
            <family val="2"/>
          </rPr>
          <t>averaged ratio (least-mean-square)</t>
        </r>
        <r>
          <rPr>
            <sz val="9"/>
            <color indexed="81"/>
            <rFont val="Segoe UI"/>
            <family val="2"/>
          </rPr>
          <t xml:space="preserve">
</t>
        </r>
      </text>
    </comment>
    <comment ref="I40" authorId="0" shapeId="0">
      <text>
        <r>
          <rPr>
            <sz val="10"/>
            <color indexed="81"/>
            <rFont val="Verdana"/>
            <family val="2"/>
          </rPr>
          <t>SW implementation allows 10 sample points for these arrays</t>
        </r>
      </text>
    </comment>
  </commentList>
</comments>
</file>

<file path=xl/comments8.xml><?xml version="1.0" encoding="utf-8"?>
<comments xmlns="http://schemas.openxmlformats.org/spreadsheetml/2006/main">
  <authors>
    <author>Biegert Rainer (AS-ER/ENK3)</author>
  </authors>
  <commentList>
    <comment ref="A11" authorId="0" shapeId="0">
      <text>
        <r>
          <rPr>
            <sz val="9"/>
            <color indexed="81"/>
            <rFont val="Segoe UI"/>
            <family val="2"/>
          </rPr>
          <t xml:space="preserve">With impact torque calculation included, twice the torque range 
is necessary: +/- 6Nm rot.   AND  +/- 6Nm imp.    = +/- 12Nm
</t>
        </r>
      </text>
    </comment>
    <comment ref="A13" authorId="0" shapeId="0">
      <text>
        <r>
          <rPr>
            <sz val="9"/>
            <color indexed="81"/>
            <rFont val="Segoe UI"/>
            <family val="2"/>
          </rPr>
          <t xml:space="preserve">2*Startclass/Classwidth
</t>
        </r>
      </text>
    </comment>
    <comment ref="A14" authorId="0" shapeId="0">
      <text>
        <r>
          <rPr>
            <sz val="9"/>
            <color indexed="81"/>
            <rFont val="Segoe UI"/>
            <family val="2"/>
          </rPr>
          <t xml:space="preserve">330Nm WWT / 21   =  ~16Nm impact    AND    +/- xx Nm rot.
</t>
        </r>
      </text>
    </comment>
    <comment ref="A15" authorId="0" shapeId="0">
      <text>
        <r>
          <rPr>
            <sz val="9"/>
            <color indexed="81"/>
            <rFont val="Segoe UI"/>
            <family val="2"/>
          </rPr>
          <t xml:space="preserve">2*Startclass/Classwidth
</t>
        </r>
      </text>
    </comment>
    <comment ref="A18" authorId="0" shapeId="0">
      <text>
        <r>
          <rPr>
            <sz val="9"/>
            <color indexed="81"/>
            <rFont val="Segoe UI"/>
            <family val="2"/>
          </rPr>
          <t xml:space="preserve">eta_active; motor mode
</t>
        </r>
      </text>
    </comment>
    <comment ref="A19" authorId="0" shapeId="0">
      <text>
        <r>
          <rPr>
            <sz val="9"/>
            <color indexed="81"/>
            <rFont val="Segoe UI"/>
            <family val="2"/>
          </rPr>
          <t xml:space="preserve">eta_passive; regenerative mode
</t>
        </r>
      </text>
    </comment>
    <comment ref="A20" authorId="0" shapeId="0">
      <text>
        <r>
          <rPr>
            <sz val="9"/>
            <color indexed="81"/>
            <rFont val="Segoe UI"/>
            <family val="2"/>
          </rPr>
          <t xml:space="preserve">iwg
</t>
        </r>
      </text>
    </comment>
    <comment ref="D46" authorId="0" shapeId="0">
      <text>
        <r>
          <rPr>
            <sz val="9"/>
            <color indexed="81"/>
            <rFont val="Segoe UI"/>
            <family val="2"/>
          </rPr>
          <t>right-click on tab-name and choose "show code"
there are 2 temperature arrays used: one to generate the entries in KENNLINIE 
and one to do the calculation of the values with modified temperatures</t>
        </r>
      </text>
    </comment>
  </commentList>
</comments>
</file>

<file path=xl/comments9.xml><?xml version="1.0" encoding="utf-8"?>
<comments xmlns="http://schemas.openxmlformats.org/spreadsheetml/2006/main">
  <authors>
    <author>g51885</author>
  </authors>
  <commentList>
    <comment ref="A12" authorId="0" shapeId="0">
      <text>
        <r>
          <rPr>
            <sz val="9"/>
            <color indexed="81"/>
            <rFont val="Segoe UI"/>
            <family val="2"/>
          </rPr>
          <t>(max. mot-torque + (TBT --&gt; mot.trq) ) * RatioMot2Rack
only the measurable TBT is considered, though more could be applied</t>
        </r>
      </text>
    </comment>
  </commentList>
</comments>
</file>

<file path=xl/sharedStrings.xml><?xml version="1.0" encoding="utf-8"?>
<sst xmlns="http://schemas.openxmlformats.org/spreadsheetml/2006/main" count="1542" uniqueCount="1010">
  <si>
    <t>3.</t>
  </si>
  <si>
    <t>xsyRatioEfficiency_XDU16</t>
  </si>
  <si>
    <t>xsyNoEffDepEngTorqueToRackForce_XDU16</t>
  </si>
  <si>
    <t>xsyEngTorqueToRackForce_XDU16</t>
  </si>
  <si>
    <t>xsyGearRatioMot2Rack_XDU16</t>
  </si>
  <si>
    <t>xsyRackForceToEngTorque_XDU16</t>
  </si>
  <si>
    <t>[mm]</t>
  </si>
  <si>
    <t>jsyInvSteeringRatio_XDU16</t>
  </si>
  <si>
    <t>xsyInvSystemStiff_XDU16</t>
  </si>
  <si>
    <t>wRackPoI_MaxTorsionBarTorsion_XDU16</t>
  </si>
  <si>
    <t>wRackPo_OffsetReductionStep_XDU16</t>
  </si>
  <si>
    <t>wRackPo_RotorStiffnessMaxRate_XDU8</t>
  </si>
  <si>
    <t>wRackPo_SteeringAngleArray_XAS16</t>
  </si>
  <si>
    <t>IRackPo_RackPositionArray_XAS16</t>
  </si>
  <si>
    <t>wRackPo_RotorAngleArray_XAS16</t>
  </si>
  <si>
    <t>wRackPo_SteeringAngleMax_XDU16</t>
  </si>
  <si>
    <t>lRackPo_RackPositionMax_XDU16</t>
  </si>
  <si>
    <t>lRackPo_RackPosRangeAhead_XDU16</t>
  </si>
  <si>
    <t>wRackPo_LtCorrAngleMax_XDU16</t>
  </si>
  <si>
    <t>wRackPo_StCorrAngleMax_XDU16</t>
  </si>
  <si>
    <t>tRackPo_ErrorFilterTimeout_XDU16</t>
  </si>
  <si>
    <t>tRackPo_ErrorFilterAheadTimeout_XDU16</t>
  </si>
  <si>
    <t>vRackPo_RotAngGradientDiffMax_XDU16</t>
  </si>
  <si>
    <t>wRackPo_GradErrReductStep_XDU16</t>
  </si>
  <si>
    <t>wRackPo_GradErrLimit_XDU16</t>
  </si>
  <si>
    <t>wRackPo_RackposToleranceRA_XDU16</t>
  </si>
  <si>
    <t>sRackPo_ConfigFlagsMain_XDU16</t>
  </si>
  <si>
    <t>sRackPo_ConfigFlagsMainPlausiActivErr_XDU16</t>
  </si>
  <si>
    <t>sRackPo_ConfigFlagsMainPlausiReactErr_XDU16</t>
  </si>
  <si>
    <t>bit</t>
  </si>
  <si>
    <t>value</t>
  </si>
  <si>
    <t>macro</t>
  </si>
  <si>
    <t>sense</t>
  </si>
  <si>
    <t>selected 
setting</t>
  </si>
  <si>
    <t>RP_USE_HWC</t>
  </si>
  <si>
    <t>enable the initialization of the accumulated rotor angle from the hw-counters and the init-data from the NV-Ram at startup ;
otherwise, at startup the acc. rotorangle has to be initialized new every time.</t>
  </si>
  <si>
    <t>RP_USE_CLB</t>
  </si>
  <si>
    <t>RP_USE_RAMP_RECLB</t>
  </si>
  <si>
    <t>use ramping when doing new calibration / recalibration (e.g. when doing while driving)</t>
  </si>
  <si>
    <t>RP_USE_SYNCCHKEXCT</t>
  </si>
  <si>
    <t>if activated, the sync check is fulfilled only if a sync-function was successfull (straight, range)</t>
  </si>
  <si>
    <t>RP_USE_WHLS</t>
  </si>
  <si>
    <t>RP_USE_YAW</t>
  </si>
  <si>
    <t>RP_USE_RANGE</t>
  </si>
  <si>
    <t>RP_USE_SUPP</t>
  </si>
  <si>
    <t>enable initialization of iSAS by supp-component</t>
  </si>
  <si>
    <t>RP_USE_RESYNC</t>
  </si>
  <si>
    <t xml:space="preserve">enable resynchronization of iSAS </t>
  </si>
  <si>
    <t>RP_USE_IDXHI</t>
  </si>
  <si>
    <t>RP_USE_IDXEDGES</t>
  </si>
  <si>
    <t>RP_USE_STRNOCLB</t>
  </si>
  <si>
    <t>RP_USE_WRTINTNVM</t>
  </si>
  <si>
    <t>enable immediate writing of NV-Ram block when initialization occured</t>
  </si>
  <si>
    <t>RP_USE_WRTCALNVM</t>
  </si>
  <si>
    <t>RP_USE_TWOEDGEINIT</t>
  </si>
  <si>
    <t>for initialisation only 2 index edges are needed (low quality, ASIL-B)</t>
  </si>
  <si>
    <t>RP_LATCH_ERROR</t>
  </si>
  <si>
    <t>keep detected error latched after iSAS became invalid</t>
  </si>
  <si>
    <t>activate 
error types</t>
  </si>
  <si>
    <t>select
error reaction</t>
  </si>
  <si>
    <t>sRpSync_ConfigFlagsSyncPlausiActivErr_XDU16 =</t>
  </si>
  <si>
    <t>sRpSync_ConfigFlagsSyncPlausiReactErr_XDU16 =</t>
  </si>
  <si>
    <t>RP_USE_SNA_DEFAULT</t>
  </si>
  <si>
    <t>default value SNA or 0</t>
  </si>
  <si>
    <t>RP_USE_RATIOTABLES</t>
  </si>
  <si>
    <t>ratio factor or LookUpTable</t>
  </si>
  <si>
    <t>RP_USE_TBSTIFFNESS</t>
  </si>
  <si>
    <t>use TBT stiffness in calculation of DynSteeringAngle</t>
  </si>
  <si>
    <t>RP_ISAS_OFF_ERRMD</t>
  </si>
  <si>
    <t>set iSAS invalid (permanently) if in EPS ErrorMode</t>
  </si>
  <si>
    <t>sRackPo_ConfigFlagsMain_XDU16 =</t>
  </si>
  <si>
    <t>RP_KFA_DIFFPA</t>
  </si>
  <si>
    <t>deviation between calculated pinion angle and accumulated rotor angle from HW-Lib</t>
  </si>
  <si>
    <t>RP_KFA_DIFFRP</t>
  </si>
  <si>
    <t>deviation between calculated rackposition and accumulated rotor angle from HW-Lib</t>
  </si>
  <si>
    <t>RP_KFA_RANGE</t>
  </si>
  <si>
    <t>range check of pinion angle and rackposition</t>
  </si>
  <si>
    <t>RP_KFA_CORR</t>
  </si>
  <si>
    <t>range check of correction values (LT+ST) of pinion angle and rackposition</t>
  </si>
  <si>
    <t>RP_KFA_GRADIENT</t>
  </si>
  <si>
    <t>compare gradient of rotor angle ramped and rotor angle from HW-Lib</t>
  </si>
  <si>
    <t>RP_KFA_AHEAD</t>
  </si>
  <si>
    <t>compare rackposition against ahead detection</t>
  </si>
  <si>
    <t>RP_KFA_OFFSET</t>
  </si>
  <si>
    <t>sync-offset can only change if indicated by ControlFlag; Ramp must decrease as expected</t>
  </si>
  <si>
    <t>sRackPo_ConfigFlagsMainPlausiActivErr_XDU16 =</t>
  </si>
  <si>
    <t>sRackPo_ConfigFlagsMainPlausiReactErr_XDU16 =</t>
  </si>
  <si>
    <t>wRpCorr_LTACompMaxAngle_XDU16</t>
  </si>
  <si>
    <t>wRpCorr_LTACompIntegRange_XDU16</t>
  </si>
  <si>
    <t>wRpCorr_STACompIntegRange_XDU16</t>
  </si>
  <si>
    <t>wRpCorr_STACompMaxAngle_XDU16</t>
  </si>
  <si>
    <t>wRpCorr_Resolution_XDU16</t>
  </si>
  <si>
    <t>sRpCorr_ConfigFlagsCorr_XDU8</t>
  </si>
  <si>
    <t>RP_LTCORR_ACTIVE</t>
  </si>
  <si>
    <t>enable the longterm correction</t>
  </si>
  <si>
    <t>RP_STCORR_ACTIVE</t>
  </si>
  <si>
    <t>enable the shorterm correction</t>
  </si>
  <si>
    <t>RP_USE_TORSIONCOMP</t>
  </si>
  <si>
    <t>use the torsionbar torsion to calculate the DynamicSteeringAngle; otherwise ignore torsion</t>
  </si>
  <si>
    <t>RP_USE_CALIBCOUNTER_CORR</t>
  </si>
  <si>
    <t xml:space="preserve">evaluate the calibration cycle counters from the NVRam-Blocks: Calib and Correction
On deviation (e.g. new calibration) reset the correction values </t>
  </si>
  <si>
    <t>sRpCorr_ConfigFlagsCorr_XDU8 =</t>
  </si>
  <si>
    <t>msyAbsTorsionBarTorque_XDU16</t>
  </si>
  <si>
    <t>sRpSync_ConfigFlagsSyncPlausiActivErr_XDU16</t>
  </si>
  <si>
    <t>tRpSync_ErrorFilterTimeout_XDU16</t>
  </si>
  <si>
    <t>sRpSync_ConfigFlagsSyncPlausiReactErr_XDU16</t>
  </si>
  <si>
    <t>monitoring, if deviation from ExtSAS to internal angle is &gt;90°</t>
  </si>
  <si>
    <t>monitoring, if accum. rot. angle from HwLib is invalid (.._gde)</t>
  </si>
  <si>
    <t>monitoring of resynchronization of HwLib angle in current key cycle</t>
  </si>
  <si>
    <t>sRpSync_ConfigFlagsSync_XDU16 =</t>
  </si>
  <si>
    <t>sRpSync_ConfigFlagsSync_XDU16</t>
  </si>
  <si>
    <r>
      <t xml:space="preserve">enable usage of RPS Calib offset </t>
    </r>
    <r>
      <rPr>
        <strike/>
        <sz val="11"/>
        <color theme="1"/>
        <rFont val="Calibri"/>
        <family val="2"/>
        <scheme val="minor"/>
      </rPr>
      <t>in temporary compensated</t>
    </r>
    <r>
      <rPr>
        <sz val="11"/>
        <color theme="1"/>
        <rFont val="Calibri"/>
        <family val="2"/>
        <scheme val="minor"/>
      </rPr>
      <t>; otherwise Offset =0°</t>
    </r>
  </si>
  <si>
    <t>verification of extSAS alignment (sync-check, no 360° offset), done by wheelspeeds</t>
  </si>
  <si>
    <t>verification of extSAS alignment (sync-check, no 360° offset), done by vehicle speed, TBT, etc</t>
  </si>
  <si>
    <t>verification of extSAS alignment (sync-check, no 360° offset), done byrange check</t>
  </si>
  <si>
    <t>mRpSync_MaxMMotMedDyn_XDU16</t>
  </si>
  <si>
    <t>mRpSync_MaxMMotLowDyn_XDU16</t>
  </si>
  <si>
    <t>wRackPo_MaxAbsDiffSteerAngle_XAU16</t>
  </si>
  <si>
    <t>zRpSync_ErrorCounterLimit_XDU8</t>
  </si>
  <si>
    <t>40 ..90</t>
  </si>
  <si>
    <t>wRpSync_ExtSasCenterJitterRA_XDU8</t>
  </si>
  <si>
    <t>wRpSync_MinSyncDiff_XDU16</t>
  </si>
  <si>
    <t>tRpSync_SyncCheckTimeout_XDU16</t>
  </si>
  <si>
    <t>wRpSync_SteerRangeSyncPlausi_XDU16</t>
  </si>
  <si>
    <t>RP_KFA_DIFF</t>
  </si>
  <si>
    <t>monitoring, if range of external reference signal (external steering angle) is exceeded</t>
  </si>
  <si>
    <t>RP_KFA_RPS</t>
  </si>
  <si>
    <t>RP_KFA_HWLSYNC</t>
  </si>
  <si>
    <t>RP_KFA_REF_INV</t>
  </si>
  <si>
    <t>RP_KFA_REF_RANGE</t>
  </si>
  <si>
    <t>RP_KFA_TIMO</t>
  </si>
  <si>
    <t>monitoring, if state of ExtSAS is invalid (=1 or not =0)</t>
  </si>
  <si>
    <t>Project data:</t>
  </si>
  <si>
    <t xml:space="preserve">Project: </t>
  </si>
  <si>
    <t>Glossary:</t>
  </si>
  <si>
    <t>Description:</t>
  </si>
  <si>
    <t>Value:</t>
  </si>
  <si>
    <t>Unit:</t>
  </si>
  <si>
    <t>Parameter:</t>
  </si>
  <si>
    <t>Remark:</t>
  </si>
  <si>
    <t>[mm/rev]</t>
  </si>
  <si>
    <t>tie rod contact on stop damper</t>
  </si>
  <si>
    <t>Torsion bar stiffness</t>
  </si>
  <si>
    <t>Mechanical intermediate values</t>
  </si>
  <si>
    <t>internal steering gear ratio [mm/SteeringWheelRev]:</t>
  </si>
  <si>
    <t>Maximum index edges hysteresis</t>
  </si>
  <si>
    <t>Maximum steering angle range where calibration is permitted</t>
  </si>
  <si>
    <t>Range around detetcted straight ahead position where center index is searched</t>
  </si>
  <si>
    <t>Minimum deviation from steering angle to index position for resynchronisation when raw init</t>
  </si>
  <si>
    <t>Minimum deviation from steering angle to index position for resynchronisation when exactly init</t>
  </si>
  <si>
    <t>lEndStop_uAbsSteerLearn_XDU16</t>
  </si>
  <si>
    <t>lEndStop_oAbsSteerLearn_XDU16</t>
  </si>
  <si>
    <t>lEndStop_OffsetNotExactlyInit_XDU16</t>
  </si>
  <si>
    <t>lEndStop_AllowedPosBorder_XDU16</t>
  </si>
  <si>
    <t>lEndStop_AllowedPosBorderHigh_XDU16</t>
  </si>
  <si>
    <t>wRpSync_MinAllowedIdxWidth_XDU16</t>
  </si>
  <si>
    <t>wRpSync_MinAllowedIdxWidthCenter_XDU16</t>
  </si>
  <si>
    <t>wRpSync_MaxAllowedIdxWidthCenter_XDU16</t>
  </si>
  <si>
    <t>Tolerance range of index width, deviation from NVRam value (for all 3 indexes)</t>
  </si>
  <si>
    <t>wRpSync_MaxAllowedIdxWidthDelta_XDU8</t>
  </si>
  <si>
    <t>Tolerance of index width, deviation from detetcted center index to NVRam value</t>
  </si>
  <si>
    <t>wRpSync_IndexTolerance_XDU16</t>
  </si>
  <si>
    <t>Maximum index position hysteresis (for all 3 indexes)</t>
  </si>
  <si>
    <t>wRpSync_MaxAllowedIdxHyst_XDS16</t>
  </si>
  <si>
    <t>wRpSync_SameIdxTol_XDU16</t>
  </si>
  <si>
    <t>Maximum angle range where calibration is permitted</t>
  </si>
  <si>
    <t>wRpSync_MaxRotorAngleForCalib_XDU16</t>
  </si>
  <si>
    <t xml:space="preserve">Maximum angle range where calibration is permitted with offset  </t>
  </si>
  <si>
    <t>wRpSync_RotAngRange4CalibJob_XDU16</t>
  </si>
  <si>
    <t>max. allowed TBTorque when doing calibration</t>
  </si>
  <si>
    <t>mRpSync_MaxCalibTBTorq_XDU16</t>
  </si>
  <si>
    <t xml:space="preserve">max. vehicle speed when doing calibration </t>
  </si>
  <si>
    <t>vRpSync_MaxCalibVehicleSpeed_XDU16</t>
  </si>
  <si>
    <t>range around center index for initialization from straight ahead</t>
  </si>
  <si>
    <t>wRpSync_RotAngRangeStraight_XDU16</t>
  </si>
  <si>
    <t>traversed range on both sides of center index for initialization from range (~250°SA)</t>
  </si>
  <si>
    <t>wRpSync_MinSteeringRangeHalf_XDU16</t>
  </si>
  <si>
    <t>debouncing time for initialization from from AheadDetection</t>
  </si>
  <si>
    <t>tRpSync_InitTimeStraight_XDU16</t>
  </si>
  <si>
    <t>Minimum deviation from steering angle to index position for resynchronisation in raw-init</t>
  </si>
  <si>
    <t>wRpSync_MinSyncDiffRaw_XDU16</t>
  </si>
  <si>
    <t>Minimum deviation from steering angle to index position for resynchronisation in exactly-init</t>
  </si>
  <si>
    <t>filtering time for Rackposition-Sync errors</t>
  </si>
  <si>
    <t>wRpSync_SteeringWheelOneTurn_XDU16</t>
  </si>
  <si>
    <t>tolerated shift of steering angle to center index position (plausi)</t>
  </si>
  <si>
    <t>wRpSync_AllowedIndexShift_XDU16</t>
  </si>
  <si>
    <t>additional tolerance in index plausi when raw initialized</t>
  </si>
  <si>
    <t>wRpSync_AdditionalToleranceRawSync_XDU16</t>
  </si>
  <si>
    <t>additional tolerance in index plausi when in state "estimate"</t>
  </si>
  <si>
    <t>wRpSync_AdditionalToleranceEstimSync_XDU16</t>
  </si>
  <si>
    <t>wRpSync_AdditionalToleranceOneTurn_XDU16</t>
  </si>
  <si>
    <t>0 .. 500</t>
  </si>
  <si>
    <t>sRpSync_ConfigFlagsIdx_XDU16</t>
  </si>
  <si>
    <t>Motor torque to rack force factor without efficiency</t>
  </si>
  <si>
    <t>Rack force to motor torque factor</t>
  </si>
  <si>
    <t>mm/rev</t>
  </si>
  <si>
    <t>kBci_MaxRackForce_XDU16</t>
  </si>
  <si>
    <t>Mechanical Data of the EPS steering system:</t>
  </si>
  <si>
    <t>Gear ratio motor shaft --&gt; rack position</t>
  </si>
  <si>
    <t>Positive tolerance of rackstroke</t>
  </si>
  <si>
    <t>Negative tolerance of rackstroke</t>
  </si>
  <si>
    <t>Maximum allowed offset from mechanical rackcenter to 0° steering angle sensor
   this is composed of
      - tolerances in steering gear assembly into the car
      - tolerances in alignment of steering angle sensor to vehicle center (driving straight ahead)
      - tolerances in steering angle measurement and steering column (stiffness, hysteresis, nonlinearity, ...)
   in case an iSAS is used (index sensor), the sw-endstops are related to the index position,
      therefore the assembly tolerance of the index sensor rel. to the mechanical gear center has to 
      be considered</t>
  </si>
  <si>
    <t>averaged gear ratio (column --&gt; motor shaft)</t>
  </si>
  <si>
    <t>Maximum rackstroke from lock to lock</t>
  </si>
  <si>
    <t>Minimum rackstroke from lock to lock</t>
  </si>
  <si>
    <t>Maximum steering angle range from lock to lock</t>
  </si>
  <si>
    <t>Minimum steering angle range from lock to lock</t>
  </si>
  <si>
    <t>Steering angle range related to the total nominal rackstroke (= customer requirement)</t>
  </si>
  <si>
    <t>Maximum allowed offset from mechanical rackcenter to 0° steering angle sensor in [mm]</t>
  </si>
  <si>
    <t>Elasticity(at nominal motor torque) from servo-drive to RackPosition (rotor angle converted to rack position)</t>
  </si>
  <si>
    <t xml:space="preserve">fEndStop_EnableDyn_XDU8 </t>
  </si>
  <si>
    <t>-</t>
  </si>
  <si>
    <t>fEndStop_LimitEnable_XDU8</t>
  </si>
  <si>
    <t>Nm</t>
  </si>
  <si>
    <t xml:space="preserve">lEndStop_SteerRange_XDU16 </t>
  </si>
  <si>
    <t>mm</t>
  </si>
  <si>
    <t>lEndStop_RelearnOffset_XDU16</t>
  </si>
  <si>
    <t xml:space="preserve">mEndStop_uMotorTorque_XDU16 </t>
  </si>
  <si>
    <t xml:space="preserve">mEndStop_uTBTLearn_XDU16 </t>
  </si>
  <si>
    <t xml:space="preserve">lEndStop_uDistanceLearnCondition_XDU16 </t>
  </si>
  <si>
    <t xml:space="preserve">vEndStop_uVehSpeedLearnFinished_XDU16 </t>
  </si>
  <si>
    <t>km/h</t>
  </si>
  <si>
    <t>rpm</t>
  </si>
  <si>
    <t>xEndStop_uTotalMotTorLimLearnFinished_XDU16</t>
  </si>
  <si>
    <t>tEndStop_DebounceTimeLearnFin_XDU8</t>
  </si>
  <si>
    <t>ms</t>
  </si>
  <si>
    <t>lEndStop_MinSteerRangeLearned_XDU16</t>
  </si>
  <si>
    <t>lEndStop_StatusChangeAllowedOffset_XDU16</t>
  </si>
  <si>
    <t>mEndStop_uSpringTorque_XDU16</t>
  </si>
  <si>
    <t>fEndStop_ResetLearnedEndstopPosition_XDU8</t>
  </si>
  <si>
    <t>xEndStop_FadeRateTorqueLim_XDU16</t>
  </si>
  <si>
    <t>Tuning rules &amp; restrictions</t>
  </si>
  <si>
    <t>If LimitEnable=0 the SW endstops are non-oversteerable; otherwise the endstops will be oversteerable</t>
  </si>
  <si>
    <t>Spring torque at endstop vs Distance to Endstop</t>
  </si>
  <si>
    <t>Enable the usage of the requested endstop positions and position offsets from ES-Supp component</t>
  </si>
  <si>
    <t>Minimum steering range (rackstroke); 
  half of this value must be achievable on both sides by the used rackposition signal</t>
  </si>
  <si>
    <t>calculated value is upper limit for tuning!</t>
  </si>
  <si>
    <t>Maximum learnable endstop position; related to used rackposition signal</t>
  </si>
  <si>
    <t>calculated value is lower limit for tuning!</t>
  </si>
  <si>
    <t>Minimum learnable endstop position; related to used rackposition signal</t>
  </si>
  <si>
    <t>Additional tolerance to ensure that the minimum steering range can be oversteered and the maximum value will not be reached.</t>
  </si>
  <si>
    <t>SW - Endstop</t>
  </si>
  <si>
    <t>Tuning range of characteristic curves (mm range before sw-endstop)</t>
  </si>
  <si>
    <t>Minimum deviation of new Min-Max-Rackposition towards already detected endstop positions 
to allow a relearning in learnstate 1</t>
  </si>
  <si>
    <t>assumption</t>
  </si>
  <si>
    <t>Distance to end stop from which on the final teaching conditions can be reached</t>
  </si>
  <si>
    <t>Minimum steering range (rackstroke) when endstop learning is finished.
  If this range is not achieved, the learned endstops will be reset.</t>
  </si>
  <si>
    <t>In case the rackposition is only raw initialized (less precise) the sw-endstops are drawn in by this offset</t>
  </si>
  <si>
    <t>Additional offset to tuned 'SpringArea' for detecting when Endstop area is left 
(then the learnstates and values are updated)</t>
  </si>
  <si>
    <t>Minimum vehicle speed for learning the endstops fully/finally (LearnState=2)</t>
  </si>
  <si>
    <t>[%]</t>
  </si>
  <si>
    <t>Debouncing time for fulfilled learning conditions for LearnState=2</t>
  </si>
  <si>
    <t>Lower threshold for TotalMotTorLim-Factor when learning endstops; to ensure full motor power is available</t>
  </si>
  <si>
    <t>lower threshold of MotorTorque towards endstop, above which endstop learning is possible 
for learnstate=2 (fully)</t>
  </si>
  <si>
    <t>lower threshold of TorsionbarTorque towards endstop, above which endstop learning is possible 
for learnstate=2 (fully)</t>
  </si>
  <si>
    <t>switch to reset learned endstops</t>
  </si>
  <si>
    <t>when set =1, the learned endstop positions are reset; use only in development</t>
  </si>
  <si>
    <t>Endstop Main tuning</t>
  </si>
  <si>
    <t>lEndStop_EsMechIndentLeft_XDU16</t>
  </si>
  <si>
    <t>lEndStop_EsMechIndentRight_XDU16</t>
  </si>
  <si>
    <t>lEndStop_SteerRangeLimit_XDU16</t>
  </si>
  <si>
    <t>nEndStop_oRotSpeedLearnFinished_XDU16</t>
  </si>
  <si>
    <t>upper threshold of rotor speed, below which endstop learning is possible for learnstate=2 (fully)</t>
  </si>
  <si>
    <t>The fully learned endstops are drawn in by this offset (does not apply to requested positions from supp)</t>
  </si>
  <si>
    <t>upper threshold of rotor speed, below which endstop learning is possible for learnstate=1 (semi)</t>
  </si>
  <si>
    <t>xEndStop_RotSpeedFiltFact_XDU16</t>
  </si>
  <si>
    <t>xEndStop_SpringFactorGrad_XDU16</t>
  </si>
  <si>
    <t>nEndStop_oRotSpeedRedSpringTorque_XDU16</t>
  </si>
  <si>
    <t>mEndStop_LimitDamping_XDU16</t>
  </si>
  <si>
    <t>0 .. 12</t>
  </si>
  <si>
    <t>max. allowed damping torque when steering away from the endstop</t>
  </si>
  <si>
    <t>PT1-Filtering of rotor speed for calculation of damping</t>
  </si>
  <si>
    <t>Gain-factor for calculation of damping, based on rotor speed</t>
  </si>
  <si>
    <t>factor on RotorSpeed for calculation of damping (weight of rotor speed)</t>
  </si>
  <si>
    <t>Gradient for ramping up/down of spring factor when in learnstate =1 (semi)</t>
  </si>
  <si>
    <t>max. rotor speed for endstop becoming soft, only when fully learned</t>
  </si>
  <si>
    <t>xEndStop_RateLimiterToZeroRate_XDU32</t>
  </si>
  <si>
    <t>xEndStop_ResidualAssistance_XDU16</t>
  </si>
  <si>
    <t>mEndStop_oMaxDamping_XDU16</t>
  </si>
  <si>
    <t>mEndStop_MaxTorquePointingOutwards_XDU16</t>
  </si>
  <si>
    <t>tEndStop_MaxTimeIncrDamping_XDU8</t>
  </si>
  <si>
    <t>Nm/ms</t>
  </si>
  <si>
    <t>Gradient for ramping down ES-Torque when endstop is oversteered or deactivated</t>
  </si>
  <si>
    <t>max. time for increased damping (non-oversteerable ES); [value = durationtime / task cycle time]</t>
  </si>
  <si>
    <t>Upper Limit for damping torque</t>
  </si>
  <si>
    <t>lower limit of rackposition to allow endstop torque in L2-monitoring</t>
  </si>
  <si>
    <t>lower limit of rackposition to allow endstop torque in L2-monitoring, if dynamic endstops are enabled</t>
  </si>
  <si>
    <t>max. dynamical endstop offset from ES-Supp</t>
  </si>
  <si>
    <t>1/ms</t>
  </si>
  <si>
    <t>can be used to disable this option --&gt; set =0rpm</t>
  </si>
  <si>
    <t>damping is not needed when steering away from endstop --&gt; try to keep value small</t>
  </si>
  <si>
    <t>max. endstop torque pointing towards endstop (allow damping!)</t>
  </si>
  <si>
    <t xml:space="preserve">this values means a limitation of the damping torque when steering away from the endstop </t>
  </si>
  <si>
    <t>Guarantee a residual assistance with oversteerable endstops</t>
  </si>
  <si>
    <t>factor 0..1</t>
  </si>
  <si>
    <t>Monitoring: disable reactivation after disappearance of detected error</t>
  </si>
  <si>
    <t>recommendation: if iSAS can be healed, then ActiveReturn and SW-Endstops should also be healed</t>
  </si>
  <si>
    <t>0..1</t>
  </si>
  <si>
    <t>Fading factor motortorque limitLowSpeed 
   0: limitation to 100% MotTrqSum2
   1: limitation to 100% MaxRequiredMotorTorque</t>
  </si>
  <si>
    <t>- value must be smaller than lowest possible endstop position (minimum of both sides), incl. possible dynamic offsets from ES-Supp and endstop area;
(--&gt; compare to lEndStop_SteerRangeLimit_XDU16)
- calculated value means only an upper limit for tuning</t>
  </si>
  <si>
    <t>RackPosition / Steering Angle</t>
  </si>
  <si>
    <t>Tuning of system data</t>
  </si>
  <si>
    <t>transmission ratio from rotor shaft to rackposition</t>
  </si>
  <si>
    <t>rev/rev</t>
  </si>
  <si>
    <t>system stiffness (from steering wheel to motor shaft)</t>
  </si>
  <si>
    <t>°SA/Nm</t>
  </si>
  <si>
    <t>Nm/Nm</t>
  </si>
  <si>
    <t>maximum torsionbar torque, that can be measured by TBT-sensor</t>
  </si>
  <si>
    <t xml:space="preserve"> --&gt;  value, that possibly has to be adjusted</t>
  </si>
  <si>
    <t xml:space="preserve"> --&gt;  value, that has to be tuned</t>
  </si>
  <si>
    <t xml:space="preserve"> --&gt;  calculated value</t>
  </si>
  <si>
    <t>! LuT value not correct in generated ES konserve.</t>
  </si>
  <si>
    <t xml:space="preserve"> --&gt; value, that possibly has to be adjusted</t>
  </si>
  <si>
    <t>torque transmission ratio from steering column (TBT) to rotor shaft * efficiency</t>
  </si>
  <si>
    <t>Motor torque to rack force factor, incl. efficiency</t>
  </si>
  <si>
    <t>Efficiency (TBT --&gt; torque at motorshaft)</t>
  </si>
  <si>
    <t xml:space="preserve">Elasticity (at nominal motor torque) between motorshaft and rackposition </t>
  </si>
  <si>
    <t>Efficiency (motor torque --&gt; rack)</t>
  </si>
  <si>
    <t>kg*m^2</t>
  </si>
  <si>
    <t>further SW tuning values</t>
  </si>
  <si>
    <t xml:space="preserve">bla bla </t>
  </si>
  <si>
    <t>BoostCurveInterpolation (RG3) tuning</t>
  </si>
  <si>
    <t>N</t>
  </si>
  <si>
    <t>°SA</t>
  </si>
  <si>
    <t>°Motor</t>
  </si>
  <si>
    <t>max. possible torsion angle of TBT sensor</t>
  </si>
  <si>
    <t>separate LuT</t>
  </si>
  <si>
    <t>0 .. 80</t>
  </si>
  <si>
    <t>0 .. 12000</t>
  </si>
  <si>
    <t xml:space="preserve">additional tolerance for maximum steering angle </t>
  </si>
  <si>
    <t xml:space="preserve"> --&gt;  value provided elsewhere</t>
  </si>
  <si>
    <t>depends on ratio, esp. if i-var is used</t>
  </si>
  <si>
    <t>must correspond with SteeringAngleMax</t>
  </si>
  <si>
    <t>with i-var: to be taken from LuT@180°SA</t>
  </si>
  <si>
    <t>compensation of belt / wormwheel tension, depending on motor torque</t>
  </si>
  <si>
    <t>LuT of steering angle, because of variable gear ratio</t>
  </si>
  <si>
    <t>LuT of rackposition, because of variable gear ratio (same samplepoints as steering angle)</t>
  </si>
  <si>
    <t>LuT of accumulated rotor angle, because of variable gear ratio (same samplepoints as steering angle)</t>
  </si>
  <si>
    <t>maximum allowed rackposition area, where Ahead can be detected (for monitoring)</t>
  </si>
  <si>
    <t>maximum allowed rackposition range (for monitoring)</t>
  </si>
  <si>
    <t>maximum allowed steering angle range (for monitoring)</t>
  </si>
  <si>
    <t>maximum allowed longterm correction value (for monitoring)</t>
  </si>
  <si>
    <t>maximum allowed shortterm correction value (for monitoring)</t>
  </si>
  <si>
    <t>Configuration of RP-Main-component behavior</t>
  </si>
  <si>
    <t>Configuration of RP-Main-monitoring: which checks are to be used</t>
  </si>
  <si>
    <t>Configuration of RP-Main-monitoring: reactions to used checks</t>
  </si>
  <si>
    <t>value from correction-fcn +1 (see below)</t>
  </si>
  <si>
    <t>Ramping of steps in rotorangle at synchronization</t>
  </si>
  <si>
    <t>°Motor/ms</t>
  </si>
  <si>
    <t>maximum gradient of belt-tension compensation value (see above)</t>
  </si>
  <si>
    <t>filtertime for general rackposition error (RP-Main), before rackposition error is logged</t>
  </si>
  <si>
    <t>filtertime for rackposition monitoring towards ahead detection (wheelspeeds)</t>
  </si>
  <si>
    <t>maximum allowed gradient deviation from motorshaft and calculated rackposition</t>
  </si>
  <si>
    <t>"leaky bucket": reduction of integral in gradient deviation check</t>
  </si>
  <si>
    <t>"leaky bucket": threshold of integral in gradient deviation check</t>
  </si>
  <si>
    <t>backward calculation: threshold of comparison rackposition - rotor angle from HWLib</t>
  </si>
  <si>
    <t>working range of longterm correction, rel. to uncorrected rotor angle</t>
  </si>
  <si>
    <t>working range of shortterm correction, rel. to uncorrected rotor angle</t>
  </si>
  <si>
    <t>maximum value of shortterm correction</t>
  </si>
  <si>
    <t>maximum value of longterm correction</t>
  </si>
  <si>
    <t>corresponds to ~10°SA from LuT, in center</t>
  </si>
  <si>
    <t>SA correction</t>
  </si>
  <si>
    <t>resolution of angle input to correction: learn only relevant deviations</t>
  </si>
  <si>
    <t>SA monitoring (synchronization)</t>
  </si>
  <si>
    <t>Range of steering angle around center, where high accuracy of ext.SAS can be assumed</t>
  </si>
  <si>
    <t>Maximum rotor speed for assuming medium steering dynamic, to have medium accuracy of ext.SAS</t>
  </si>
  <si>
    <t>Range of steering angle around center, where still a medium accuracy of ext.SAS can be assumed</t>
  </si>
  <si>
    <t>Maximum rotor speed for assuming low steering dynamic, to have high accuracy of ext.SAS</t>
  </si>
  <si>
    <t>Maximum motor torque for assuming medium steering dynamic, to have medium correspondance of 
ext.SAS and motor angle</t>
  </si>
  <si>
    <t>Maximum motor torque for assuming low steering dynamic, to have high correspondance of 
ext.SAS and motor angle</t>
  </si>
  <si>
    <t>Configuration of RP-Sync-component behavior</t>
  </si>
  <si>
    <t>SA synchronization to ExtSAS</t>
  </si>
  <si>
    <t>threshold of deviation of extSAS to intSA, above which a resynchronization can occur</t>
  </si>
  <si>
    <t>Maximum allowed deviation of center of extSAS and already stored center position, checked at startup. 
If exceeded, the new center position of the extSAS will be used, otherwise the old one is keept.</t>
  </si>
  <si>
    <t>s</t>
  </si>
  <si>
    <t>observation period for Sync-Check with AheadDetection</t>
  </si>
  <si>
    <t>minimum steering range for Sync-Check by range</t>
  </si>
  <si>
    <t>Configuration of RP-Sync-monitoring: which checks are to be used</t>
  </si>
  <si>
    <t>Configuration of RP-Sync-monitoring: reactions to used checks</t>
  </si>
  <si>
    <t>filtertime for rackposition synchronization error (RP-Sync), before error is logged</t>
  </si>
  <si>
    <t xml:space="preserve">number of allowed reversible error cycles (new synchronzations) in one key cycle, before it is switched 
to permanent error </t>
  </si>
  <si>
    <t>steering angle calculation (Main)</t>
  </si>
  <si>
    <t>SA monitoring (Main)</t>
  </si>
  <si>
    <t>wRackPoI_MaxAbsRotbasedAngle_XDF32</t>
  </si>
  <si>
    <t>rad</t>
  </si>
  <si>
    <t>transmitted to HwLib</t>
  </si>
  <si>
    <t>Limitation of rotor angle range in HwLib; needed to avoid overflow of 16-bit variables</t>
  </si>
  <si>
    <t>wRackPo_RotorStiffnessLimit_XDU8</t>
  </si>
  <si>
    <t>maximum compensation value of belt-tension (in AccumRotorAngle)</t>
  </si>
  <si>
    <t>xRackPo_RotorSpeedFilterFactor_XDU16</t>
  </si>
  <si>
    <t>filter factor (PT1) for steering angle speed (but not rackspeed)</t>
  </si>
  <si>
    <t>vRackPo_RotorSpeedTolerance_XDU16</t>
  </si>
  <si>
    <t>an error will also invalidate the steering angle and rackposition;
this check can be disabled by selecting a high value</t>
  </si>
  <si>
    <t>vehicle speed, above which the learning factor = 1; below it is linear to speed</t>
  </si>
  <si>
    <t>vRpCorr_VehicleSpeedWeight_XDU16</t>
  </si>
  <si>
    <t>Configuration of SA correction behavior</t>
  </si>
  <si>
    <t>xRpCorr_LTACompIntegFactor_XDU16</t>
  </si>
  <si>
    <t>tRpCorr_LTimeIntegTime_XDU8</t>
  </si>
  <si>
    <t>tRpCorr_CycleTimeRpCorr_XDU8</t>
  </si>
  <si>
    <t>tRpCorr_DetectionTimerLT_XDU8</t>
  </si>
  <si>
    <t>integration factor long term correction</t>
  </si>
  <si>
    <t>cycle time of steering angle correction</t>
  </si>
  <si>
    <t>detection time for straight ahead in longterm correction</t>
  </si>
  <si>
    <t>tRpCorr_DetectionTimerST_XDU8</t>
  </si>
  <si>
    <t>detection time for straight ahead in shortterm correction</t>
  </si>
  <si>
    <t>mRpCorr_LTATBT_XDU16</t>
  </si>
  <si>
    <t>maximum value of torsionbar torque for long term correction</t>
  </si>
  <si>
    <t>mRpCorr_LTMaxMotTorq_XDU16</t>
  </si>
  <si>
    <t>maximum motor torque for straight ahead detection in long term correction</t>
  </si>
  <si>
    <t>xRpCorr_STIntegrationFactor_XDU16</t>
  </si>
  <si>
    <t>integration factor shortterm correction</t>
  </si>
  <si>
    <t>delay in stopping the longterm correction when leaving the allowed range</t>
  </si>
  <si>
    <t>vRpCorr_STMinVehicleSpeed_XDU16</t>
  </si>
  <si>
    <t>lower threshold of vehicle speed for short time Correction</t>
  </si>
  <si>
    <t>mRpCorr_STMaxTBT_XDU16</t>
  </si>
  <si>
    <t>maximum torsion bar torque for short term correction</t>
  </si>
  <si>
    <t>mRpCorr_STMaxMotTorq_XDU16</t>
  </si>
  <si>
    <t>maximum motor torque for straight ahead detection in short term correction</t>
  </si>
  <si>
    <t>wRpSync_AdditionalToleranceAtHighTbt_XDU16</t>
  </si>
  <si>
    <t>additional tolerance in external steering angle deviation at very high TBT (torsion of column etc)</t>
  </si>
  <si>
    <t>tRpSync_TimeoutExternalReference_XDU16</t>
  </si>
  <si>
    <t>filtertime for invalid external reference before internal SA is set invalid</t>
  </si>
  <si>
    <t>check can be disabled by setting value =0</t>
  </si>
  <si>
    <t>e.g. at startup, when at endstop with high torque towards endstop</t>
  </si>
  <si>
    <t>nRackPo_MaxRotorSpeedRackSpeedPlausi_XDU16</t>
  </si>
  <si>
    <t>Threshold for deviation of rotorspeed-from-rackspeed and rotorspeed-from-HwLib</t>
  </si>
  <si>
    <t>Threshold of rotor speed, above which the rackspeed-monitoring is disabled</t>
  </si>
  <si>
    <t>Threshold of rackspeed to disable the rackspeed-monitoring</t>
  </si>
  <si>
    <t>mm/s</t>
  </si>
  <si>
    <t>assumption; max. value is 250mm/s</t>
  </si>
  <si>
    <t>SA synchronization to Index</t>
  </si>
  <si>
    <t>AheadDetection (for SA)</t>
  </si>
  <si>
    <t>Maximum index width on column</t>
  </si>
  <si>
    <t>Minimum index width on column</t>
  </si>
  <si>
    <t>°RA</t>
  </si>
  <si>
    <t>from separate Tab: SA_Config</t>
  </si>
  <si>
    <t>depends on requirements: max. allowed inaccuracy</t>
  </si>
  <si>
    <t xml:space="preserve">Maximum index width at center </t>
  </si>
  <si>
    <t xml:space="preserve">Minimum index width at center </t>
  </si>
  <si>
    <t>Minimum index width (all 3 indexes)</t>
  </si>
  <si>
    <t>Maximum index width (all 3 indexes)</t>
  </si>
  <si>
    <t>use ratio at center, esp. with i-var; because only center index is used for synch</t>
  </si>
  <si>
    <t>GearRatio column --&gt; motor at center (0°SA)</t>
  </si>
  <si>
    <t>get values from mechanical data or LuT</t>
  </si>
  <si>
    <t>range, where detected edges are assigned to same index position</t>
  </si>
  <si>
    <t>e.g. calibration at EOL, using a "Lenkradwaage" (steering wheel level)</t>
  </si>
  <si>
    <t>for safety</t>
  </si>
  <si>
    <t>for robustness</t>
  </si>
  <si>
    <t>calculated value is lower limit for tuning and needs to be varified!</t>
  </si>
  <si>
    <t>for safety; depends on requirements</t>
  </si>
  <si>
    <t>filtering time for invalid index signel</t>
  </si>
  <si>
    <t>tRpSync_ErrorFilterIdxVldTimeout_XDU16</t>
  </si>
  <si>
    <t>tRpSync_ErrorFilterIdxPosTimeout_XDU16</t>
  </si>
  <si>
    <t>Tuning parameters for synchronization</t>
  </si>
  <si>
    <t>for robustness: needed with i-var</t>
  </si>
  <si>
    <t>additional tolerance of index position in plausi at 360° SA</t>
  </si>
  <si>
    <t>sRpSync_ConfigFlagsIdx2_XDU16</t>
  </si>
  <si>
    <t>nRpSync_MinRotSpdForIdxSearch_XDU16</t>
  </si>
  <si>
    <t>minimum rotor speed, above which the search for index edges is performed</t>
  </si>
  <si>
    <t>robustness, to avoid detection of toggling edges</t>
  </si>
  <si>
    <t>nRpSync_MaxRotSpdLowDyn_XDU16</t>
  </si>
  <si>
    <t>accuracy</t>
  </si>
  <si>
    <t>mRpSync_MaxTBTLowDyn_XDU16</t>
  </si>
  <si>
    <t>upper threshold of rotor speed for exact detection of index edges</t>
  </si>
  <si>
    <t>upper threshold of torsionbar torque for exact detection of index edges</t>
  </si>
  <si>
    <t>upper threshold of motor torque for exact detection of index edges</t>
  </si>
  <si>
    <t>enable usage of RPS Calib offset in temporary compensated; otherwise Offset =0°</t>
  </si>
  <si>
    <t>enable initialization of iSAS by AheadDetection from wheelspeeds</t>
  </si>
  <si>
    <t>enable initialization of iSAS by AheadDetection from yawrate and TBT</t>
  </si>
  <si>
    <t>enable initialization of iSAS by traversed range</t>
  </si>
  <si>
    <t>enable initialization of iSAS by AheadDetection and index = high (no edges detected)</t>
  </si>
  <si>
    <t>enable initialization of iSAS by AheadDetection and index edges detected</t>
  </si>
  <si>
    <t>enable initialization of iSAS by AheadDetection, even if iSAS is not calibrated yet</t>
  </si>
  <si>
    <t>enable immediate writing of NV-Ram block when calibration occured</t>
  </si>
  <si>
    <t>sRpSync_ConfigFlagsIdx_XDU16 =</t>
  </si>
  <si>
    <t>RP_KFA_INDEXHI</t>
  </si>
  <si>
    <t>monitoring of rotor angle, if index shows high</t>
  </si>
  <si>
    <t>RP_KFA_INDEXRNG</t>
  </si>
  <si>
    <t>monitoring of index signal, if rotor angle range of expected "index high" is traversed</t>
  </si>
  <si>
    <t>RP_KFA_INDEXINV</t>
  </si>
  <si>
    <t>monitoring, if index signal becomes invalid</t>
  </si>
  <si>
    <t>RP_KFA_HWCTRSYNC</t>
  </si>
  <si>
    <t>monitoring of synchronization change of HW-Lib</t>
  </si>
  <si>
    <t>RP_ALLOW_PRECALIB</t>
  </si>
  <si>
    <t>allow precalibration --&gt; calibration without detected index edges possible</t>
  </si>
  <si>
    <t>sRpSync_ConfigFlagsIdx2_XDU16 =</t>
  </si>
  <si>
    <t>Correction</t>
  </si>
  <si>
    <t>Main</t>
  </si>
  <si>
    <t>Synchronization to Index</t>
  </si>
  <si>
    <t>Synchronization to external Steering Angle Sensor</t>
  </si>
  <si>
    <t>test</t>
  </si>
  <si>
    <t>columns for 
"playing"</t>
  </si>
  <si>
    <t xml:space="preserve">S T E E R I N G   A N G L E   C O N F I G U R A T I O N  </t>
  </si>
  <si>
    <t>RP_KFA_RACKSPEED</t>
  </si>
  <si>
    <t>RP_KFA_DIFFRP_REF</t>
  </si>
  <si>
    <t>monitoring of separate rackposition, related to reference position (index, extSAS, …), by backward calculation</t>
  </si>
  <si>
    <t>monitoring of rackspeed by backward calculation</t>
  </si>
  <si>
    <t>Configuration of RP-Sync component behavior</t>
  </si>
  <si>
    <t>separate Tab: SA_Config</t>
  </si>
  <si>
    <t>depends on mApplI_AbsTorsionBarTorque_xdu16
! LuT value not included in generated ES konserve.</t>
  </si>
  <si>
    <t>Guaranteed minimum endstop position (on both sides) for calculation of distance to endstop. 
Below this position less the spring area, there will be no endstop torque.</t>
  </si>
  <si>
    <t>wRpSync_SaRangeHiQ_XDU16</t>
  </si>
  <si>
    <t>wRpSync_SaRangeLowQ_XDU16</t>
  </si>
  <si>
    <t>vRpSync_RotSpdMedTh_XDU16</t>
  </si>
  <si>
    <t>vRpSync_RotSpdLowTh_XDU16</t>
  </si>
  <si>
    <t>Tuning data sheet</t>
  </si>
  <si>
    <t>spin direction motor/column (GearSign)</t>
  </si>
  <si>
    <t>version of template:</t>
  </si>
  <si>
    <t>remarks:</t>
  </si>
  <si>
    <t>sometimes calculated values are only an upper or lower limit; this can be used to avoid variant coded 
values when using the overall minimum or maximum</t>
  </si>
  <si>
    <t>2.</t>
  </si>
  <si>
    <t>KENNLINIE wRackPo_SteeringAngleArray_XAS16</t>
  </si>
  <si>
    <t>WERT</t>
  </si>
  <si>
    <t>KENNLINIE IRackPo_RackPositionArray_XAS16</t>
  </si>
  <si>
    <t>KENNLINIE wRackPo_RotorAngleArray_XAS16</t>
  </si>
  <si>
    <t>DO NOT MOVE COLUMNS (VBA Script)</t>
  </si>
  <si>
    <t>copy to Conserves:</t>
  </si>
  <si>
    <t>(Data from above, format adapted)</t>
  </si>
  <si>
    <t xml:space="preserve">number of needed sample points (LuT): </t>
  </si>
  <si>
    <t xml:space="preserve">allowed max. deviation of nonlinear transformation: </t>
  </si>
  <si>
    <t>motor --&gt; column  [°SA]:</t>
  </si>
  <si>
    <t>motor --&gt; column:</t>
  </si>
  <si>
    <t>automated calculation of look-up-tables</t>
  </si>
  <si>
    <t>look-up-table Rack --&gt; Motor</t>
  </si>
  <si>
    <t>look-up-table Rack --&gt; Column</t>
  </si>
  <si>
    <t>rackstroke [mm]</t>
  </si>
  <si>
    <t>motorangle [°]</t>
  </si>
  <si>
    <t>steering angle [°]</t>
  </si>
  <si>
    <t>Array for conserve is given below!</t>
  </si>
  <si>
    <t>ratio data</t>
  </si>
  <si>
    <r>
      <t xml:space="preserve">INPUT: </t>
    </r>
    <r>
      <rPr>
        <b/>
        <sz val="10"/>
        <color indexed="13"/>
        <rFont val="Verdana"/>
        <family val="2"/>
      </rPr>
      <t>yellow cells</t>
    </r>
    <r>
      <rPr>
        <b/>
        <sz val="10"/>
        <rFont val="Verdana"/>
        <family val="2"/>
      </rPr>
      <t xml:space="preserve">
OUTPUT:</t>
    </r>
    <r>
      <rPr>
        <b/>
        <sz val="10"/>
        <color indexed="17"/>
        <rFont val="Verdana"/>
        <family val="2"/>
      </rPr>
      <t xml:space="preserve"> green cells</t>
    </r>
  </si>
  <si>
    <t>Hilfsgrößen Excel (do not remove!)</t>
  </si>
  <si>
    <t>Nr last cell in col B:</t>
  </si>
  <si>
    <t>stroke
[mm]</t>
  </si>
  <si>
    <t>stroke
[mm/°]</t>
  </si>
  <si>
    <t>motor 
[°RA]</t>
  </si>
  <si>
    <t>LuT: rack --&gt; motor</t>
  </si>
  <si>
    <t>LuT: rack --&gt; column</t>
  </si>
  <si>
    <t>ratio
[mm/rev]</t>
  </si>
  <si>
    <t>pinion angle
[°SA]</t>
  </si>
  <si>
    <t>stroke from RA
[mm]</t>
  </si>
  <si>
    <t>deviat. 
[mm]</t>
  </si>
  <si>
    <t>&lt;-- vary this tolerance, (and calc new)</t>
  </si>
  <si>
    <t xml:space="preserve">      until 10 sample points are needed</t>
  </si>
  <si>
    <t>SA from RA 
[°SA]</t>
  </si>
  <si>
    <t>deviat.
[°SA]</t>
  </si>
  <si>
    <t>motor 
[°RA int]</t>
  </si>
  <si>
    <t>Gear ratio: motor shaft --&gt; rack position [mm/rev]</t>
  </si>
  <si>
    <t>1/averaged ratio (motor/column)</t>
  </si>
  <si>
    <t>internal ratio [°RA / °SA]</t>
  </si>
  <si>
    <t>averaged ratio: column --&gt; motor [°RA/°SA]</t>
  </si>
  <si>
    <t>internal ratio [°SA/mm]</t>
  </si>
  <si>
    <t>internal ratio [°RA/mm]</t>
  </si>
  <si>
    <t>internal ratio [mm/rev SA]:</t>
  </si>
  <si>
    <t>Tuning of SW-Endstop, Steering Angle Calculation and Gear Ratios (APA, DP)</t>
  </si>
  <si>
    <t>Gear ratio: motor shaft / KGT (belt)</t>
  </si>
  <si>
    <t>Gear ratio: KGT-pitch (slope)</t>
  </si>
  <si>
    <t>Gear ratio motor shaft / servo pinion (worm gear)</t>
  </si>
  <si>
    <t>Gear ratio rack / servo pinion</t>
  </si>
  <si>
    <t>Gear ratio: 'driver pinion' --&gt; rack position (in case of ivar: average gear ratio, to get correct values at endstop)</t>
  </si>
  <si>
    <t>input i-const</t>
  </si>
  <si>
    <t>input i-var</t>
  </si>
  <si>
    <t>KENNLINIE xsyInvSteeringRatioVarFact_XAU16</t>
  </si>
  <si>
    <t>look-up-table xsyInvSteeringRatioVarFact_XAU16</t>
  </si>
  <si>
    <t>i-factor</t>
  </si>
  <si>
    <t>Tolerance:</t>
  </si>
  <si>
    <t>needed sample points:</t>
  </si>
  <si>
    <t>ST/X</t>
  </si>
  <si>
    <t>separate LuT in tab: Steering Ratio</t>
  </si>
  <si>
    <t>not used, for a start; not included in generated kon-file</t>
  </si>
  <si>
    <t>additional information:</t>
  </si>
  <si>
    <r>
      <t xml:space="preserve">transmission ratio from rotor shaft to steering column (average value, </t>
    </r>
    <r>
      <rPr>
        <strike/>
        <sz val="10"/>
        <rFont val="Verdana"/>
        <family val="2"/>
      </rPr>
      <t>to get correct value at endstops</t>
    </r>
    <r>
      <rPr>
        <sz val="10"/>
        <rFont val="Verdana"/>
        <family val="2"/>
      </rPr>
      <t>)</t>
    </r>
  </si>
  <si>
    <t xml:space="preserve"> --&gt; calculated value</t>
  </si>
  <si>
    <t>use min ratio of center / 360°, esp. with i-var</t>
  </si>
  <si>
    <t>use ratio at center</t>
  </si>
  <si>
    <t>use max ratio of center / 360°, esp. with i-var</t>
  </si>
  <si>
    <t>use value from LuT of ratio at ~90°SA (tuned value from above)</t>
  </si>
  <si>
    <t>copy; used for calculation</t>
  </si>
  <si>
    <t>tAhaDet_AheadDetectionTimer_XDU8</t>
  </si>
  <si>
    <t>vAhaDet_MaxAbsYawVelocity_XDU16</t>
  </si>
  <si>
    <t>aAhaDet_MaxAbsLateralAccel_XDU16</t>
  </si>
  <si>
    <t>xAhaDet_RatioLimitAhead_XDU16</t>
  </si>
  <si>
    <t>xAhaDet_LowerRatioLimitAhead_XDU16</t>
  </si>
  <si>
    <t>lower limit for wheelspeed ratio for straight ahead detection</t>
  </si>
  <si>
    <t>xAhaDet_SlipLimit_XDU16</t>
  </si>
  <si>
    <t>aAhaDet_AccLimit_XDU16</t>
  </si>
  <si>
    <t>vAhaDet_MinRotationLimit_XDU16</t>
  </si>
  <si>
    <t>all 4 wheelspeeds must be above this threshold for straight ahead detection</t>
  </si>
  <si>
    <t>vAhaDet_FrontRearRotationLimit_XDU16</t>
  </si>
  <si>
    <t>maximum deviation of front and rear axle speed for straight ahead detection</t>
  </si>
  <si>
    <t>vAhaDet_FrontESPvLimit_XDU16</t>
  </si>
  <si>
    <t>vAhaDet_LeftRightRotationLimit_XDU16</t>
  </si>
  <si>
    <t>vAhaDet_StAnSpeedLimit_XDU16</t>
  </si>
  <si>
    <t>mAhaDet_TorqueLimit_XDU16</t>
  </si>
  <si>
    <t>max. steering angle speed for straight ahead detection</t>
  </si>
  <si>
    <t>max. torsionbar torque for straight ahead detection</t>
  </si>
  <si>
    <t>xAhaDet_MaxRatioGradient_XDU16</t>
  </si>
  <si>
    <t>limit of change in wheelspeed quotient for ahead detection</t>
  </si>
  <si>
    <t>xAhaDet_FiltFactPT1YR_XDU16</t>
  </si>
  <si>
    <t>filter factor of PT1-filter of yawrate</t>
  </si>
  <si>
    <t>vAhaDet_MinVehicleSpeed_XDU16</t>
  </si>
  <si>
    <t>upper threshold of yawrate for straight ahead detection</t>
  </si>
  <si>
    <t>°/s</t>
  </si>
  <si>
    <t>m/s^2</t>
  </si>
  <si>
    <t>limit of acceleration in wheelspeeds/vehicle speed for straight ahead detection</t>
  </si>
  <si>
    <t>Threshold of lateral accelaration from ESP for straight ahead detection</t>
  </si>
  <si>
    <t>lower threshold of vehicle speed for straight ahead detection from torsionbar torque and yawrate</t>
  </si>
  <si>
    <t>don't forget: for the corresponding Supp-components there might be further tuning values!</t>
  </si>
  <si>
    <t>debouncing time for ahead detection, when conditions are fulfilled (wheelspeeds and yawrate separatly)</t>
  </si>
  <si>
    <t>ahead from yaw</t>
  </si>
  <si>
    <t>ahead from yaw and from wheelspeeds</t>
  </si>
  <si>
    <t>ahead from wheelspeeds</t>
  </si>
  <si>
    <t>maximum deviation of wheelspeeds right/left at an axle for straight ahead detection</t>
  </si>
  <si>
    <t>upper threshold for slip in ratio front/rear speed in straight ahead detection</t>
  </si>
  <si>
    <t>maximum deviation of front axle speed to VehicleSpeedFilt for straight ahead detection</t>
  </si>
  <si>
    <t>upper limit for wheelspeed ratio for straight ahead detection</t>
  </si>
  <si>
    <t>1/10ms</t>
  </si>
  <si>
    <t>When doing the tuning, please follow this order:</t>
  </si>
  <si>
    <t xml:space="preserve">1. </t>
  </si>
  <si>
    <t>- select configuration (e.g. APA, i-var)</t>
  </si>
  <si>
    <t>- fill in yellow and orange fields / tune data</t>
  </si>
  <si>
    <t>Steering Ratio sheet</t>
  </si>
  <si>
    <t>MechanicalData sheet</t>
  </si>
  <si>
    <t>- if i-var selected:</t>
  </si>
  <si>
    <t xml:space="preserve">   - press "calculate tables"</t>
  </si>
  <si>
    <t>- if i-const selected:</t>
  </si>
  <si>
    <t>4.</t>
  </si>
  <si>
    <t>SW-Endstop sheet</t>
  </si>
  <si>
    <t>Steering Angle sheet</t>
  </si>
  <si>
    <t>5.</t>
  </si>
  <si>
    <t>other tuning</t>
  </si>
  <si>
    <t>- copy results manually to konserve-files</t>
  </si>
  <si>
    <t>- select configuration of sensor (extSAS or index)</t>
  </si>
  <si>
    <t>- select configuration of SW in sheet "SA_Config"</t>
  </si>
  <si>
    <t>Tuning of system data in HwLib</t>
  </si>
  <si>
    <t xml:space="preserve">sHwlWrapI_TbtStiffnessSelection_GDU8 </t>
  </si>
  <si>
    <t>calibration data to select the torsion bar stiffness of used MMT sensor</t>
  </si>
  <si>
    <t>max. possible error in torsionbar torque measuring (at max. torque)</t>
  </si>
  <si>
    <t>REMARK</t>
  </si>
  <si>
    <t>use Precalib (if enabled) in case there is no valid index near the requested calibration position (Ford BC)</t>
  </si>
  <si>
    <t xml:space="preserve">the really tuned value of msyAbsToBaTo has to be used, not the calculated upper limit </t>
  </si>
  <si>
    <t>i_real</t>
  </si>
  <si>
    <t xml:space="preserve">   - vary tolerance and recalculate tables until the resulting number of sample points is 10 
       (which matches the SW-implementation) or the desired accuracy is achieved</t>
  </si>
  <si>
    <t>- value has to be higher than signal noise (otherwise learning cannot be finished);
- value needs to be lower than the drift-speed (MRA2)</t>
  </si>
  <si>
    <t>when using drift-option (MRA2): value needs to be higher than Dist2Endstop at uSpringTorque threshold;
ensure, that value can be reached.</t>
  </si>
  <si>
    <t>when using drift-option (MRA2): Lower Threshold of Spring Torque to enable drifting endstops when learning.</t>
  </si>
  <si>
    <t>- 'standard' learning (no drift-option):
   - tune value =0 (or very low) to ensure full motor torque for learning;
     debouncing is done by reduction/ramping down of spring torque
- when using drift-option (MRA2): 
   - value has to be lower than max. assist, so uMotorTorque for learning 
      can be reached (uSpringTorque &lt; (max.Assist - uMotorTorque)
   - value should be low to have enough motor torque left to reach mech. endstop 
   - value should not be too low to avoid possible high accelerations towards endstop</t>
  </si>
  <si>
    <t>should be tuned high enough to ensure that mech. endstops can be reached (at learning conditions of vehicle speed, max. axle load)
- when using drift-option (MRA2): uMotorTorque must not be higher than maxAssist-uSpringTorque</t>
  </si>
  <si>
    <t>- value must be high enough to ensure an accurate enstop detection
- when using drift-option (MRA2): value must be higher than uTBTDrift to avoid learning before 
    drift starts</t>
  </si>
  <si>
    <t>KENNLINIE xBci_InvSteeringRatioVarFact_XAF32</t>
  </si>
  <si>
    <t>tuning of look up table:
- values high enough to ensure non-oversteerability? (max. assist + TBT, or 2x MaxMotTrq)
- ramp not too steep (--&gt; torque ripple likely)
- do not tune too wide area at low torques; this can result in ~disabled endstops when
   starting up near endstop 
! value not included in generated ES konserve.</t>
  </si>
  <si>
    <t xml:space="preserve">   - nothing to be done here; xsyInvSteeringRatioVarFact_XAU16 can be set =1</t>
  </si>
  <si>
    <t>assumption, tbc</t>
  </si>
  <si>
    <t>repeating sequence of index position (180° / 360° SA)</t>
  </si>
  <si>
    <t>depends on used index sensor: DMS5 - 360° // DMS6 - 180°</t>
  </si>
  <si>
    <t>"one revolution" of steering wheel / repeating sequence of index</t>
  </si>
  <si>
    <t>Fade rate for reduction of ES-torque from unlimited to limited; it is used only when already fully learned to allow full mechanical steering range;  [value = rate * task cycle time]</t>
  </si>
  <si>
    <t>- only available with non-oversteerable endstops (fEndStop_LimitEnable_XDU8=0)
- ramping-up increment for factor 0..1, with 0-unlimited, 1-limited
- if using endstops from ES-Supp:
    the endstops must not become soft (and oversteerable) --&gt; value = 0</t>
  </si>
  <si>
    <t>value has lower limit of 1s in kgt, but could be reduced to 0.1s there</t>
  </si>
  <si>
    <t>counter for possible number of index positions (DMS5 / DMS6, stroke)</t>
  </si>
  <si>
    <t>zRpSync_IdxposLoopCounter_XDU8</t>
  </si>
  <si>
    <t>constant RP_SYNC_ARRIDX must also have this value or higher</t>
  </si>
  <si>
    <t>GearRatio column --&gt; motor: minimum of whole stroke</t>
  </si>
  <si>
    <t>GearRatio column --&gt; motor: maximum of whole stroke</t>
  </si>
  <si>
    <t>RP_COMP_TBTSTIFFIDX</t>
  </si>
  <si>
    <t>with DMS6 : index edges are corrected by torsionbar torsion because sensor is above torsionbar</t>
  </si>
  <si>
    <t>RP_CHKIDXPOS</t>
  </si>
  <si>
    <t>do a range check for calibration: allowed, if multiple of 360° to known index (Ford BC)</t>
  </si>
  <si>
    <t>Maximum rack force for calculation of BasicSteerTorque characteristic curve</t>
  </si>
  <si>
    <t>value must be higher (~0.5Nm) than max. motor torque (see MechanicalData sheet)</t>
  </si>
  <si>
    <t xml:space="preserve">       - if automatic in "calculate tables" fails: adapt lengt of other columns (F .. T) manually</t>
  </si>
  <si>
    <t>RackWheelConverter</t>
  </si>
  <si>
    <t>input data</t>
  </si>
  <si>
    <t>front wheel angle
[°WA]</t>
  </si>
  <si>
    <t>rackstroke
[mm]</t>
  </si>
  <si>
    <t>ratio
[°WA/mm]</t>
  </si>
  <si>
    <t>look-up-table Rack --&gt; FrontWheel</t>
  </si>
  <si>
    <t>averaged ratio: rack position --&gt; wheel angle [°WA/mm]</t>
  </si>
  <si>
    <t>1/averaged ratio [mm/°WA]</t>
  </si>
  <si>
    <t>front wheel angle [°]</t>
  </si>
  <si>
    <t>rack --&gt; wheel  [°WA]:</t>
  </si>
  <si>
    <t>rack --&gt; wheel:</t>
  </si>
  <si>
    <t>KENNWERTEBLOCK lRWCon_RackPosition_XAU16</t>
  </si>
  <si>
    <t>KENNWERTEBLOCK wRWCon_WheelAngle_XAU16</t>
  </si>
  <si>
    <t>KENNWERTEBLOCK xRWCon_RackPos2WheelAngleRatio_XAU16</t>
  </si>
  <si>
    <t>ratio [°WA/mm]</t>
  </si>
  <si>
    <t>information about the mechanical steering system:</t>
  </si>
  <si>
    <t>- engineering drawings</t>
  </si>
  <si>
    <t>- mechanical design team</t>
  </si>
  <si>
    <t>Where to get all the data and information …  (suggestions)</t>
  </si>
  <si>
    <t>information about SW behavior (filter times, feature configuration, …)</t>
  </si>
  <si>
    <t>- customer requirements</t>
  </si>
  <si>
    <t>- customer (mechanical design)</t>
  </si>
  <si>
    <t>- measures in vehicle</t>
  </si>
  <si>
    <t>information about rack --&gt; front wheel ratio</t>
  </si>
  <si>
    <t>- other projects / empirical values</t>
  </si>
  <si>
    <t>other ...  :-)</t>
  </si>
  <si>
    <t>Rack Wheel Converter</t>
  </si>
  <si>
    <t>- fill in yellow fields / tune data: rackposition and corresponding front wheel angle</t>
  </si>
  <si>
    <t>- press "calculate RW table"</t>
  </si>
  <si>
    <t>6.</t>
  </si>
  <si>
    <t>- vary tolerance and recalculate tables until the resulting number of sample points is 10 
       (which matches the SW-implementation) or the desired accuracy is achieved</t>
  </si>
  <si>
    <t>ratio  [--]:</t>
  </si>
  <si>
    <t>&lt;-- evtl vary this also</t>
  </si>
  <si>
    <t>for Diagram</t>
  </si>
  <si>
    <t>xsyRotorInertia_XDU16</t>
  </si>
  <si>
    <t>- press "Generate Sys kon" to generate a dcm-file with the variables for the konserve-files.</t>
  </si>
  <si>
    <t>- press "Generate ES kon" to generate a dcm-file with the variables for the konserve-files.</t>
  </si>
  <si>
    <t>- press "Generate RP kon" to generate a dcm-file with the variables for the konserve-files.</t>
  </si>
  <si>
    <t>- press "Generate RWhl kon" to generate a dcm-file with the variables for the konserve-files.</t>
  </si>
  <si>
    <t>generated dcm-files are not intended to be used directly as consereve-file, but to compare / copy 
the values more easily (e.g. Vector vCDMstudio). Generated values are not rounded to their integer quantization. Not all variables might be included, esp. LuT. 
Variant coding is not incorporated.</t>
  </si>
  <si>
    <t>Maximum steering angle range where calibration job (EOL with offset) is accepted</t>
  </si>
  <si>
    <t>when switching the configuration of the radio-buttons, new formulas might be copied into calculated cells in the background (done by VBA script); keep this in mind when changing formulas 
--&gt; permanent changes need to be done in VBA script (right-click on tab: "show code")</t>
  </si>
  <si>
    <t>when switching the configuration of the radio-buttons the already inserted values will not get lost;
only some of the rows might be hidden then and others might be shown instead; when switching 
back to the previous configuration you will get the old values again.</t>
  </si>
  <si>
    <t>Endstop-Supp tuning</t>
  </si>
  <si>
    <t>assumption;
- calculated value means an upper limit for tuning
- value must be eq. or smaller than lEndStop_uAbsSteerLearn_XDU16, less dyn. Offset</t>
  </si>
  <si>
    <t>- can be used to have narrower limits with dynamic endstops 
    (false endstop torque towards rackcenter could lead to hand injuries);
- value has to be tuned even if no dynamic endstops are used: use same value as 
   lEndStop_AllowedPosBorder_XDU16 or lower then.
- calculated value means only an upper limit for tuning</t>
  </si>
  <si>
    <t>--&gt; fill in tabs MechanicalData and SteeringRatio</t>
  </si>
  <si>
    <t>max. torsion angle before locking pin in TBT sensor</t>
  </si>
  <si>
    <t>min. torsion angle before locking pin in TBT sensor</t>
  </si>
  <si>
    <t>maximum allowed motor torque in steering system</t>
  </si>
  <si>
    <t>Nominal total rackstroke, without compression of the endstop dampers</t>
  </si>
  <si>
    <t>Maximum damper compression at 5 kN (default state)</t>
  </si>
  <si>
    <t>yellow</t>
  </si>
  <si>
    <t>green</t>
  </si>
  <si>
    <r>
      <t xml:space="preserve">  yellow marked sheets: primarily to be filled by </t>
    </r>
    <r>
      <rPr>
        <b/>
        <sz val="10"/>
        <color theme="1" tint="0.499984740745262"/>
        <rFont val="Verdana"/>
        <family val="2"/>
      </rPr>
      <t>mechanics</t>
    </r>
    <r>
      <rPr>
        <sz val="10"/>
        <color theme="1" tint="0.499984740745262"/>
        <rFont val="Verdana"/>
        <family val="2"/>
      </rPr>
      <t xml:space="preserve"> designer / engineer</t>
    </r>
  </si>
  <si>
    <r>
      <t xml:space="preserve">  green marked sheets:  primarily to be filled by </t>
    </r>
    <r>
      <rPr>
        <b/>
        <sz val="10"/>
        <color theme="1" tint="0.499984740745262"/>
        <rFont val="Verdana"/>
        <family val="2"/>
      </rPr>
      <t>software</t>
    </r>
    <r>
      <rPr>
        <sz val="10"/>
        <color theme="1" tint="0.499984740745262"/>
        <rFont val="Verdana"/>
        <family val="2"/>
      </rPr>
      <t xml:space="preserve"> designer / developer</t>
    </r>
  </si>
  <si>
    <t xml:space="preserve">assumption, tbc    </t>
  </si>
  <si>
    <t>inertia of worm wheel</t>
  </si>
  <si>
    <t>inertia of belt wheel and KGT</t>
  </si>
  <si>
    <t>example: index-sensor
   index-offset: ± 3°  (to mech. center of gear)
   reproducability steering angle (0°): ± 2°
  --&gt; possible offset iSAS - rackcenter: 5°
example: external SA-sensor
   ext.SAS offset to straight ahead of veh.: ± 4°
   reproducability steering angle (0°): ± 2°
   gear offset in vehicle: ± 0.7mm --&gt; ~4°
  --&gt; possible offset eSAS - rackcenter: 10°</t>
  </si>
  <si>
    <t>example: index-sensor
   - depends on init-routines
   - should be max. 1/2 index width --&gt; 8°
example: external SA-sensor
   deviations due to:
   - cardanic error
   - torsion of column (dep. on load)
   - play / tension in gear
   - data age / signal run time</t>
  </si>
  <si>
    <t>xRpSync_TorsionRpsFactor_XDU16</t>
  </si>
  <si>
    <t>Factor to correct detected index edge position, depending on torsionbar twist (only DMS6)</t>
  </si>
  <si>
    <t xml:space="preserve"> --&gt; mechanical parameter from the mechanical design, that has to be tuned</t>
  </si>
  <si>
    <t xml:space="preserve">enable resynchronization of intSA to extSAS </t>
  </si>
  <si>
    <t>RP_CHKIDXRNG</t>
  </si>
  <si>
    <t>enable / disable timeout supervision of external reference signal (e.g. external sensor)</t>
  </si>
  <si>
    <t>use value from LuT at 360°SA (DMS5) or 180° (DMS6)</t>
  </si>
  <si>
    <t>inertia of rotor shaft + kgt /wormwheel / …</t>
  </si>
  <si>
    <t>running in 10ms Task</t>
  </si>
  <si>
    <t>running in 1ms Task</t>
  </si>
  <si>
    <t>inertia of rotor shaft</t>
  </si>
  <si>
    <t xml:space="preserve">   additional inertias of rotor shaft</t>
  </si>
  <si>
    <t>expanded inertia of rotor shaft, incl. additional inertias of rotor shaft</t>
  </si>
  <si>
    <t>merged and reduced inertia (to rotor shaft)</t>
  </si>
  <si>
    <t>limitation of generated motor torque in HwLib</t>
  </si>
  <si>
    <t xml:space="preserve">Maximum allowed deviation from internal to external steering angle, depending on steering speed </t>
  </si>
  <si>
    <t xml:space="preserve">   - select tolerance for LuT of steering angle (cell Z42)</t>
  </si>
  <si>
    <t xml:space="preserve">   - vary tolerance for xsyInvSteeringRatioVarFact_XAU16 (cell Y86) and recalculate tables 
       until the resulting number of sample points is 13 for this LuT, or the accuracy is sufficient</t>
  </si>
  <si>
    <t>jsyInvSteeringRatioAtCenter_XDU16</t>
  </si>
  <si>
    <t>transmission ratio from rotor shaft to steering column (at center position of gear)</t>
  </si>
  <si>
    <t>gear ratio (column --&gt; motor shaft) at center of gear</t>
  </si>
  <si>
    <t>revMot/revKgt</t>
  </si>
  <si>
    <t>Nm/°SA</t>
  </si>
  <si>
    <r>
      <rPr>
        <sz val="10"/>
        <rFont val="Arial"/>
        <family val="2"/>
      </rPr>
      <t>±</t>
    </r>
    <r>
      <rPr>
        <sz val="10"/>
        <rFont val="Verdana"/>
        <family val="2"/>
      </rPr>
      <t>°SA</t>
    </r>
  </si>
  <si>
    <t>mm/SWR</t>
  </si>
  <si>
    <t>maximum allowed motor torque in steering system, that will not damage the steering gear</t>
  </si>
  <si>
    <t>- in case of i-var: sheet Steering Ratio has to be filled in and calculated before Sys-kon is generated</t>
  </si>
  <si>
    <t>but to ensure consistency of data, it is recommended to do calculation of tables (button)</t>
  </si>
  <si>
    <t>most of the cells, that do not need to be changed by the user, are locked to prevent unwanted
changes; if you want to change them, remove the sheet protection.</t>
  </si>
  <si>
    <t>Alteration Calculation / Worm Wheel Damage   -   Woehler Characteristics</t>
  </si>
  <si>
    <t>Configuration of classes</t>
  </si>
  <si>
    <t>Startclass - For SCU with +/- 5 Nm MMot -&gt; 105Nm WormWheelTorque (WWT)</t>
  </si>
  <si>
    <t>Startclass for impact mode</t>
  </si>
  <si>
    <t>Wormwheel parameters</t>
  </si>
  <si>
    <t>Efficiency of WormWheel during Rotational-Loads</t>
  </si>
  <si>
    <t>copied from MechanicalData</t>
  </si>
  <si>
    <t>Efficiency of WormWheel during Impact-Loads</t>
  </si>
  <si>
    <t>Transmission ratio of wormwheel - worm</t>
  </si>
  <si>
    <t>1/K</t>
  </si>
  <si>
    <t>°C</t>
  </si>
  <si>
    <t>Wormwheel temperature calculation</t>
  </si>
  <si>
    <t>Substitude temperature, if temperature signal is invalid (e.g. both temp. sensors out of order)</t>
  </si>
  <si>
    <t>worm gear temperature gradient a; factor to temperature from sensors in ECU</t>
  </si>
  <si>
    <t>worm gear temperature offset b; offset is added to temperature from sensors in ECU</t>
  </si>
  <si>
    <t>filter factor for calculated wormwheel temperature (PT1)</t>
  </si>
  <si>
    <t>Tuning parameters</t>
  </si>
  <si>
    <t>Damage threshold, beyond which in subsequent ignition cycles no longer assistance will be provided</t>
  </si>
  <si>
    <t>SwitchOffLimit</t>
  </si>
  <si>
    <t>Damage threshold, beyond which the warn lamp is enabled</t>
  </si>
  <si>
    <t>WarnLampLimit</t>
  </si>
  <si>
    <t>maximum damage, which should be displayed (must be scaled in a 64bit integer variable)</t>
  </si>
  <si>
    <t>MAX_DAMAGE</t>
  </si>
  <si>
    <t>Scaling factor for the storage of damage values in 64bit-integer</t>
  </si>
  <si>
    <t>ScaleFactor</t>
  </si>
  <si>
    <t>Temperature sample points</t>
  </si>
  <si>
    <t>-70 .. 185</t>
  </si>
  <si>
    <t>to be tuned in VBA-code (array)</t>
  </si>
  <si>
    <t>SwitchOffLimitHigh</t>
  </si>
  <si>
    <t>zOvrLdProt_SwitchOffCounterHigh32_XDU32</t>
  </si>
  <si>
    <t>SwitchOffLimitLow</t>
  </si>
  <si>
    <t>zOvrLdProt_SwitchOffCounterLow32_XDU32</t>
  </si>
  <si>
    <t>WarnLampLimitHigh</t>
  </si>
  <si>
    <t>WarnLampLimitLow</t>
  </si>
  <si>
    <t>Hysteresis, to filter wormwheel torque before damage calculation is done (search for turning points)</t>
  </si>
  <si>
    <t>Offset on upper turning points to compensate for rounding errors</t>
  </si>
  <si>
    <t>reciprocal class width</t>
  </si>
  <si>
    <t>1/Nm</t>
  </si>
  <si>
    <t>mean stress sensitivity</t>
  </si>
  <si>
    <t>mean stress sensitivity for impact</t>
  </si>
  <si>
    <t>maximum amount of process loops when dissolving residuum</t>
  </si>
  <si>
    <t>Filter factor for LimitedMotorTorque (PT1 as FOC model)</t>
  </si>
  <si>
    <t>Filter factor for calculation of rotor acceleration from rotor angle (PT1)</t>
  </si>
  <si>
    <t>Filter factor for Impact torque before decision impact / rotational (PT1)</t>
  </si>
  <si>
    <t>Filter factor for wormwheeltorque when impact damage (PT1)</t>
  </si>
  <si>
    <t>Filter factor for wormwheeltorque when rotational damage (PT1)</t>
  </si>
  <si>
    <t>threshold of rotorspeed to activate deadzone; below this value the latest rotor speed value is beeing used</t>
  </si>
  <si>
    <t>threshold of motortorque for transition in efficiency (motor mode / regenerative mode)</t>
  </si>
  <si>
    <t>threshold of rotorspeed for transition in efficiency (motor mode / regenerative mode)</t>
  </si>
  <si>
    <t>Efficiency wormgear motoric (motor torque --&gt; wormwheel torque)</t>
  </si>
  <si>
    <t>Efficiency wormgear regenerativ (wormwheel torque --&gt; motor torque)</t>
  </si>
  <si>
    <t>7.</t>
  </si>
  <si>
    <t>- press "generate AltCalc-Kon"</t>
  </si>
  <si>
    <t>zOvrLdProt_WarningCounterLow32_XDU32</t>
  </si>
  <si>
    <t>zOvrLdProt_WarningCounterHigh32_XDU32</t>
  </si>
  <si>
    <t>rotational damage: number of grid points (x-values of a Characteristic)</t>
  </si>
  <si>
    <t>impact damage: number of grid points (x-values of a Characteristic)</t>
  </si>
  <si>
    <t>rotational: fatigue limit (Dauerfestigkeit): M0</t>
  </si>
  <si>
    <t>rotational: slope of Woehler-curve: k</t>
  </si>
  <si>
    <t>rotational: temperature coefficient: alpha</t>
  </si>
  <si>
    <t>rotational: limit number of cycles: N0soll</t>
  </si>
  <si>
    <t>rotational: reference temperature: T0</t>
  </si>
  <si>
    <t>impact: slope of Woehler-curve: k</t>
  </si>
  <si>
    <t>impact: fatigue limit (Dauerfestigkeit): M0</t>
  </si>
  <si>
    <t>impact: limit number of cycles: N0soll</t>
  </si>
  <si>
    <t xml:space="preserve">rot: Sad </t>
  </si>
  <si>
    <t>rot: k</t>
  </si>
  <si>
    <t>rot: alpha</t>
  </si>
  <si>
    <t>rot: N0soll;  EPSdp: 149757; EPSc: 135232</t>
  </si>
  <si>
    <t>rot: T0;  EPSdp: 80°C; EPSc: 60°C</t>
  </si>
  <si>
    <t xml:space="preserve">imp: Sad </t>
  </si>
  <si>
    <t>imp: k</t>
  </si>
  <si>
    <t>imp: N0soll</t>
  </si>
  <si>
    <t>rotational damage limit at which a steering breaks down with a 50% chance</t>
  </si>
  <si>
    <t>impact damage limit at which a steering breaks down with a 50% chance</t>
  </si>
  <si>
    <t>rotational damage will be increased by this value in case of data loss</t>
  </si>
  <si>
    <t>impact    damage will be increased by this value in case of data loss</t>
  </si>
  <si>
    <t>rot: DefaultDamage</t>
  </si>
  <si>
    <t>imp: DefaultDamage</t>
  </si>
  <si>
    <t>rot: break down damage (50% likely)</t>
  </si>
  <si>
    <t>imp: break down damage (50% likely)</t>
  </si>
  <si>
    <t>Classwidth</t>
  </si>
  <si>
    <t>Rotational: DefaultDamage</t>
  </si>
  <si>
    <t>Impact: DefaultDamage (regenerative mode)</t>
  </si>
  <si>
    <t>yLdTrk_WormWheelImpDamageDefault_XDF32</t>
  </si>
  <si>
    <t>yLdTrk_WormWheelRotDamageDefault_XDF32</t>
  </si>
  <si>
    <t>cLdTrk_SubstTemp_XDU8</t>
  </si>
  <si>
    <t>yLdTrk_MaxLoopCount_XDU8</t>
  </si>
  <si>
    <t>xLdTrk_FilterFactTempWorm_XDU16</t>
  </si>
  <si>
    <t>xLdTrk_GradLine_XDU16</t>
  </si>
  <si>
    <t>cLdTrk_OffsetLine_XDS16</t>
  </si>
  <si>
    <t>mLdTrk_HysteresisSchlepAreaWorm_XDU16</t>
  </si>
  <si>
    <t>mLdTrk_ClassOffsetWorm_XDU16</t>
  </si>
  <si>
    <t>mLdTrk_StartClassWormRot_XDU16</t>
  </si>
  <si>
    <t>mLdTrk_StartClassWormImp_XDU16</t>
  </si>
  <si>
    <t>mLdTrk_InvClassWidthWorm_XDU16</t>
  </si>
  <si>
    <t>xLdTrk_MeanStressSensitivityRot_XDF32</t>
  </si>
  <si>
    <t>xLdTrk_MeanStressSensitivityImp_XDF32</t>
  </si>
  <si>
    <t>xLdTrk_EfficiencyWormWheelRot_XDU16</t>
  </si>
  <si>
    <t>xLdTrk_EfficiencyWormWheelImp_XDU16</t>
  </si>
  <si>
    <t>xLdTrk_TransmissionWormWheel_XDU16</t>
  </si>
  <si>
    <t>xLdTrk_RefRotorVelocity_XDU16</t>
  </si>
  <si>
    <t>xLdTrk_RefMotorTorque_XDU16</t>
  </si>
  <si>
    <t>xLdTrk_ImpactTorqueFilterFact_XDU16</t>
  </si>
  <si>
    <t>xLdTrk_WWT4RotationalDamageFilterFact_XDU16</t>
  </si>
  <si>
    <t>xLdTrk_WWT4ImpactDamageFilterFact_XDU16</t>
  </si>
  <si>
    <t>xLdTrk_RotAccFilterFact_XDU16</t>
  </si>
  <si>
    <t>xLdTrk_Treshold4RotSpeedDeadZone_XDU16</t>
  </si>
  <si>
    <t>xLdTrk_LimitedMMOTFilterFact_XDU16</t>
  </si>
  <si>
    <t>xRpSync_ExtSasDelayFactor_XDU8</t>
  </si>
  <si>
    <t>tRpSync_ExtSasCycletime_XDU16</t>
  </si>
  <si>
    <t>ratio of data age of external stering angle signal to msg time</t>
  </si>
  <si>
    <t>cycle time of external stering angle signal</t>
  </si>
  <si>
    <t>RP_USE_CENTEREXACTINIT</t>
  </si>
  <si>
    <t>RP_USE_CENTEREXACTLEARN</t>
  </si>
  <si>
    <t>allow learning of exactly synchronization of SA-rotpos offest only near center</t>
  </si>
  <si>
    <t xml:space="preserve">allow exactly synchronizations of SA by NVRam rotpos offest only near center </t>
  </si>
  <si>
    <t xml:space="preserve">also generated: yLdTrk_TempNdWormRot_XAF32 </t>
  </si>
  <si>
    <t>also generated: yLdTrk_DamageTabWormRot_XAF32</t>
  </si>
  <si>
    <t>also generated: yLdTrk_TempNdWormImp_XDF32</t>
  </si>
  <si>
    <t>also generated: yLdTrk_DamageTabWormImp_XAF32</t>
  </si>
  <si>
    <t>remark: Tab is only visible if DP / EPSc / SinglePinion is selected</t>
  </si>
  <si>
    <t>Load Tracking</t>
  </si>
  <si>
    <t>i-const selected in MechanicalData</t>
    <phoneticPr fontId="122" type="noConversion"/>
  </si>
  <si>
    <t>i-const</t>
    <phoneticPr fontId="122" type="noConversion"/>
  </si>
  <si>
    <t>建议添加5%波动</t>
    <phoneticPr fontId="122" type="noConversion"/>
  </si>
  <si>
    <r>
      <t>?</t>
    </r>
    <r>
      <rPr>
        <sz val="10"/>
        <rFont val="宋体"/>
        <family val="3"/>
        <charset val="134"/>
      </rPr>
      <t>计算值</t>
    </r>
    <r>
      <rPr>
        <sz val="10"/>
        <rFont val="Verdana"/>
        <family val="2"/>
      </rPr>
      <t>~</t>
    </r>
    <r>
      <rPr>
        <sz val="10"/>
        <rFont val="宋体"/>
        <family val="3"/>
        <charset val="134"/>
      </rPr>
      <t>制造装配会产生一定误差，后期</t>
    </r>
    <r>
      <rPr>
        <sz val="10"/>
        <rFont val="Verdana"/>
        <family val="2"/>
      </rPr>
      <t>NES</t>
    </r>
    <r>
      <rPr>
        <sz val="10"/>
        <rFont val="宋体"/>
        <family val="3"/>
        <charset val="134"/>
      </rPr>
      <t>和</t>
    </r>
    <r>
      <rPr>
        <sz val="10"/>
        <rFont val="Verdana"/>
        <family val="2"/>
      </rPr>
      <t>NET</t>
    </r>
    <r>
      <rPr>
        <sz val="10"/>
        <rFont val="宋体"/>
        <family val="3"/>
        <charset val="134"/>
      </rPr>
      <t>基于实际状态进行修正。理论计算</t>
    </r>
    <r>
      <rPr>
        <sz val="10"/>
        <rFont val="Verdana"/>
        <family val="2"/>
      </rPr>
      <t>~</t>
    </r>
    <phoneticPr fontId="122" type="noConversion"/>
  </si>
  <si>
    <t>建议沿用该值</t>
    <phoneticPr fontId="122" type="noConversion"/>
  </si>
  <si>
    <t>查电机图纸</t>
    <phoneticPr fontId="122" type="noConversion"/>
  </si>
  <si>
    <t>建议15°
可选10°
根基整车实际的情况而定。</t>
    <phoneticPr fontId="122" type="noConversion"/>
  </si>
  <si>
    <r>
      <rPr>
        <sz val="10"/>
        <rFont val="宋体"/>
        <family val="3"/>
        <charset val="134"/>
      </rPr>
      <t>建议7</t>
    </r>
    <r>
      <rPr>
        <sz val="10"/>
        <rFont val="Verdana"/>
        <family val="2"/>
      </rPr>
      <t xml:space="preserve">°
</t>
    </r>
    <r>
      <rPr>
        <sz val="10"/>
        <rFont val="宋体"/>
        <family val="3"/>
        <charset val="134"/>
      </rPr>
      <t>可选8</t>
    </r>
    <r>
      <rPr>
        <sz val="10"/>
        <rFont val="Verdana"/>
        <family val="2"/>
      </rPr>
      <t>°</t>
    </r>
    <phoneticPr fontId="122" type="noConversion"/>
  </si>
  <si>
    <t>电机轴-hub-蜗杆-涡轮
与载荷有关系，载荷越高效率越高。
根据NET的实测确定，暂定建议0.89。</t>
    <phoneticPr fontId="122" type="noConversion"/>
  </si>
  <si>
    <r>
      <rPr>
        <sz val="10"/>
        <rFont val="宋体"/>
        <family val="3"/>
        <charset val="134"/>
      </rPr>
      <t>逆向效率：电机轴</t>
    </r>
    <r>
      <rPr>
        <sz val="10"/>
        <rFont val="Verdana"/>
        <family val="2"/>
      </rPr>
      <t>-hub-</t>
    </r>
    <r>
      <rPr>
        <sz val="10"/>
        <rFont val="宋体"/>
        <family val="3"/>
        <charset val="134"/>
      </rPr>
      <t>蜗杆</t>
    </r>
    <r>
      <rPr>
        <sz val="10"/>
        <rFont val="Verdana"/>
        <family val="2"/>
      </rPr>
      <t>-</t>
    </r>
    <r>
      <rPr>
        <sz val="10"/>
        <rFont val="宋体"/>
        <family val="3"/>
        <charset val="134"/>
      </rPr>
      <t>涡轮</t>
    </r>
    <phoneticPr fontId="122" type="noConversion"/>
  </si>
  <si>
    <r>
      <rPr>
        <sz val="10"/>
        <rFont val="宋体"/>
        <family val="3"/>
        <charset val="134"/>
      </rPr>
      <t>与</t>
    </r>
    <r>
      <rPr>
        <sz val="10"/>
        <rFont val="Verdana"/>
        <family val="2"/>
      </rPr>
      <t>NES</t>
    </r>
    <r>
      <rPr>
        <sz val="10"/>
        <rFont val="宋体"/>
        <family val="3"/>
        <charset val="134"/>
      </rPr>
      <t>强相关，建议与tuning结果而定，暂定此参数0.85</t>
    </r>
    <phoneticPr fontId="122" type="noConversion"/>
  </si>
  <si>
    <t>暂理解为齿轮齿条传动比</t>
    <phoneticPr fontId="122" type="noConversion"/>
  </si>
  <si>
    <t>固定齿条，方向盘输出扭矩，电机提供最大扭矩，电机转子的角度为100°</t>
    <phoneticPr fontId="122" type="noConversion"/>
  </si>
  <si>
    <t>corresponds to ~5°SA from LuT, in center</t>
    <phoneticPr fontId="122" type="noConversion"/>
  </si>
  <si>
    <t>corresponds to ~7°SA from LuT, in center</t>
    <phoneticPr fontId="122" type="noConversion"/>
  </si>
  <si>
    <t>corresponds to ~3°SA from LuT, in center</t>
    <phoneticPr fontId="122" type="noConversion"/>
  </si>
  <si>
    <t>value can become negative, if belt tension compensation is used</t>
    <phoneticPr fontId="122" type="noConversion"/>
  </si>
  <si>
    <t>ahead from yaw</t>
    <phoneticPr fontId="122" type="noConversion"/>
  </si>
  <si>
    <r>
      <t>?</t>
    </r>
    <r>
      <rPr>
        <sz val="10"/>
        <rFont val="宋体"/>
        <family val="3"/>
        <charset val="134"/>
      </rPr>
      <t>计算值</t>
    </r>
    <r>
      <rPr>
        <sz val="10"/>
        <rFont val="Verdana"/>
        <family val="2"/>
      </rPr>
      <t>~</t>
    </r>
    <r>
      <rPr>
        <sz val="10"/>
        <rFont val="宋体"/>
        <family val="3"/>
        <charset val="134"/>
      </rPr>
      <t>制造装配会产生一定误差，后期</t>
    </r>
    <r>
      <rPr>
        <sz val="10"/>
        <rFont val="Verdana"/>
        <family val="2"/>
      </rPr>
      <t>NES</t>
    </r>
    <r>
      <rPr>
        <sz val="10"/>
        <rFont val="宋体"/>
        <family val="3"/>
        <charset val="134"/>
      </rPr>
      <t>和</t>
    </r>
    <r>
      <rPr>
        <sz val="10"/>
        <rFont val="Verdana"/>
        <family val="2"/>
      </rPr>
      <t>NET</t>
    </r>
    <r>
      <rPr>
        <sz val="10"/>
        <rFont val="宋体"/>
        <family val="3"/>
        <charset val="134"/>
      </rPr>
      <t>基于实际状态进行修正。</t>
    </r>
    <r>
      <rPr>
        <sz val="10"/>
        <rFont val="Verdana"/>
        <family val="2"/>
      </rPr>
      <t>Max6.75°</t>
    </r>
    <phoneticPr fontId="122" type="noConversion"/>
  </si>
  <si>
    <r>
      <rPr>
        <sz val="10"/>
        <rFont val="宋体"/>
        <family val="3"/>
        <charset val="134"/>
      </rPr>
      <t>查图纸</t>
    </r>
    <r>
      <rPr>
        <sz val="10"/>
        <rFont val="Verdana"/>
        <family val="2"/>
      </rPr>
      <t>worm-</t>
    </r>
    <r>
      <rPr>
        <sz val="10"/>
        <rFont val="宋体"/>
        <family val="3"/>
        <charset val="134"/>
      </rPr>
      <t>没查到</t>
    </r>
    <phoneticPr fontId="122" type="noConversion"/>
  </si>
  <si>
    <t>建议默认此参数</t>
    <phoneticPr fontId="122" type="noConversion"/>
  </si>
  <si>
    <t xml:space="preserve"> --&gt; intermediate value</t>
    <phoneticPr fontId="122" type="noConversion"/>
  </si>
  <si>
    <t>assumption, tbc</t>
    <phoneticPr fontId="122" type="noConversion"/>
  </si>
  <si>
    <t>Maximum inaccuracy of internal steering angle if not exactly initialized yet</t>
    <phoneticPr fontId="122" type="noConversion"/>
  </si>
  <si>
    <t>APA</t>
    <phoneticPr fontId="122" type="noConversion"/>
  </si>
  <si>
    <t>reduced inertia of beltwheel (to rotor shaft)</t>
    <phoneticPr fontId="122" type="noConversion"/>
  </si>
  <si>
    <t>xsyInvSteeringRatioVarFact_XAU16</t>
  </si>
  <si>
    <t>xBci_InvSteeringRatioVarFact_XAF32</t>
  </si>
  <si>
    <t>不知道值怎么填</t>
  </si>
  <si>
    <t>表中没有，由generate KON 生成，VOB中有，是否改</t>
  </si>
  <si>
    <t>是否需要关心更改</t>
  </si>
  <si>
    <t>原来：KGT中取值为0，KON中无该变量</t>
  </si>
  <si>
    <t>原来：KGT中取值为1，KON中无该变量</t>
  </si>
  <si>
    <t>原来：KGT中取值为2，KON中无该变量</t>
  </si>
  <si>
    <t>原来：KGT中取值为20，KON中无该变量</t>
  </si>
  <si>
    <t>该值怎么改</t>
  </si>
  <si>
    <t>只存在KGT中，且初值为7，已在RackPos.kon中修正</t>
  </si>
  <si>
    <t>只存在KGT中，且初值为525</t>
  </si>
  <si>
    <t>只存在KGT中，且初值为1000</t>
  </si>
  <si>
    <t>只存在KGT中，且初值为0.79</t>
  </si>
  <si>
    <t>只存在KGT中，且初值为0.27</t>
  </si>
  <si>
    <t>只存在KGT中，且初值为25</t>
  </si>
  <si>
    <t>只存在KGT中，且初值为30</t>
  </si>
  <si>
    <t>只存在KGT中，且初值为0</t>
  </si>
  <si>
    <t>只存在KGT中，且初值为1</t>
  </si>
  <si>
    <t>只存在KGT中，且初值为150</t>
  </si>
  <si>
    <t>只存在KGT中，且初值为0.0012</t>
  </si>
  <si>
    <t>只存在KGT中，且初值为0.1</t>
  </si>
  <si>
    <t>只存在KGT中，且初值为1.5</t>
  </si>
  <si>
    <t>只存在KGT中，且初值为0.02</t>
  </si>
  <si>
    <t>只存在KGT中，且初值为45</t>
  </si>
  <si>
    <t>只存在KGT中，且初值为2</t>
  </si>
  <si>
    <t>只存在KGT中，且初值为3.5</t>
  </si>
  <si>
    <t>值与DCM中不一致</t>
  </si>
  <si>
    <t>DCM中没有</t>
  </si>
  <si>
    <t>DCM找不到</t>
  </si>
  <si>
    <t>只存在KGT中,
不知道怎么改</t>
  </si>
  <si>
    <t>DCM找不到，
KGT不编译</t>
  </si>
  <si>
    <t>值与DCM不一致</t>
  </si>
  <si>
    <t>只存在KGT中，且初值为15</t>
  </si>
  <si>
    <t>只存在KGT中，且初值为2000</t>
  </si>
  <si>
    <t>只存在KGT中，且初值为4</t>
  </si>
  <si>
    <t>只存在KGT中，且初值为0.5</t>
  </si>
  <si>
    <t>只存在KGT中，且初值为0.3</t>
  </si>
  <si>
    <t>已在Kon中纠正</t>
  </si>
  <si>
    <t>只存在KGT中，且初值为20</t>
  </si>
  <si>
    <t>只存在KGT中，且初值为0.2</t>
  </si>
  <si>
    <t>只存在KGT中，且初值为3</t>
  </si>
  <si>
    <t>只存在KGT中，且初值为1.07</t>
  </si>
  <si>
    <t>只存在KGT中，且初值为0.93</t>
  </si>
  <si>
    <t>不能取值为0，
与KGT定义冲突</t>
  </si>
  <si>
    <t>取值与KGT中定义冲突</t>
  </si>
  <si>
    <t>mHwlWrapI_MaxMechAllowedTorque_XDF32</t>
  </si>
  <si>
    <t>mBci_MaxAssistanceTorque_XDU16</t>
    <phoneticPr fontId="122" type="noConversion"/>
  </si>
  <si>
    <r>
      <t xml:space="preserve">tuning value must be validated!!
</t>
    </r>
    <r>
      <rPr>
        <sz val="8"/>
        <color rgb="FFFF0000"/>
        <rFont val="宋体"/>
        <family val="3"/>
        <charset val="134"/>
      </rPr>
      <t>表里面有，在</t>
    </r>
    <r>
      <rPr>
        <sz val="8"/>
        <color rgb="FFFF0000"/>
        <rFont val="Verdana"/>
        <family val="2"/>
      </rPr>
      <t>VOB</t>
    </r>
    <r>
      <rPr>
        <sz val="8"/>
        <color rgb="FFFF0000"/>
        <rFont val="宋体"/>
        <family val="3"/>
        <charset val="134"/>
      </rPr>
      <t>中找不到</t>
    </r>
    <r>
      <rPr>
        <sz val="8"/>
        <color rgb="FFFF0000"/>
        <rFont val="Verdana"/>
        <family val="2"/>
      </rPr>
      <t>---</t>
    </r>
    <r>
      <rPr>
        <sz val="8"/>
        <color rgb="FFFF0000"/>
        <rFont val="宋体"/>
        <family val="3"/>
        <charset val="134"/>
      </rPr>
      <t>可忽略</t>
    </r>
    <phoneticPr fontId="122" type="noConversion"/>
  </si>
  <si>
    <t>可忽略</t>
    <phoneticPr fontId="122" type="noConversion"/>
  </si>
  <si>
    <r>
      <rPr>
        <sz val="10"/>
        <color rgb="FFFF0000"/>
        <rFont val="宋体"/>
        <family val="3"/>
        <charset val="134"/>
      </rPr>
      <t>表里面有，在</t>
    </r>
    <r>
      <rPr>
        <sz val="10"/>
        <color rgb="FFFF0000"/>
        <rFont val="Verdana"/>
        <family val="2"/>
      </rPr>
      <t>VOB</t>
    </r>
    <r>
      <rPr>
        <sz val="10"/>
        <color rgb="FFFF0000"/>
        <rFont val="宋体"/>
        <family val="3"/>
        <charset val="134"/>
      </rPr>
      <t>中找不到</t>
    </r>
    <r>
      <rPr>
        <sz val="10"/>
        <color rgb="FFFF0000"/>
        <rFont val="Verdana"/>
        <family val="2"/>
      </rPr>
      <t/>
    </r>
    <phoneticPr fontId="122" type="noConversion"/>
  </si>
  <si>
    <r>
      <rPr>
        <sz val="10"/>
        <rFont val="宋体"/>
        <family val="3"/>
        <charset val="134"/>
      </rPr>
      <t>用</t>
    </r>
    <r>
      <rPr>
        <sz val="10"/>
        <rFont val="Verdana"/>
        <family val="2"/>
      </rPr>
      <t>mBci_MaxAssistanceTorque_XDU16</t>
    </r>
    <r>
      <rPr>
        <sz val="10"/>
        <rFont val="宋体"/>
        <family val="3"/>
        <charset val="134"/>
      </rPr>
      <t>参数代替（</t>
    </r>
    <r>
      <rPr>
        <sz val="10"/>
        <rFont val="Verdana"/>
        <family val="2"/>
      </rPr>
      <t>7.7Nm</t>
    </r>
    <r>
      <rPr>
        <sz val="10"/>
        <rFont val="宋体"/>
        <family val="3"/>
        <charset val="134"/>
      </rPr>
      <t>）</t>
    </r>
    <phoneticPr fontId="122" type="noConversion"/>
  </si>
  <si>
    <t>不需更改，默认值即可</t>
    <phoneticPr fontId="122" type="noConversion"/>
  </si>
  <si>
    <t>inertia of rotor shaft</t>
    <phoneticPr fontId="122" type="noConversion"/>
  </si>
  <si>
    <t xml:space="preserve">   additional inertias of rotor shaft</t>
    <phoneticPr fontId="122" type="noConversion"/>
  </si>
  <si>
    <t>depends on nApplI_AbsRotorSpeedFilt_xdu16
! LuT value not included in generated ES konserve.</t>
    <phoneticPr fontId="122" type="noConversion"/>
  </si>
  <si>
    <t>mEndStop_SpringTorque_XAS16</t>
    <phoneticPr fontId="122" type="noConversion"/>
  </si>
  <si>
    <r>
      <rPr>
        <sz val="8"/>
        <color rgb="FFFF0000"/>
        <rFont val="宋体"/>
        <family val="3"/>
        <charset val="134"/>
      </rPr>
      <t>原来：</t>
    </r>
    <r>
      <rPr>
        <sz val="8"/>
        <color rgb="FFFF0000"/>
        <rFont val="Verdana"/>
        <family val="2"/>
      </rPr>
      <t>KGT</t>
    </r>
    <r>
      <rPr>
        <sz val="8"/>
        <color rgb="FFFF0000"/>
        <rFont val="宋体"/>
        <family val="3"/>
        <charset val="134"/>
      </rPr>
      <t>中取值为</t>
    </r>
    <r>
      <rPr>
        <sz val="8"/>
        <color rgb="FFFF0000"/>
        <rFont val="Verdana"/>
        <family val="2"/>
      </rPr>
      <t>1</t>
    </r>
    <r>
      <rPr>
        <sz val="8"/>
        <color rgb="FFFF0000"/>
        <rFont val="宋体"/>
        <family val="3"/>
        <charset val="134"/>
      </rPr>
      <t xml:space="preserve">，
</t>
    </r>
    <r>
      <rPr>
        <sz val="8"/>
        <color rgb="FFFF0000"/>
        <rFont val="Verdana"/>
        <family val="2"/>
      </rPr>
      <t>KON</t>
    </r>
    <r>
      <rPr>
        <sz val="8"/>
        <color rgb="FFFF0000"/>
        <rFont val="宋体"/>
        <family val="3"/>
        <charset val="134"/>
      </rPr>
      <t>中无该变量</t>
    </r>
    <phoneticPr fontId="122" type="noConversion"/>
  </si>
  <si>
    <r>
      <rPr>
        <sz val="8"/>
        <color rgb="FFFF0000"/>
        <rFont val="宋体"/>
        <family val="3"/>
        <charset val="134"/>
      </rPr>
      <t>原来：</t>
    </r>
    <r>
      <rPr>
        <sz val="8"/>
        <color rgb="FFFF0000"/>
        <rFont val="Verdana"/>
        <family val="2"/>
      </rPr>
      <t>KGT</t>
    </r>
    <r>
      <rPr>
        <sz val="8"/>
        <color rgb="FFFF0000"/>
        <rFont val="宋体"/>
        <family val="3"/>
        <charset val="134"/>
      </rPr>
      <t>中取值为</t>
    </r>
    <r>
      <rPr>
        <sz val="8"/>
        <color rgb="FFFF0000"/>
        <rFont val="Verdana"/>
        <family val="2"/>
      </rPr>
      <t>100</t>
    </r>
    <r>
      <rPr>
        <sz val="8"/>
        <color rgb="FFFF0000"/>
        <rFont val="宋体"/>
        <family val="3"/>
        <charset val="134"/>
      </rPr>
      <t>，</t>
    </r>
    <r>
      <rPr>
        <sz val="8"/>
        <color rgb="FFFF0000"/>
        <rFont val="Verdana"/>
        <family val="2"/>
      </rPr>
      <t>KON</t>
    </r>
    <r>
      <rPr>
        <sz val="8"/>
        <color rgb="FFFF0000"/>
        <rFont val="宋体"/>
        <family val="3"/>
        <charset val="134"/>
      </rPr>
      <t>中无该变量</t>
    </r>
    <phoneticPr fontId="122" type="noConversion"/>
  </si>
  <si>
    <r>
      <rPr>
        <sz val="8"/>
        <color rgb="FFFF0000"/>
        <rFont val="宋体"/>
        <family val="3"/>
        <charset val="134"/>
      </rPr>
      <t>原来：</t>
    </r>
    <r>
      <rPr>
        <sz val="8"/>
        <color rgb="FFFF0000"/>
        <rFont val="Verdana"/>
        <family val="2"/>
      </rPr>
      <t>KGT</t>
    </r>
    <r>
      <rPr>
        <sz val="8"/>
        <color rgb="FFFF0000"/>
        <rFont val="宋体"/>
        <family val="3"/>
        <charset val="134"/>
      </rPr>
      <t>中取值为</t>
    </r>
    <r>
      <rPr>
        <sz val="8"/>
        <color rgb="FFFF0000"/>
        <rFont val="Verdana"/>
        <family val="2"/>
      </rPr>
      <t>0.1</t>
    </r>
    <r>
      <rPr>
        <sz val="8"/>
        <color rgb="FFFF0000"/>
        <rFont val="宋体"/>
        <family val="3"/>
        <charset val="134"/>
      </rPr>
      <t>，</t>
    </r>
    <r>
      <rPr>
        <sz val="8"/>
        <color rgb="FFFF0000"/>
        <rFont val="Verdana"/>
        <family val="2"/>
      </rPr>
      <t>KON</t>
    </r>
    <r>
      <rPr>
        <sz val="8"/>
        <color rgb="FFFF0000"/>
        <rFont val="宋体"/>
        <family val="3"/>
        <charset val="134"/>
      </rPr>
      <t>中无该变量。
现在：已在</t>
    </r>
    <r>
      <rPr>
        <sz val="8"/>
        <color rgb="FFFF0000"/>
        <rFont val="Verdana"/>
        <family val="2"/>
      </rPr>
      <t>Kon</t>
    </r>
    <r>
      <rPr>
        <sz val="8"/>
        <color rgb="FFFF0000"/>
        <rFont val="宋体"/>
        <family val="3"/>
        <charset val="134"/>
      </rPr>
      <t>中加入，并改值</t>
    </r>
    <phoneticPr fontId="122" type="noConversion"/>
  </si>
  <si>
    <t>nEndStop_oRotSpeedLearn_XDU16</t>
    <phoneticPr fontId="122" type="noConversion"/>
  </si>
  <si>
    <r>
      <rPr>
        <sz val="8"/>
        <color rgb="FFFF0000"/>
        <rFont val="宋体"/>
        <family val="3"/>
        <charset val="134"/>
      </rPr>
      <t>原来：</t>
    </r>
    <r>
      <rPr>
        <sz val="8"/>
        <color rgb="FFFF0000"/>
        <rFont val="Verdana"/>
        <family val="2"/>
      </rPr>
      <t>KGT</t>
    </r>
    <r>
      <rPr>
        <sz val="8"/>
        <color rgb="FFFF0000"/>
        <rFont val="宋体"/>
        <family val="3"/>
        <charset val="134"/>
      </rPr>
      <t>中取值为</t>
    </r>
    <r>
      <rPr>
        <sz val="8"/>
        <color rgb="FFFF0000"/>
        <rFont val="Verdana"/>
        <family val="2"/>
      </rPr>
      <t>2000</t>
    </r>
    <r>
      <rPr>
        <sz val="8"/>
        <color rgb="FFFF0000"/>
        <rFont val="宋体"/>
        <family val="3"/>
        <charset val="134"/>
      </rPr>
      <t>，</t>
    </r>
    <r>
      <rPr>
        <sz val="8"/>
        <color rgb="FFFF0000"/>
        <rFont val="Verdana"/>
        <family val="2"/>
      </rPr>
      <t>KON</t>
    </r>
    <r>
      <rPr>
        <sz val="8"/>
        <color rgb="FFFF0000"/>
        <rFont val="宋体"/>
        <family val="3"/>
        <charset val="134"/>
      </rPr>
      <t>中无该变量</t>
    </r>
    <phoneticPr fontId="122" type="noConversion"/>
  </si>
  <si>
    <r>
      <rPr>
        <sz val="8"/>
        <color rgb="FFFF0000"/>
        <rFont val="宋体"/>
        <family val="3"/>
        <charset val="134"/>
      </rPr>
      <t>不知道明确的应该集成的数字</t>
    </r>
    <phoneticPr fontId="122" type="noConversion"/>
  </si>
  <si>
    <r>
      <rPr>
        <b/>
        <sz val="10"/>
        <color rgb="FFFF0000"/>
        <rFont val="宋体"/>
        <family val="3"/>
        <charset val="134"/>
      </rPr>
      <t>只能在</t>
    </r>
    <r>
      <rPr>
        <b/>
        <sz val="10"/>
        <color rgb="FFFF0000"/>
        <rFont val="Verdana"/>
        <family val="2"/>
      </rPr>
      <t>KGT</t>
    </r>
    <r>
      <rPr>
        <b/>
        <sz val="10"/>
        <color rgb="FFFF0000"/>
        <rFont val="宋体"/>
        <family val="3"/>
        <charset val="134"/>
      </rPr>
      <t>中找到，在</t>
    </r>
    <r>
      <rPr>
        <b/>
        <sz val="10"/>
        <color rgb="FFFF0000"/>
        <rFont val="Verdana"/>
        <family val="2"/>
      </rPr>
      <t>KON</t>
    </r>
    <r>
      <rPr>
        <b/>
        <sz val="10"/>
        <color rgb="FFFF0000"/>
        <rFont val="宋体"/>
        <family val="3"/>
        <charset val="134"/>
      </rPr>
      <t>里面看不到</t>
    </r>
    <phoneticPr fontId="122" type="noConversion"/>
  </si>
  <si>
    <t>msyMaxMechanicalAllowedTorque_XDU16</t>
    <phoneticPr fontId="122" type="noConversion"/>
  </si>
  <si>
    <r>
      <rPr>
        <sz val="10"/>
        <color rgb="FFFF0000"/>
        <rFont val="宋体"/>
        <family val="3"/>
        <charset val="134"/>
      </rPr>
      <t>表里面有，在</t>
    </r>
    <r>
      <rPr>
        <sz val="10"/>
        <color rgb="FFFF0000"/>
        <rFont val="Verdana"/>
        <family val="2"/>
      </rPr>
      <t>VOB</t>
    </r>
    <r>
      <rPr>
        <sz val="10"/>
        <color rgb="FFFF0000"/>
        <rFont val="宋体"/>
        <family val="3"/>
        <charset val="134"/>
      </rPr>
      <t>中找不到</t>
    </r>
    <r>
      <rPr>
        <sz val="10"/>
        <color rgb="FFFF0000"/>
        <rFont val="Verdana"/>
        <family val="2"/>
      </rPr>
      <t/>
    </r>
    <phoneticPr fontId="122" type="noConversion"/>
  </si>
  <si>
    <t>Maximum assistance torque for calculation of assistance characteristic curve</t>
    <phoneticPr fontId="122" type="noConversion"/>
  </si>
  <si>
    <r>
      <rPr>
        <sz val="10"/>
        <color rgb="FFFF0000"/>
        <rFont val="宋体"/>
        <family val="3"/>
        <charset val="134"/>
      </rPr>
      <t>表里面有，在</t>
    </r>
    <r>
      <rPr>
        <sz val="10"/>
        <color rgb="FFFF0000"/>
        <rFont val="Verdana"/>
        <family val="2"/>
      </rPr>
      <t>VOB</t>
    </r>
    <r>
      <rPr>
        <sz val="10"/>
        <color rgb="FFFF0000"/>
        <rFont val="宋体"/>
        <family val="3"/>
        <charset val="134"/>
      </rPr>
      <t>中找不到</t>
    </r>
    <phoneticPr fontId="122" type="noConversion"/>
  </si>
  <si>
    <t>0 ..12</t>
    <phoneticPr fontId="122" type="noConversion"/>
  </si>
  <si>
    <t>xEndStop_Damping_XAS16
mEndStop_SpringTorque_XAS16</t>
    <phoneticPr fontId="122" type="noConversion"/>
  </si>
  <si>
    <t>上一个值在这个范围内</t>
    <phoneticPr fontId="122" type="noConversion"/>
  </si>
  <si>
    <r>
      <t>KGT</t>
    </r>
    <r>
      <rPr>
        <sz val="8"/>
        <color rgb="FFFF0000"/>
        <rFont val="宋体"/>
        <family val="3"/>
        <charset val="134"/>
      </rPr>
      <t>中取值为</t>
    </r>
    <r>
      <rPr>
        <sz val="8"/>
        <color rgb="FFFF0000"/>
        <rFont val="Verdana"/>
        <family val="2"/>
      </rPr>
      <t>0</t>
    </r>
    <r>
      <rPr>
        <sz val="8"/>
        <color rgb="FFFF0000"/>
        <rFont val="宋体"/>
        <family val="3"/>
        <charset val="134"/>
      </rPr>
      <t>，</t>
    </r>
    <r>
      <rPr>
        <sz val="8"/>
        <color rgb="FFFF0000"/>
        <rFont val="Verdana"/>
        <family val="2"/>
      </rPr>
      <t>KON</t>
    </r>
    <r>
      <rPr>
        <sz val="8"/>
        <color rgb="FFFF0000"/>
        <rFont val="宋体"/>
        <family val="3"/>
        <charset val="134"/>
      </rPr>
      <t>中无该变量</t>
    </r>
    <phoneticPr fontId="122" type="noConversion"/>
  </si>
  <si>
    <t>如何改该值？</t>
    <phoneticPr fontId="122" type="noConversion"/>
  </si>
  <si>
    <t>assumption</t>
    <phoneticPr fontId="122" type="noConversion"/>
  </si>
  <si>
    <t>to exclude learning when high dynamic was given …</t>
    <phoneticPr fontId="122" type="noConversion"/>
  </si>
  <si>
    <t>该值需要改么</t>
    <phoneticPr fontId="122" type="noConversion"/>
  </si>
  <si>
    <r>
      <rPr>
        <sz val="8"/>
        <color rgb="FFFF0000"/>
        <rFont val="宋体"/>
        <family val="3"/>
        <charset val="134"/>
      </rPr>
      <t>原来：</t>
    </r>
    <r>
      <rPr>
        <sz val="8"/>
        <color rgb="FFFF0000"/>
        <rFont val="Verdana"/>
        <family val="2"/>
      </rPr>
      <t>KGT</t>
    </r>
    <r>
      <rPr>
        <sz val="8"/>
        <color rgb="FFFF0000"/>
        <rFont val="宋体"/>
        <family val="3"/>
        <charset val="134"/>
      </rPr>
      <t>中取值为</t>
    </r>
    <r>
      <rPr>
        <sz val="8"/>
        <color rgb="FFFF0000"/>
        <rFont val="Verdana"/>
        <family val="2"/>
      </rPr>
      <t>0.001</t>
    </r>
    <r>
      <rPr>
        <sz val="8"/>
        <color rgb="FFFF0000"/>
        <rFont val="宋体"/>
        <family val="3"/>
        <charset val="134"/>
      </rPr>
      <t>，</t>
    </r>
    <r>
      <rPr>
        <sz val="8"/>
        <color rgb="FFFF0000"/>
        <rFont val="Verdana"/>
        <family val="2"/>
      </rPr>
      <t>KON</t>
    </r>
    <r>
      <rPr>
        <sz val="8"/>
        <color rgb="FFFF0000"/>
        <rFont val="宋体"/>
        <family val="3"/>
        <charset val="134"/>
      </rPr>
      <t>中无该变量</t>
    </r>
    <phoneticPr fontId="122" type="noConversion"/>
  </si>
  <si>
    <r>
      <rPr>
        <sz val="8"/>
        <color rgb="FFFF0000"/>
        <rFont val="宋体"/>
        <family val="3"/>
        <charset val="134"/>
      </rPr>
      <t>原来：</t>
    </r>
    <r>
      <rPr>
        <sz val="8"/>
        <color rgb="FFFF0000"/>
        <rFont val="Verdana"/>
        <family val="2"/>
      </rPr>
      <t>KGT</t>
    </r>
    <r>
      <rPr>
        <sz val="8"/>
        <color rgb="FFFF0000"/>
        <rFont val="宋体"/>
        <family val="3"/>
        <charset val="134"/>
      </rPr>
      <t>中取值为</t>
    </r>
    <r>
      <rPr>
        <sz val="8"/>
        <color rgb="FFFF0000"/>
        <rFont val="Verdana"/>
        <family val="2"/>
      </rPr>
      <t>200</t>
    </r>
    <r>
      <rPr>
        <sz val="8"/>
        <color rgb="FFFF0000"/>
        <rFont val="宋体"/>
        <family val="3"/>
        <charset val="134"/>
      </rPr>
      <t>，</t>
    </r>
    <r>
      <rPr>
        <sz val="8"/>
        <color rgb="FFFF0000"/>
        <rFont val="Verdana"/>
        <family val="2"/>
      </rPr>
      <t>KON</t>
    </r>
    <r>
      <rPr>
        <sz val="8"/>
        <color rgb="FFFF0000"/>
        <rFont val="宋体"/>
        <family val="3"/>
        <charset val="134"/>
      </rPr>
      <t>中无该变量</t>
    </r>
    <phoneticPr fontId="122" type="noConversion"/>
  </si>
  <si>
    <r>
      <rPr>
        <sz val="8"/>
        <color rgb="FFFF0000"/>
        <rFont val="宋体"/>
        <family val="3"/>
        <charset val="134"/>
      </rPr>
      <t>原来：</t>
    </r>
    <r>
      <rPr>
        <sz val="8"/>
        <color rgb="FFFF0000"/>
        <rFont val="Verdana"/>
        <family val="2"/>
      </rPr>
      <t>KGT</t>
    </r>
    <r>
      <rPr>
        <sz val="8"/>
        <color rgb="FFFF0000"/>
        <rFont val="宋体"/>
        <family val="3"/>
        <charset val="134"/>
      </rPr>
      <t>中取值为</t>
    </r>
    <r>
      <rPr>
        <sz val="8"/>
        <color rgb="FFFF0000"/>
        <rFont val="Verdana"/>
        <family val="2"/>
      </rPr>
      <t>1</t>
    </r>
    <r>
      <rPr>
        <sz val="8"/>
        <color rgb="FFFF0000"/>
        <rFont val="宋体"/>
        <family val="3"/>
        <charset val="134"/>
      </rPr>
      <t>，</t>
    </r>
    <r>
      <rPr>
        <sz val="8"/>
        <color rgb="FFFF0000"/>
        <rFont val="Verdana"/>
        <family val="2"/>
      </rPr>
      <t>KON</t>
    </r>
    <r>
      <rPr>
        <sz val="8"/>
        <color rgb="FFFF0000"/>
        <rFont val="宋体"/>
        <family val="3"/>
        <charset val="134"/>
      </rPr>
      <t>中无该变量</t>
    </r>
    <phoneticPr fontId="122" type="noConversion"/>
  </si>
  <si>
    <r>
      <rPr>
        <sz val="8"/>
        <color rgb="FFFF0000"/>
        <rFont val="宋体"/>
        <family val="3"/>
        <charset val="134"/>
      </rPr>
      <t>原来：</t>
    </r>
    <r>
      <rPr>
        <sz val="8"/>
        <color rgb="FFFF0000"/>
        <rFont val="Verdana"/>
        <family val="2"/>
      </rPr>
      <t>KGT</t>
    </r>
    <r>
      <rPr>
        <sz val="8"/>
        <color rgb="FFFF0000"/>
        <rFont val="宋体"/>
        <family val="3"/>
        <charset val="134"/>
      </rPr>
      <t>中取值为</t>
    </r>
    <r>
      <rPr>
        <sz val="8"/>
        <color rgb="FFFF0000"/>
        <rFont val="Verdana"/>
        <family val="2"/>
      </rPr>
      <t>8</t>
    </r>
    <r>
      <rPr>
        <sz val="8"/>
        <color rgb="FFFF0000"/>
        <rFont val="宋体"/>
        <family val="3"/>
        <charset val="134"/>
      </rPr>
      <t>，</t>
    </r>
    <r>
      <rPr>
        <sz val="8"/>
        <color rgb="FFFF0000"/>
        <rFont val="Verdana"/>
        <family val="2"/>
      </rPr>
      <t>KON</t>
    </r>
    <r>
      <rPr>
        <sz val="8"/>
        <color rgb="FFFF0000"/>
        <rFont val="宋体"/>
        <family val="3"/>
        <charset val="134"/>
      </rPr>
      <t>中无该变量。
现在：已在</t>
    </r>
    <r>
      <rPr>
        <sz val="8"/>
        <color rgb="FFFF0000"/>
        <rFont val="Verdana"/>
        <family val="2"/>
      </rPr>
      <t>Kon</t>
    </r>
    <r>
      <rPr>
        <sz val="8"/>
        <color rgb="FFFF0000"/>
        <rFont val="宋体"/>
        <family val="3"/>
        <charset val="134"/>
      </rPr>
      <t>中加入，并改值为</t>
    </r>
    <r>
      <rPr>
        <sz val="8"/>
        <color rgb="FFFF0000"/>
        <rFont val="Verdana"/>
        <family val="2"/>
      </rPr>
      <t>2</t>
    </r>
    <phoneticPr fontId="122" type="noConversion"/>
  </si>
  <si>
    <r>
      <rPr>
        <sz val="8"/>
        <color rgb="FFFF0000"/>
        <rFont val="宋体"/>
        <family val="3"/>
        <charset val="134"/>
      </rPr>
      <t>原来：</t>
    </r>
    <r>
      <rPr>
        <sz val="8"/>
        <color rgb="FFFF0000"/>
        <rFont val="Verdana"/>
        <family val="2"/>
      </rPr>
      <t>KGT</t>
    </r>
    <r>
      <rPr>
        <sz val="8"/>
        <color rgb="FFFF0000"/>
        <rFont val="宋体"/>
        <family val="3"/>
        <charset val="134"/>
      </rPr>
      <t>中取值为</t>
    </r>
    <r>
      <rPr>
        <sz val="8"/>
        <color rgb="FFFF0000"/>
        <rFont val="Verdana"/>
        <family val="2"/>
      </rPr>
      <t>0.006988525390625</t>
    </r>
    <r>
      <rPr>
        <sz val="8"/>
        <color rgb="FFFF0000"/>
        <rFont val="宋体"/>
        <family val="3"/>
        <charset val="134"/>
      </rPr>
      <t>，</t>
    </r>
    <r>
      <rPr>
        <sz val="8"/>
        <color rgb="FFFF0000"/>
        <rFont val="Verdana"/>
        <family val="2"/>
      </rPr>
      <t>KON</t>
    </r>
    <r>
      <rPr>
        <sz val="8"/>
        <color rgb="FFFF0000"/>
        <rFont val="宋体"/>
        <family val="3"/>
        <charset val="134"/>
      </rPr>
      <t>中无该变量</t>
    </r>
    <phoneticPr fontId="122" type="noConversion"/>
  </si>
  <si>
    <t>xEndStop_Damping_XAS16</t>
    <phoneticPr fontId="122" type="noConversion"/>
  </si>
  <si>
    <t>xEndStop_RotSpeedFact_XAU16</t>
    <phoneticPr fontId="122" type="noConversion"/>
  </si>
  <si>
    <t>xEndStop_FadeFactorLimitation_XAU16</t>
    <phoneticPr fontId="122" type="noConversion"/>
  </si>
  <si>
    <t>fEndStop_DisableReactivation_XDU8</t>
    <phoneticPr fontId="122" type="noConversion"/>
  </si>
  <si>
    <t>xEndStop_FadeFactorMotTrq_XAU16</t>
    <phoneticPr fontId="122" type="noConversion"/>
  </si>
  <si>
    <t>Fading factor for oversteerable Endstop 
   0: Limitation to 100% min(MotTrqSum2, MaxRequiredMotorTorque)
   1: Limitiation to 100% MaxRequiredMotorTorque</t>
    <phoneticPr fontId="122" type="noConversion"/>
  </si>
  <si>
    <t>0..1</t>
    <phoneticPr fontId="122" type="noConversion"/>
  </si>
  <si>
    <t>0...0</t>
    <phoneticPr fontId="122" type="noConversion"/>
  </si>
  <si>
    <t>变传动比</t>
    <phoneticPr fontId="122" type="noConversion"/>
  </si>
  <si>
    <t>wRackPo_RotorStiffnessOffset_XAU16</t>
    <phoneticPr fontId="122" type="noConversion"/>
  </si>
  <si>
    <t>allowed angle deviation at index = 1 --&gt; Indexplausi</t>
    <phoneticPr fontId="122" type="noConversion"/>
  </si>
  <si>
    <r>
      <t xml:space="preserve">Additional tolerance for steering angle sensor index plausi at </t>
    </r>
    <r>
      <rPr>
        <sz val="10"/>
        <rFont val="Arial"/>
        <family val="2"/>
      </rPr>
      <t xml:space="preserve">± </t>
    </r>
    <r>
      <rPr>
        <sz val="10"/>
        <rFont val="Verdana"/>
        <family val="2"/>
      </rPr>
      <t>360° steering angle</t>
    </r>
    <phoneticPr fontId="122" type="noConversion"/>
  </si>
  <si>
    <t>allowed tolerance of detected index width towards previously stored value (Nvram)</t>
    <phoneticPr fontId="122" type="noConversion"/>
  </si>
  <si>
    <t>wRpSync_MaxAllowedIdxWidth_XDU16</t>
    <phoneticPr fontId="122" type="noConversion"/>
  </si>
  <si>
    <t>方向盘一圈电机转多少圈</t>
    <phoneticPr fontId="122" type="noConversion"/>
  </si>
  <si>
    <t>wRpSync_MinAllowedIdxHyst_XDS16</t>
    <phoneticPr fontId="122" type="noConversion"/>
  </si>
  <si>
    <t>Minimum index position hysteresis (for all 3 indexes)</t>
    <phoneticPr fontId="122" type="noConversion"/>
  </si>
  <si>
    <t>xsyExpandedRotorInertia_XDU16</t>
    <phoneticPr fontId="122" type="noConversion"/>
  </si>
  <si>
    <t>Anadhya JIRA707 Confirm</t>
    <phoneticPr fontId="12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</si>
</sst>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0.000"/>
    <numFmt numFmtId="165" formatCode="0.00000"/>
    <numFmt numFmtId="166" formatCode="0.0"/>
    <numFmt numFmtId="167" formatCode="0.0000"/>
    <numFmt numFmtId="168" formatCode="0.0000000"/>
    <numFmt numFmtId="169" formatCode="#,##0.0"/>
    <numFmt numFmtId="170" formatCode="0.0000000000000000000000E+00"/>
    <numFmt numFmtId="171" formatCode="0.000000000000000000E+00"/>
  </numFmts>
  <fonts count="130" x14ac:knownFonts="1">
    <font>
      <sz val="10"/>
      <name val="Arial"/>
    </font>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8"/>
      <name val="Arial"/>
      <family val="2"/>
    </font>
    <font>
      <sz val="10"/>
      <name val="Verdana"/>
      <family val="2"/>
    </font>
    <font>
      <b/>
      <sz val="10"/>
      <name val="Verdana"/>
      <family val="2"/>
    </font>
    <font>
      <b/>
      <u/>
      <sz val="10"/>
      <name val="Verdana"/>
      <family val="2"/>
    </font>
    <font>
      <b/>
      <sz val="8"/>
      <color indexed="81"/>
      <name val="Tahoma"/>
      <family val="2"/>
    </font>
    <font>
      <sz val="8"/>
      <color indexed="81"/>
      <name val="Tahoma"/>
      <family val="2"/>
    </font>
    <font>
      <b/>
      <sz val="9"/>
      <color indexed="81"/>
      <name val="Tahoma"/>
      <family val="2"/>
    </font>
    <font>
      <sz val="10"/>
      <name val="Arial"/>
      <family val="2"/>
    </font>
    <font>
      <sz val="11"/>
      <color rgb="FF9C0006"/>
      <name val="Calibri"/>
      <family val="2"/>
      <scheme val="minor"/>
    </font>
    <font>
      <b/>
      <sz val="10"/>
      <color theme="1"/>
      <name val="Arial"/>
      <family val="2"/>
    </font>
    <font>
      <sz val="10"/>
      <color theme="0"/>
      <name val="Arial"/>
      <family val="2"/>
    </font>
    <font>
      <sz val="10"/>
      <color theme="1"/>
      <name val="Verdana"/>
      <family val="2"/>
    </font>
    <font>
      <sz val="10"/>
      <color rgb="FF9C0006"/>
      <name val="Arial"/>
      <family val="2"/>
    </font>
    <font>
      <sz val="11"/>
      <color theme="1"/>
      <name val="Calibri"/>
      <family val="2"/>
      <scheme val="minor"/>
    </font>
    <font>
      <sz val="11"/>
      <name val="Arial"/>
      <family val="2"/>
    </font>
    <font>
      <b/>
      <sz val="11"/>
      <color indexed="8"/>
      <name val="Calibri"/>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60"/>
      <name val="Calibri"/>
      <family val="2"/>
    </font>
    <font>
      <sz val="10"/>
      <color indexed="8"/>
      <name val="Arial"/>
      <family val="2"/>
    </font>
    <font>
      <sz val="11"/>
      <color indexed="20"/>
      <name val="Calibri"/>
      <family val="2"/>
    </font>
    <font>
      <sz val="10"/>
      <name val="Courier"/>
      <family val="3"/>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10"/>
      <color theme="1"/>
      <name val="Verdana"/>
      <family val="2"/>
    </font>
    <font>
      <b/>
      <sz val="11"/>
      <color theme="1"/>
      <name val="Calibri"/>
      <family val="2"/>
      <scheme val="minor"/>
    </font>
    <font>
      <b/>
      <sz val="18"/>
      <color theme="3"/>
      <name val="Cambria"/>
      <family val="2"/>
      <scheme val="major"/>
    </font>
    <font>
      <b/>
      <sz val="15"/>
      <color theme="3"/>
      <name val="Arial"/>
      <family val="2"/>
    </font>
    <font>
      <b/>
      <sz val="13"/>
      <color theme="3"/>
      <name val="Arial"/>
      <family val="2"/>
    </font>
    <font>
      <b/>
      <sz val="11"/>
      <color theme="3"/>
      <name val="Arial"/>
      <family val="2"/>
    </font>
    <font>
      <sz val="10"/>
      <color rgb="FF006100"/>
      <name val="Arial"/>
      <family val="2"/>
    </font>
    <font>
      <sz val="10"/>
      <color rgb="FF9C6500"/>
      <name val="Arial"/>
      <family val="2"/>
    </font>
    <font>
      <sz val="10"/>
      <color rgb="FF3F3F76"/>
      <name val="Arial"/>
      <family val="2"/>
    </font>
    <font>
      <b/>
      <sz val="10"/>
      <color rgb="FF3F3F3F"/>
      <name val="Arial"/>
      <family val="2"/>
    </font>
    <font>
      <b/>
      <sz val="10"/>
      <color rgb="FFFA7D00"/>
      <name val="Arial"/>
      <family val="2"/>
    </font>
    <font>
      <sz val="10"/>
      <color rgb="FFFA7D00"/>
      <name val="Arial"/>
      <family val="2"/>
    </font>
    <font>
      <b/>
      <sz val="10"/>
      <color theme="0"/>
      <name val="Arial"/>
      <family val="2"/>
    </font>
    <font>
      <sz val="10"/>
      <color rgb="FFFF0000"/>
      <name val="Arial"/>
      <family val="2"/>
    </font>
    <font>
      <i/>
      <sz val="10"/>
      <color rgb="FF7F7F7F"/>
      <name val="Arial"/>
      <family val="2"/>
    </font>
    <font>
      <sz val="11"/>
      <color theme="0" tint="-0.499984740745262"/>
      <name val="Calibri"/>
      <family val="2"/>
      <scheme val="minor"/>
    </font>
    <font>
      <sz val="11"/>
      <color theme="0" tint="-0.249977111117893"/>
      <name val="Calibri"/>
      <family val="2"/>
      <scheme val="minor"/>
    </font>
    <font>
      <b/>
      <sz val="11"/>
      <color theme="0" tint="-0.249977111117893"/>
      <name val="Calibri"/>
      <family val="2"/>
      <scheme val="minor"/>
    </font>
    <font>
      <sz val="11"/>
      <color rgb="FFFF0000"/>
      <name val="Calibri"/>
      <family val="2"/>
      <scheme val="minor"/>
    </font>
    <font>
      <strike/>
      <sz val="11"/>
      <color theme="1"/>
      <name val="Calibri"/>
      <family val="2"/>
      <scheme val="minor"/>
    </font>
    <font>
      <sz val="11"/>
      <color theme="1" tint="4.9989318521683403E-2"/>
      <name val="Calibri"/>
      <family val="2"/>
      <scheme val="minor"/>
    </font>
    <font>
      <b/>
      <sz val="12"/>
      <name val="Verdana"/>
      <family val="2"/>
    </font>
    <font>
      <sz val="10"/>
      <color rgb="FFFF0000"/>
      <name val="Verdana"/>
      <family val="2"/>
    </font>
    <font>
      <sz val="10"/>
      <color indexed="10"/>
      <name val="Verdana"/>
      <family val="2"/>
    </font>
    <font>
      <strike/>
      <sz val="10"/>
      <name val="Verdana"/>
      <family val="2"/>
    </font>
    <font>
      <i/>
      <sz val="10"/>
      <name val="Arial"/>
      <family val="2"/>
    </font>
    <font>
      <sz val="9"/>
      <color indexed="81"/>
      <name val="Tahoma"/>
      <family val="2"/>
    </font>
    <font>
      <sz val="9"/>
      <color indexed="81"/>
      <name val="Segoe UI"/>
      <family val="2"/>
    </font>
    <font>
      <sz val="10"/>
      <color theme="1" tint="4.9989318521683403E-2"/>
      <name val="Verdana"/>
      <family val="2"/>
    </font>
    <font>
      <sz val="8"/>
      <name val="Verdana"/>
      <family val="2"/>
    </font>
    <font>
      <i/>
      <sz val="8"/>
      <name val="Verdana"/>
      <family val="2"/>
    </font>
    <font>
      <b/>
      <sz val="8"/>
      <name val="Verdana"/>
      <family val="2"/>
    </font>
    <font>
      <sz val="8"/>
      <color theme="1"/>
      <name val="Verdana"/>
      <family val="2"/>
    </font>
    <font>
      <sz val="8"/>
      <color rgb="FFFF0000"/>
      <name val="Verdana"/>
      <family val="2"/>
    </font>
    <font>
      <sz val="8"/>
      <color theme="1" tint="4.9989318521683403E-2"/>
      <name val="Verdana"/>
      <family val="2"/>
    </font>
    <font>
      <strike/>
      <sz val="11"/>
      <color rgb="FFFF0000"/>
      <name val="Calibri"/>
      <family val="2"/>
      <scheme val="minor"/>
    </font>
    <font>
      <strike/>
      <sz val="11"/>
      <color theme="0" tint="-0.499984740745262"/>
      <name val="Calibri"/>
      <family val="2"/>
      <scheme val="minor"/>
    </font>
    <font>
      <b/>
      <u/>
      <sz val="14"/>
      <color theme="1"/>
      <name val="Calibri"/>
      <family val="2"/>
      <scheme val="minor"/>
    </font>
    <font>
      <b/>
      <sz val="11"/>
      <color theme="0" tint="-0.499984740745262"/>
      <name val="Calibri"/>
      <family val="2"/>
      <scheme val="minor"/>
    </font>
    <font>
      <b/>
      <sz val="11"/>
      <color theme="1" tint="4.9989318521683403E-2"/>
      <name val="Calibri"/>
      <family val="2"/>
      <scheme val="minor"/>
    </font>
    <font>
      <strike/>
      <sz val="11"/>
      <color theme="0" tint="-0.249977111117893"/>
      <name val="Calibri"/>
      <family val="2"/>
      <scheme val="minor"/>
    </font>
    <font>
      <i/>
      <sz val="10"/>
      <color theme="0" tint="-0.499984740745262"/>
      <name val="Verdana"/>
      <family val="2"/>
    </font>
    <font>
      <b/>
      <sz val="10"/>
      <color indexed="55"/>
      <name val="Verdana"/>
      <family val="2"/>
    </font>
    <font>
      <b/>
      <sz val="10"/>
      <color indexed="23"/>
      <name val="Verdana"/>
      <family val="2"/>
    </font>
    <font>
      <sz val="10"/>
      <color indexed="23"/>
      <name val="Verdana"/>
      <family val="2"/>
    </font>
    <font>
      <i/>
      <sz val="10"/>
      <name val="Verdana"/>
      <family val="2"/>
    </font>
    <font>
      <b/>
      <sz val="10"/>
      <color indexed="13"/>
      <name val="Verdana"/>
      <family val="2"/>
    </font>
    <font>
      <b/>
      <sz val="10"/>
      <color indexed="17"/>
      <name val="Verdana"/>
      <family val="2"/>
    </font>
    <font>
      <sz val="10"/>
      <color theme="0"/>
      <name val="Verdana"/>
      <family val="2"/>
    </font>
    <font>
      <b/>
      <i/>
      <sz val="10"/>
      <name val="Verdana"/>
      <family val="2"/>
    </font>
    <font>
      <sz val="10"/>
      <color indexed="81"/>
      <name val="Verdana"/>
      <family val="2"/>
    </font>
    <font>
      <sz val="10"/>
      <color indexed="81"/>
      <name val="Tahoma"/>
      <family val="2"/>
    </font>
    <font>
      <b/>
      <i/>
      <sz val="10"/>
      <color rgb="FFFF0000"/>
      <name val="Verdana"/>
      <family val="2"/>
    </font>
    <font>
      <b/>
      <i/>
      <sz val="10"/>
      <color theme="0" tint="-0.499984740745262"/>
      <name val="Verdana"/>
      <family val="2"/>
    </font>
    <font>
      <b/>
      <sz val="10"/>
      <color rgb="FFFF0000"/>
      <name val="Verdana"/>
      <family val="2"/>
    </font>
    <font>
      <b/>
      <i/>
      <sz val="10"/>
      <color theme="1"/>
      <name val="Verdana"/>
      <family val="2"/>
    </font>
    <font>
      <i/>
      <sz val="10"/>
      <color theme="1" tint="4.9989318521683403E-2"/>
      <name val="Verdana"/>
      <family val="2"/>
    </font>
    <font>
      <u/>
      <sz val="10"/>
      <color theme="1" tint="4.9989318521683403E-2"/>
      <name val="Verdana"/>
      <family val="2"/>
    </font>
    <font>
      <b/>
      <sz val="10"/>
      <color theme="0" tint="-0.34998626667073579"/>
      <name val="Verdana"/>
      <family val="2"/>
    </font>
    <font>
      <sz val="10"/>
      <color theme="0" tint="-4.9989318521683403E-2"/>
      <name val="Verdana"/>
      <family val="2"/>
    </font>
    <font>
      <sz val="10"/>
      <color theme="0" tint="-0.499984740745262"/>
      <name val="Verdana"/>
      <family val="2"/>
    </font>
    <font>
      <b/>
      <u/>
      <sz val="10"/>
      <color theme="1"/>
      <name val="Verdana"/>
      <family val="2"/>
    </font>
    <font>
      <b/>
      <sz val="10"/>
      <color theme="1" tint="0.499984740745262"/>
      <name val="Verdana"/>
      <family val="2"/>
    </font>
    <font>
      <sz val="10"/>
      <color theme="1" tint="0.499984740745262"/>
      <name val="Verdana"/>
      <family val="2"/>
    </font>
    <font>
      <i/>
      <sz val="10"/>
      <color theme="1" tint="0.499984740745262"/>
      <name val="Verdana"/>
      <family val="2"/>
    </font>
    <font>
      <u/>
      <sz val="10"/>
      <color theme="1" tint="0.499984740745262"/>
      <name val="Verdana"/>
      <family val="2"/>
    </font>
    <font>
      <i/>
      <sz val="9"/>
      <color indexed="81"/>
      <name val="Segoe UI"/>
      <family val="2"/>
    </font>
    <font>
      <b/>
      <sz val="9"/>
      <color indexed="81"/>
      <name val="Segoe UI"/>
      <family val="2"/>
    </font>
    <font>
      <b/>
      <sz val="10"/>
      <name val="Arial"/>
      <family val="2"/>
    </font>
    <font>
      <sz val="10"/>
      <color theme="0" tint="-0.14999847407452621"/>
      <name val="Verdana"/>
      <family val="2"/>
    </font>
    <font>
      <i/>
      <sz val="10"/>
      <color theme="1"/>
      <name val="Verdana"/>
      <family val="2"/>
    </font>
    <font>
      <u/>
      <sz val="10"/>
      <color theme="1"/>
      <name val="Verdana"/>
      <family val="2"/>
    </font>
    <font>
      <sz val="10"/>
      <color rgb="FF00B050"/>
      <name val="Verdana"/>
      <family val="2"/>
    </font>
    <font>
      <sz val="10"/>
      <color indexed="81"/>
      <name val="Segoe UI"/>
      <family val="2"/>
    </font>
    <font>
      <strike/>
      <sz val="9"/>
      <color indexed="81"/>
      <name val="Segoe UI"/>
      <family val="2"/>
    </font>
    <font>
      <sz val="10"/>
      <color theme="1" tint="4.9989318521683403E-2"/>
      <name val="Arial"/>
      <family val="2"/>
    </font>
    <font>
      <i/>
      <sz val="10"/>
      <color theme="0" tint="-0.499984740745262"/>
      <name val="Arial"/>
      <family val="2"/>
    </font>
    <font>
      <sz val="10"/>
      <color theme="0" tint="-0.499984740745262"/>
      <name val="Arial"/>
      <family val="2"/>
    </font>
    <font>
      <sz val="9"/>
      <name val="宋体"/>
      <family val="3"/>
      <charset val="134"/>
    </font>
    <font>
      <sz val="8"/>
      <color theme="1" tint="4.9989318521683403E-2"/>
      <name val="宋体"/>
      <family val="3"/>
      <charset val="134"/>
    </font>
    <font>
      <sz val="10"/>
      <name val="宋体"/>
      <family val="3"/>
      <charset val="134"/>
    </font>
    <font>
      <sz val="10"/>
      <color indexed="10"/>
      <name val="宋体"/>
      <family val="3"/>
      <charset val="134"/>
    </font>
    <font>
      <sz val="10"/>
      <color rgb="FFFF0000"/>
      <name val="宋体"/>
      <family val="3"/>
      <charset val="134"/>
    </font>
    <font>
      <sz val="8"/>
      <color rgb="FFFF0000"/>
      <name val="宋体"/>
      <family val="3"/>
      <charset val="134"/>
    </font>
    <font>
      <b/>
      <sz val="10"/>
      <color rgb="FFFF0000"/>
      <name val="宋体"/>
      <family val="3"/>
      <charset val="134"/>
    </font>
    <font>
      <sz val="10"/>
      <color theme="1"/>
      <name val="宋体"/>
      <family val="3"/>
      <charset val="134"/>
    </font>
  </fonts>
  <fills count="82">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FC7CE"/>
      </patternFill>
    </fill>
    <fill>
      <patternFill patternType="solid">
        <fgColor theme="0"/>
        <bgColor indexed="64"/>
      </patternFill>
    </fill>
    <fill>
      <patternFill patternType="solid">
        <fgColor theme="0" tint="-0.249977111117893"/>
        <bgColor indexed="64"/>
      </patternFill>
    </fill>
    <fill>
      <patternFill patternType="solid">
        <fgColor rgb="FFFFFFCC"/>
      </patternFill>
    </fill>
    <fill>
      <patternFill patternType="solid">
        <fgColor theme="0" tint="-0.149998474074526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41"/>
      </patternFill>
    </fill>
    <fill>
      <patternFill patternType="solid">
        <fgColor indexed="55"/>
      </patternFill>
    </fill>
    <fill>
      <patternFill patternType="solid">
        <fgColor rgb="FFC6EF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51"/>
        <bgColor indexed="64"/>
      </patternFill>
    </fill>
    <fill>
      <patternFill patternType="solid">
        <fgColor indexed="41"/>
        <bgColor indexed="64"/>
      </patternFill>
    </fill>
    <fill>
      <patternFill patternType="solid">
        <fgColor rgb="FFFFC000"/>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indexed="55"/>
        <bgColor indexed="64"/>
      </patternFill>
    </fill>
    <fill>
      <patternFill patternType="solid">
        <fgColor theme="9" tint="0.59999389629810485"/>
        <bgColor indexed="64"/>
      </patternFill>
    </fill>
    <fill>
      <patternFill patternType="solid">
        <fgColor indexed="47"/>
        <bgColor indexed="64"/>
      </patternFill>
    </fill>
    <fill>
      <patternFill patternType="solid">
        <fgColor indexed="50"/>
        <bgColor indexed="64"/>
      </patternFill>
    </fill>
    <fill>
      <patternFill patternType="solid">
        <fgColor rgb="FF82D200"/>
        <bgColor indexed="64"/>
      </patternFill>
    </fill>
    <fill>
      <patternFill patternType="solid">
        <fgColor indexed="13"/>
        <bgColor indexed="64"/>
      </patternFill>
    </fill>
    <fill>
      <patternFill patternType="solid">
        <fgColor rgb="FFFFC8C8"/>
        <bgColor indexed="64"/>
      </patternFill>
    </fill>
    <fill>
      <patternFill patternType="solid">
        <fgColor rgb="FFFF0000"/>
        <bgColor indexed="64"/>
      </patternFill>
    </fill>
    <fill>
      <patternFill patternType="solid">
        <fgColor rgb="FF92D050"/>
        <bgColor indexed="64"/>
      </patternFill>
    </fill>
    <fill>
      <patternFill patternType="solid">
        <fgColor rgb="FFC8E6FF"/>
        <bgColor indexed="64"/>
      </patternFill>
    </fill>
    <fill>
      <patternFill patternType="solid">
        <fgColor rgb="FF82FA64"/>
        <bgColor indexed="64"/>
      </patternFill>
    </fill>
    <fill>
      <patternFill patternType="solid">
        <fgColor rgb="FF00B0F0"/>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48"/>
      </left>
      <right style="thin">
        <color indexed="48"/>
      </right>
      <top style="thin">
        <color indexed="48"/>
      </top>
      <bottom style="thin">
        <color indexed="48"/>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medium">
        <color theme="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10"/>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style="thin">
        <color indexed="64"/>
      </right>
      <top/>
      <bottom style="thin">
        <color indexed="64"/>
      </bottom>
      <diagonal/>
    </border>
    <border>
      <left style="medium">
        <color indexed="8"/>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style="medium">
        <color indexed="8"/>
      </left>
      <right/>
      <top/>
      <bottom style="medium">
        <color indexed="8"/>
      </bottom>
      <diagonal/>
    </border>
    <border>
      <left/>
      <right style="medium">
        <color indexed="8"/>
      </right>
      <top/>
      <bottom style="medium">
        <color indexed="8"/>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8"/>
      </top>
      <bottom/>
      <diagonal/>
    </border>
    <border>
      <left/>
      <right/>
      <top/>
      <bottom style="medium">
        <color indexed="8"/>
      </bottom>
      <diagonal/>
    </border>
    <border>
      <left style="thin">
        <color indexed="64"/>
      </left>
      <right style="thin">
        <color indexed="64"/>
      </right>
      <top/>
      <bottom/>
      <diagonal/>
    </border>
  </borders>
  <cellStyleXfs count="552">
    <xf numFmtId="0" fontId="0" fillId="0" borderId="0"/>
    <xf numFmtId="0" fontId="17" fillId="0" borderId="0"/>
    <xf numFmtId="0" fontId="9" fillId="0" borderId="0"/>
    <xf numFmtId="0" fontId="17" fillId="0" borderId="0"/>
    <xf numFmtId="0" fontId="9" fillId="7" borderId="12" applyNumberFormat="0" applyFont="0" applyAlignment="0" applyProtection="0"/>
    <xf numFmtId="9" fontId="17" fillId="0" borderId="0" applyFont="0" applyFill="0" applyBorder="0" applyAlignment="0" applyProtection="0"/>
    <xf numFmtId="0" fontId="18" fillId="4" borderId="0" applyNumberFormat="0" applyBorder="0" applyAlignment="0" applyProtection="0"/>
    <xf numFmtId="0" fontId="22" fillId="4" borderId="0" applyNumberFormat="0" applyBorder="0" applyAlignment="0" applyProtection="0"/>
    <xf numFmtId="0" fontId="23" fillId="0" borderId="0"/>
    <xf numFmtId="0" fontId="24" fillId="0" borderId="0"/>
    <xf numFmtId="0" fontId="26" fillId="9" borderId="0" applyNumberFormat="0" applyBorder="0" applyAlignment="0" applyProtection="0"/>
    <xf numFmtId="0" fontId="26" fillId="10" borderId="0" applyNumberFormat="0" applyBorder="0" applyAlignment="0" applyProtection="0"/>
    <xf numFmtId="0" fontId="26" fillId="11" borderId="0" applyNumberFormat="0" applyBorder="0" applyAlignment="0" applyProtection="0"/>
    <xf numFmtId="0" fontId="26" fillId="12" borderId="0" applyNumberFormat="0" applyBorder="0" applyAlignment="0" applyProtection="0"/>
    <xf numFmtId="0" fontId="26" fillId="13" borderId="0" applyNumberFormat="0" applyBorder="0" applyAlignment="0" applyProtection="0"/>
    <xf numFmtId="0" fontId="26" fillId="14" borderId="0" applyNumberFormat="0" applyBorder="0" applyAlignment="0" applyProtection="0"/>
    <xf numFmtId="0" fontId="26" fillId="15" borderId="0" applyNumberFormat="0" applyBorder="0" applyAlignment="0" applyProtection="0"/>
    <xf numFmtId="0" fontId="26" fillId="16" borderId="0" applyNumberFormat="0" applyBorder="0" applyAlignment="0" applyProtection="0"/>
    <xf numFmtId="0" fontId="26" fillId="17" borderId="0" applyNumberFormat="0" applyBorder="0" applyAlignment="0" applyProtection="0"/>
    <xf numFmtId="0" fontId="26" fillId="12" borderId="0" applyNumberFormat="0" applyBorder="0" applyAlignment="0" applyProtection="0"/>
    <xf numFmtId="0" fontId="26" fillId="15" borderId="0" applyNumberFormat="0" applyBorder="0" applyAlignment="0" applyProtection="0"/>
    <xf numFmtId="0" fontId="26" fillId="18" borderId="0" applyNumberFormat="0" applyBorder="0" applyAlignment="0" applyProtection="0"/>
    <xf numFmtId="0" fontId="27" fillId="19" borderId="0" applyNumberFormat="0" applyBorder="0" applyAlignment="0" applyProtection="0"/>
    <xf numFmtId="0" fontId="27" fillId="16" borderId="0" applyNumberFormat="0" applyBorder="0" applyAlignment="0" applyProtection="0"/>
    <xf numFmtId="0" fontId="27" fillId="17" borderId="0" applyNumberFormat="0" applyBorder="0" applyAlignment="0" applyProtection="0"/>
    <xf numFmtId="0" fontId="27" fillId="20" borderId="0" applyNumberFormat="0" applyBorder="0" applyAlignment="0" applyProtection="0"/>
    <xf numFmtId="0" fontId="27" fillId="21" borderId="0" applyNumberFormat="0" applyBorder="0" applyAlignment="0" applyProtection="0"/>
    <xf numFmtId="0" fontId="27" fillId="22" borderId="0" applyNumberFormat="0" applyBorder="0" applyAlignment="0" applyProtection="0"/>
    <xf numFmtId="0" fontId="27" fillId="23" borderId="0" applyNumberFormat="0" applyBorder="0" applyAlignment="0" applyProtection="0"/>
    <xf numFmtId="0" fontId="27" fillId="24" borderId="0" applyNumberFormat="0" applyBorder="0" applyAlignment="0" applyProtection="0"/>
    <xf numFmtId="0" fontId="27" fillId="25" borderId="0" applyNumberFormat="0" applyBorder="0" applyAlignment="0" applyProtection="0"/>
    <xf numFmtId="0" fontId="27" fillId="20" borderId="0" applyNumberFormat="0" applyBorder="0" applyAlignment="0" applyProtection="0"/>
    <xf numFmtId="0" fontId="27" fillId="21" borderId="0" applyNumberFormat="0" applyBorder="0" applyAlignment="0" applyProtection="0"/>
    <xf numFmtId="0" fontId="27" fillId="26" borderId="0" applyNumberFormat="0" applyBorder="0" applyAlignment="0" applyProtection="0"/>
    <xf numFmtId="0" fontId="28" fillId="27" borderId="14" applyNumberFormat="0" applyAlignment="0" applyProtection="0"/>
    <xf numFmtId="0" fontId="29" fillId="27" borderId="15" applyNumberFormat="0" applyAlignment="0" applyProtection="0"/>
    <xf numFmtId="0" fontId="30" fillId="14" borderId="15" applyNumberFormat="0" applyAlignment="0" applyProtection="0"/>
    <xf numFmtId="0" fontId="25" fillId="0" borderId="16" applyNumberFormat="0" applyFill="0" applyAlignment="0" applyProtection="0"/>
    <xf numFmtId="0" fontId="31" fillId="0" borderId="0" applyNumberFormat="0" applyFill="0" applyBorder="0" applyAlignment="0" applyProtection="0"/>
    <xf numFmtId="0" fontId="32" fillId="11" borderId="0" applyNumberFormat="0" applyBorder="0" applyAlignment="0" applyProtection="0"/>
    <xf numFmtId="0" fontId="33" fillId="28" borderId="0" applyNumberFormat="0" applyBorder="0" applyAlignment="0" applyProtection="0"/>
    <xf numFmtId="0" fontId="26" fillId="29" borderId="17" applyNumberFormat="0" applyFont="0" applyAlignment="0" applyProtection="0"/>
    <xf numFmtId="4" fontId="34" fillId="30" borderId="18" applyNumberFormat="0" applyProtection="0">
      <alignment horizontal="right" vertical="center"/>
    </xf>
    <xf numFmtId="0" fontId="35" fillId="10" borderId="0" applyNumberFormat="0" applyBorder="0" applyAlignment="0" applyProtection="0"/>
    <xf numFmtId="0" fontId="36" fillId="0" borderId="0"/>
    <xf numFmtId="0" fontId="36" fillId="0" borderId="0"/>
    <xf numFmtId="0" fontId="36" fillId="0" borderId="0"/>
    <xf numFmtId="0" fontId="37" fillId="0" borderId="0" applyNumberFormat="0" applyFill="0" applyBorder="0" applyAlignment="0" applyProtection="0"/>
    <xf numFmtId="0" fontId="38" fillId="0" borderId="19" applyNumberFormat="0" applyFill="0" applyAlignment="0" applyProtection="0"/>
    <xf numFmtId="0" fontId="39" fillId="0" borderId="20" applyNumberFormat="0" applyFill="0" applyAlignment="0" applyProtection="0"/>
    <xf numFmtId="0" fontId="40" fillId="0" borderId="21" applyNumberFormat="0" applyFill="0" applyAlignment="0" applyProtection="0"/>
    <xf numFmtId="0" fontId="40" fillId="0" borderId="0" applyNumberFormat="0" applyFill="0" applyBorder="0" applyAlignment="0" applyProtection="0"/>
    <xf numFmtId="0" fontId="41" fillId="0" borderId="22" applyNumberFormat="0" applyFill="0" applyAlignment="0" applyProtection="0"/>
    <xf numFmtId="0" fontId="42" fillId="0" borderId="0" applyNumberFormat="0" applyFill="0" applyBorder="0" applyAlignment="0" applyProtection="0"/>
    <xf numFmtId="0" fontId="43" fillId="31" borderId="23" applyNumberFormat="0" applyAlignment="0" applyProtection="0"/>
    <xf numFmtId="0" fontId="46" fillId="0" borderId="0" applyNumberFormat="0" applyFill="0" applyBorder="0" applyAlignment="0" applyProtection="0"/>
    <xf numFmtId="0" fontId="47" fillId="0" borderId="24" applyNumberFormat="0" applyFill="0" applyAlignment="0" applyProtection="0"/>
    <xf numFmtId="0" fontId="48" fillId="0" borderId="25" applyNumberFormat="0" applyFill="0" applyAlignment="0" applyProtection="0"/>
    <xf numFmtId="0" fontId="49" fillId="0" borderId="26" applyNumberFormat="0" applyFill="0" applyAlignment="0" applyProtection="0"/>
    <xf numFmtId="0" fontId="49" fillId="0" borderId="0" applyNumberFormat="0" applyFill="0" applyBorder="0" applyAlignment="0" applyProtection="0"/>
    <xf numFmtId="0" fontId="50" fillId="32" borderId="0" applyNumberFormat="0" applyBorder="0" applyAlignment="0" applyProtection="0"/>
    <xf numFmtId="0" fontId="51" fillId="33" borderId="0" applyNumberFormat="0" applyBorder="0" applyAlignment="0" applyProtection="0"/>
    <xf numFmtId="0" fontId="52" fillId="34" borderId="27" applyNumberFormat="0" applyAlignment="0" applyProtection="0"/>
    <xf numFmtId="0" fontId="53" fillId="35" borderId="28" applyNumberFormat="0" applyAlignment="0" applyProtection="0"/>
    <xf numFmtId="0" fontId="54" fillId="35" borderId="27" applyNumberFormat="0" applyAlignment="0" applyProtection="0"/>
    <xf numFmtId="0" fontId="55" fillId="0" borderId="29" applyNumberFormat="0" applyFill="0" applyAlignment="0" applyProtection="0"/>
    <xf numFmtId="0" fontId="56" fillId="36" borderId="30" applyNumberFormat="0" applyAlignment="0" applyProtection="0"/>
    <xf numFmtId="0" fontId="57" fillId="0" borderId="0" applyNumberFormat="0" applyFill="0" applyBorder="0" applyAlignment="0" applyProtection="0"/>
    <xf numFmtId="0" fontId="58" fillId="0" borderId="0" applyNumberFormat="0" applyFill="0" applyBorder="0" applyAlignment="0" applyProtection="0"/>
    <xf numFmtId="0" fontId="19" fillId="0" borderId="31" applyNumberFormat="0" applyFill="0" applyAlignment="0" applyProtection="0"/>
    <xf numFmtId="0" fontId="20" fillId="37"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20" fillId="40" borderId="0" applyNumberFormat="0" applyBorder="0" applyAlignment="0" applyProtection="0"/>
    <xf numFmtId="0" fontId="20" fillId="4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20" fillId="44" borderId="0" applyNumberFormat="0" applyBorder="0" applyAlignment="0" applyProtection="0"/>
    <xf numFmtId="0" fontId="20" fillId="45"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20" fillId="48" borderId="0" applyNumberFormat="0" applyBorder="0" applyAlignment="0" applyProtection="0"/>
    <xf numFmtId="0" fontId="20" fillId="49"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20" fillId="60" borderId="0" applyNumberFormat="0" applyBorder="0" applyAlignment="0" applyProtection="0"/>
    <xf numFmtId="0" fontId="8" fillId="0" borderId="0"/>
    <xf numFmtId="0" fontId="8" fillId="7" borderId="12" applyNumberFormat="0" applyFont="0" applyAlignment="0" applyProtection="0"/>
    <xf numFmtId="0" fontId="7" fillId="0" borderId="0"/>
    <xf numFmtId="0" fontId="23" fillId="0" borderId="0"/>
    <xf numFmtId="9" fontId="7" fillId="0" borderId="0" applyFont="0" applyFill="0" applyBorder="0" applyAlignment="0" applyProtection="0"/>
    <xf numFmtId="0" fontId="6" fillId="0" borderId="0"/>
    <xf numFmtId="0" fontId="6" fillId="7" borderId="12"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7" borderId="12" applyNumberFormat="0" applyFont="0" applyAlignment="0" applyProtection="0"/>
    <xf numFmtId="0" fontId="6" fillId="0" borderId="0"/>
    <xf numFmtId="9" fontId="6" fillId="0" borderId="0" applyFont="0" applyFill="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7" borderId="12" applyNumberFormat="0" applyFont="0" applyAlignment="0" applyProtection="0"/>
    <xf numFmtId="9" fontId="17" fillId="0" borderId="0" applyFont="0" applyFill="0" applyBorder="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7" borderId="12"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7" borderId="12" applyNumberFormat="0" applyFont="0" applyAlignment="0" applyProtection="0"/>
    <xf numFmtId="0" fontId="5" fillId="0" borderId="0"/>
    <xf numFmtId="0" fontId="5" fillId="7" borderId="12"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7" borderId="12" applyNumberFormat="0" applyFont="0" applyAlignment="0" applyProtection="0"/>
    <xf numFmtId="0" fontId="5" fillId="0" borderId="0"/>
    <xf numFmtId="9" fontId="5" fillId="0" borderId="0" applyFont="0" applyFill="0" applyBorder="0" applyAlignment="0" applyProtection="0"/>
    <xf numFmtId="0" fontId="5" fillId="0" borderId="0"/>
    <xf numFmtId="0" fontId="5" fillId="7" borderId="12"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7" borderId="12" applyNumberFormat="0" applyFont="0" applyAlignment="0" applyProtection="0"/>
    <xf numFmtId="0" fontId="5" fillId="0" borderId="0"/>
    <xf numFmtId="9" fontId="5" fillId="0" borderId="0" applyFont="0" applyFill="0" applyBorder="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7" borderId="12"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7" borderId="12"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7" borderId="12" applyNumberFormat="0" applyFont="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9" fontId="4" fillId="0" borderId="0" applyFont="0" applyFill="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9" fontId="4" fillId="0" borderId="0" applyFont="0" applyFill="0" applyBorder="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9" fontId="4" fillId="0" borderId="0" applyFont="0" applyFill="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9" fontId="4" fillId="0" borderId="0" applyFont="0" applyFill="0" applyBorder="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9" fontId="4" fillId="0" borderId="0" applyFont="0" applyFill="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9" fontId="4" fillId="0" borderId="0" applyFont="0" applyFill="0" applyBorder="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9" fontId="4" fillId="0" borderId="0" applyFont="0" applyFill="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0" borderId="0"/>
    <xf numFmtId="9" fontId="4" fillId="0" borderId="0" applyFont="0" applyFill="0" applyBorder="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7" borderId="12" applyNumberFormat="0" applyFont="0" applyAlignment="0" applyProtection="0"/>
    <xf numFmtId="0" fontId="3" fillId="0" borderId="0"/>
    <xf numFmtId="0" fontId="2" fillId="0" borderId="0"/>
  </cellStyleXfs>
  <cellXfs count="626">
    <xf numFmtId="0" fontId="0" fillId="0" borderId="0" xfId="0"/>
    <xf numFmtId="0" fontId="11" fillId="0" borderId="0" xfId="0" applyFont="1"/>
    <xf numFmtId="0" fontId="11" fillId="0" borderId="0" xfId="0" applyFont="1" applyAlignment="1">
      <alignment horizontal="center"/>
    </xf>
    <xf numFmtId="0" fontId="23" fillId="0" borderId="0" xfId="97"/>
    <xf numFmtId="0" fontId="45" fillId="8" borderId="0" xfId="97" applyFont="1" applyFill="1" applyAlignment="1">
      <alignment horizontal="center" vertical="center"/>
    </xf>
    <xf numFmtId="0" fontId="45" fillId="8" borderId="0" xfId="97" applyFont="1" applyFill="1" applyAlignment="1">
      <alignment horizontal="center" vertical="center" wrapText="1"/>
    </xf>
    <xf numFmtId="0" fontId="23" fillId="0" borderId="0" xfId="97" applyAlignment="1">
      <alignment horizontal="center" vertical="center"/>
    </xf>
    <xf numFmtId="0" fontId="23" fillId="0" borderId="0" xfId="97" applyAlignment="1">
      <alignment wrapText="1"/>
    </xf>
    <xf numFmtId="0" fontId="59" fillId="0" borderId="0" xfId="97" applyFont="1" applyAlignment="1">
      <alignment horizontal="center" vertical="center"/>
    </xf>
    <xf numFmtId="0" fontId="23" fillId="0" borderId="8" xfId="97" applyBorder="1" applyAlignment="1">
      <alignment horizontal="center" vertical="center"/>
    </xf>
    <xf numFmtId="0" fontId="23" fillId="0" borderId="8" xfId="97" applyBorder="1"/>
    <xf numFmtId="0" fontId="45" fillId="0" borderId="0" xfId="97" applyFont="1" applyAlignment="1">
      <alignment horizontal="right"/>
    </xf>
    <xf numFmtId="0" fontId="45" fillId="0" borderId="0" xfId="97" applyFont="1" applyAlignment="1">
      <alignment horizontal="center" vertical="center"/>
    </xf>
    <xf numFmtId="0" fontId="60" fillId="0" borderId="0" xfId="97" applyFont="1"/>
    <xf numFmtId="0" fontId="60" fillId="0" borderId="0" xfId="97" applyFont="1" applyAlignment="1">
      <alignment horizontal="center" vertical="center"/>
    </xf>
    <xf numFmtId="0" fontId="60" fillId="0" borderId="8" xfId="97" applyFont="1" applyBorder="1" applyAlignment="1">
      <alignment horizontal="center" vertical="center"/>
    </xf>
    <xf numFmtId="0" fontId="60" fillId="0" borderId="8" xfId="97" applyFont="1" applyBorder="1"/>
    <xf numFmtId="0" fontId="23" fillId="0" borderId="0" xfId="97" applyFont="1" applyAlignment="1">
      <alignment horizontal="center" vertical="center"/>
    </xf>
    <xf numFmtId="0" fontId="23" fillId="0" borderId="0" xfId="97" applyFont="1" applyAlignment="1">
      <alignment wrapText="1"/>
    </xf>
    <xf numFmtId="0" fontId="23" fillId="0" borderId="0" xfId="97" applyFont="1"/>
    <xf numFmtId="0" fontId="23" fillId="0" borderId="8" xfId="97" applyFont="1" applyBorder="1"/>
    <xf numFmtId="0" fontId="62" fillId="0" borderId="0" xfId="97" applyFont="1"/>
    <xf numFmtId="0" fontId="64" fillId="0" borderId="0" xfId="97" applyFont="1" applyAlignment="1">
      <alignment horizontal="center" vertical="center"/>
    </xf>
    <xf numFmtId="0" fontId="11" fillId="0" borderId="0" xfId="1" applyFont="1" applyAlignment="1">
      <alignment vertical="top"/>
    </xf>
    <xf numFmtId="0" fontId="11" fillId="0" borderId="1" xfId="1" applyFont="1" applyBorder="1" applyAlignment="1">
      <alignment horizontal="right" vertical="top"/>
    </xf>
    <xf numFmtId="0" fontId="11" fillId="2" borderId="0" xfId="1" applyFont="1" applyFill="1" applyAlignment="1">
      <alignment vertical="top"/>
    </xf>
    <xf numFmtId="0" fontId="11" fillId="0" borderId="0" xfId="1" applyFont="1" applyFill="1" applyAlignment="1">
      <alignment vertical="top"/>
    </xf>
    <xf numFmtId="0" fontId="11" fillId="2" borderId="0" xfId="1" applyFont="1" applyFill="1" applyAlignment="1">
      <alignment horizontal="center" vertical="top"/>
    </xf>
    <xf numFmtId="0" fontId="11" fillId="0" borderId="0" xfId="1" applyFont="1" applyFill="1" applyBorder="1" applyAlignment="1">
      <alignment vertical="top"/>
    </xf>
    <xf numFmtId="0" fontId="17" fillId="0" borderId="0" xfId="1" applyAlignment="1">
      <alignment vertical="top"/>
    </xf>
    <xf numFmtId="0" fontId="17" fillId="0" borderId="0" xfId="1" applyFont="1" applyAlignment="1">
      <alignment vertical="top"/>
    </xf>
    <xf numFmtId="0" fontId="11" fillId="0" borderId="0" xfId="1" applyFont="1" applyBorder="1" applyAlignment="1">
      <alignment vertical="top"/>
    </xf>
    <xf numFmtId="0" fontId="12" fillId="2" borderId="32" xfId="1" applyFont="1" applyFill="1" applyBorder="1" applyAlignment="1">
      <alignment vertical="top"/>
    </xf>
    <xf numFmtId="2" fontId="12" fillId="2" borderId="32" xfId="1" applyNumberFormat="1" applyFont="1" applyFill="1" applyBorder="1" applyAlignment="1">
      <alignment vertical="top"/>
    </xf>
    <xf numFmtId="0" fontId="11" fillId="2" borderId="32" xfId="1" applyFont="1" applyFill="1" applyBorder="1" applyAlignment="1">
      <alignment vertical="top"/>
    </xf>
    <xf numFmtId="0" fontId="10" fillId="0" borderId="0" xfId="0" applyFont="1"/>
    <xf numFmtId="0" fontId="17" fillId="0" borderId="0" xfId="0" applyFont="1" applyAlignment="1">
      <alignment wrapText="1"/>
    </xf>
    <xf numFmtId="0" fontId="13" fillId="65" borderId="0" xfId="0" applyFont="1" applyFill="1"/>
    <xf numFmtId="0" fontId="11" fillId="0" borderId="0" xfId="0" quotePrefix="1" applyFont="1" applyBorder="1" applyAlignment="1">
      <alignment horizontal="center" vertical="center"/>
    </xf>
    <xf numFmtId="0" fontId="11" fillId="0" borderId="0" xfId="0" applyFont="1" applyAlignment="1">
      <alignment vertical="center"/>
    </xf>
    <xf numFmtId="0" fontId="11" fillId="0" borderId="0" xfId="0" applyFont="1" applyBorder="1" applyAlignment="1">
      <alignment horizontal="center" vertical="center"/>
    </xf>
    <xf numFmtId="0" fontId="10" fillId="0" borderId="0" xfId="0" applyFont="1" applyBorder="1"/>
    <xf numFmtId="0" fontId="10" fillId="0" borderId="0" xfId="0" applyFont="1" applyBorder="1" applyAlignment="1">
      <alignment vertical="center"/>
    </xf>
    <xf numFmtId="0" fontId="11" fillId="0" borderId="0" xfId="0" applyFont="1" applyAlignment="1">
      <alignment vertical="center" wrapText="1"/>
    </xf>
    <xf numFmtId="0" fontId="11" fillId="0" borderId="0" xfId="0" applyFont="1" applyAlignment="1">
      <alignment horizontal="center" vertical="center"/>
    </xf>
    <xf numFmtId="0" fontId="11" fillId="0" borderId="0" xfId="0" applyFont="1" applyAlignment="1">
      <alignment horizontal="left" vertical="center"/>
    </xf>
    <xf numFmtId="0" fontId="11" fillId="0" borderId="0" xfId="0" quotePrefix="1" applyFont="1" applyAlignment="1">
      <alignment horizontal="left" vertical="center" wrapText="1"/>
    </xf>
    <xf numFmtId="0" fontId="11" fillId="0" borderId="0" xfId="0" applyFont="1" applyAlignment="1">
      <alignment horizontal="left" vertical="center" wrapText="1"/>
    </xf>
    <xf numFmtId="0" fontId="12" fillId="0" borderId="0" xfId="1" applyFont="1" applyFill="1" applyAlignment="1">
      <alignment horizontal="center" vertical="center"/>
    </xf>
    <xf numFmtId="0" fontId="17" fillId="0" borderId="0" xfId="0" applyFont="1" applyAlignment="1">
      <alignment horizontal="center" vertical="center"/>
    </xf>
    <xf numFmtId="0" fontId="0" fillId="0" borderId="0" xfId="0" applyAlignment="1">
      <alignment horizontal="center" vertical="center"/>
    </xf>
    <xf numFmtId="0" fontId="11" fillId="0" borderId="0" xfId="1" applyFont="1" applyBorder="1" applyAlignment="1">
      <alignment vertical="center" wrapText="1"/>
    </xf>
    <xf numFmtId="0" fontId="11" fillId="0" borderId="0" xfId="1" applyFont="1" applyBorder="1" applyAlignment="1">
      <alignment vertical="center"/>
    </xf>
    <xf numFmtId="0" fontId="0" fillId="0" borderId="0" xfId="0" applyAlignment="1">
      <alignment vertical="center"/>
    </xf>
    <xf numFmtId="0" fontId="12" fillId="2" borderId="32" xfId="1" applyFont="1" applyFill="1" applyBorder="1" applyAlignment="1">
      <alignment vertical="center"/>
    </xf>
    <xf numFmtId="0" fontId="12" fillId="2" borderId="0" xfId="1" applyFont="1" applyFill="1" applyAlignment="1">
      <alignment vertical="center"/>
    </xf>
    <xf numFmtId="2" fontId="12" fillId="2" borderId="32" xfId="1" applyNumberFormat="1" applyFont="1" applyFill="1" applyBorder="1" applyAlignment="1">
      <alignment vertical="center"/>
    </xf>
    <xf numFmtId="2" fontId="11" fillId="64" borderId="0" xfId="0" applyNumberFormat="1" applyFont="1" applyFill="1" applyAlignment="1">
      <alignment horizontal="center" vertical="center"/>
    </xf>
    <xf numFmtId="0" fontId="11" fillId="0" borderId="0" xfId="1" applyFont="1" applyBorder="1" applyAlignment="1">
      <alignment horizontal="center" vertical="center"/>
    </xf>
    <xf numFmtId="2" fontId="12" fillId="2" borderId="32" xfId="1" applyNumberFormat="1" applyFont="1" applyFill="1" applyBorder="1" applyAlignment="1">
      <alignment horizontal="center" vertical="center"/>
    </xf>
    <xf numFmtId="0" fontId="12" fillId="0" borderId="0" xfId="1" applyFont="1" applyFill="1" applyAlignment="1">
      <alignment vertical="center"/>
    </xf>
    <xf numFmtId="0" fontId="73" fillId="0" borderId="0" xfId="0" applyFont="1" applyAlignment="1">
      <alignment vertical="center"/>
    </xf>
    <xf numFmtId="0" fontId="0" fillId="6" borderId="0" xfId="0" applyFill="1"/>
    <xf numFmtId="0" fontId="12" fillId="6" borderId="0" xfId="1" applyFont="1" applyFill="1" applyAlignment="1">
      <alignment vertical="top"/>
    </xf>
    <xf numFmtId="0" fontId="11" fillId="6" borderId="32" xfId="1" applyFont="1" applyFill="1" applyBorder="1" applyAlignment="1">
      <alignment vertical="top"/>
    </xf>
    <xf numFmtId="2" fontId="12" fillId="2" borderId="32" xfId="1" applyNumberFormat="1" applyFont="1" applyFill="1" applyBorder="1" applyAlignment="1">
      <alignment horizontal="center" vertical="top"/>
    </xf>
    <xf numFmtId="0" fontId="21" fillId="0" borderId="0" xfId="2" applyFont="1"/>
    <xf numFmtId="0" fontId="44" fillId="2" borderId="0" xfId="2" applyFont="1" applyFill="1" applyBorder="1"/>
    <xf numFmtId="0" fontId="21" fillId="2" borderId="0" xfId="2" applyFont="1" applyFill="1" applyBorder="1"/>
    <xf numFmtId="0" fontId="21" fillId="0" borderId="0" xfId="2" applyFont="1" applyFill="1"/>
    <xf numFmtId="0" fontId="21" fillId="0" borderId="0" xfId="2" applyFont="1" applyFill="1" applyBorder="1"/>
    <xf numFmtId="0" fontId="12" fillId="2" borderId="32" xfId="1" applyFont="1" applyFill="1" applyBorder="1" applyAlignment="1">
      <alignment horizontal="center" vertical="top"/>
    </xf>
    <xf numFmtId="0" fontId="11" fillId="0" borderId="0" xfId="1" applyFont="1" applyAlignment="1">
      <alignment horizontal="center" vertical="top"/>
    </xf>
    <xf numFmtId="0" fontId="11" fillId="0" borderId="0" xfId="1" applyFont="1" applyFill="1" applyBorder="1" applyAlignment="1">
      <alignment horizontal="center" vertical="top"/>
    </xf>
    <xf numFmtId="0" fontId="17" fillId="0" borderId="0" xfId="550" applyFont="1" applyFill="1" applyBorder="1" applyAlignment="1">
      <alignment horizontal="center"/>
    </xf>
    <xf numFmtId="2" fontId="11" fillId="0" borderId="0" xfId="1" applyNumberFormat="1" applyFont="1" applyAlignment="1">
      <alignment horizontal="center" vertical="top"/>
    </xf>
    <xf numFmtId="2" fontId="11" fillId="0" borderId="0" xfId="1" applyNumberFormat="1" applyFont="1" applyFill="1" applyBorder="1" applyAlignment="1">
      <alignment horizontal="center" vertical="top"/>
    </xf>
    <xf numFmtId="2" fontId="11" fillId="61" borderId="0" xfId="1" applyNumberFormat="1" applyFont="1" applyFill="1" applyBorder="1" applyAlignment="1">
      <alignment horizontal="center" vertical="top"/>
    </xf>
    <xf numFmtId="164" fontId="11" fillId="66" borderId="0" xfId="1" applyNumberFormat="1" applyFont="1" applyFill="1" applyAlignment="1">
      <alignment horizontal="center" vertical="top"/>
    </xf>
    <xf numFmtId="0" fontId="0" fillId="63" borderId="0" xfId="0" applyFill="1"/>
    <xf numFmtId="0" fontId="0" fillId="3" borderId="0" xfId="0" applyFill="1"/>
    <xf numFmtId="0" fontId="0" fillId="66" borderId="0" xfId="0" applyFill="1"/>
    <xf numFmtId="0" fontId="73" fillId="0" borderId="0" xfId="1" applyFont="1" applyBorder="1" applyAlignment="1">
      <alignment vertical="center"/>
    </xf>
    <xf numFmtId="0" fontId="69" fillId="0" borderId="0" xfId="0" quotePrefix="1" applyFont="1"/>
    <xf numFmtId="0" fontId="11" fillId="0" borderId="0" xfId="1" applyFont="1" applyBorder="1" applyAlignment="1">
      <alignment horizontal="right" vertical="top"/>
    </xf>
    <xf numFmtId="0" fontId="0" fillId="3" borderId="0" xfId="0" applyFill="1" applyBorder="1"/>
    <xf numFmtId="0" fontId="74" fillId="0" borderId="0" xfId="1" quotePrefix="1" applyFont="1" applyBorder="1" applyAlignment="1">
      <alignment vertical="top"/>
    </xf>
    <xf numFmtId="2" fontId="11" fillId="62" borderId="0" xfId="1" applyNumberFormat="1" applyFont="1" applyFill="1" applyBorder="1" applyAlignment="1">
      <alignment horizontal="center" vertical="top"/>
    </xf>
    <xf numFmtId="2" fontId="11" fillId="0" borderId="0" xfId="1" applyNumberFormat="1" applyFont="1" applyBorder="1" applyAlignment="1">
      <alignment horizontal="center" vertical="top"/>
    </xf>
    <xf numFmtId="0" fontId="11" fillId="0" borderId="0" xfId="1" applyFont="1" applyBorder="1" applyAlignment="1">
      <alignment horizontal="center" vertical="top"/>
    </xf>
    <xf numFmtId="1" fontId="11" fillId="66" borderId="0" xfId="1" applyNumberFormat="1" applyFont="1" applyFill="1" applyAlignment="1">
      <alignment horizontal="center" vertical="top"/>
    </xf>
    <xf numFmtId="165" fontId="11" fillId="66" borderId="0" xfId="1" applyNumberFormat="1" applyFont="1" applyFill="1" applyAlignment="1">
      <alignment horizontal="center" vertical="top"/>
    </xf>
    <xf numFmtId="168" fontId="11" fillId="66" borderId="0" xfId="1" applyNumberFormat="1" applyFont="1" applyFill="1" applyAlignment="1">
      <alignment horizontal="center" vertical="top"/>
    </xf>
    <xf numFmtId="0" fontId="11" fillId="0" borderId="0" xfId="1" quotePrefix="1" applyFont="1" applyAlignment="1">
      <alignment horizontal="center" vertical="top"/>
    </xf>
    <xf numFmtId="0" fontId="75" fillId="0" borderId="0" xfId="1" applyFont="1" applyFill="1" applyAlignment="1">
      <alignment vertical="center"/>
    </xf>
    <xf numFmtId="0" fontId="73" fillId="0" borderId="0" xfId="0" applyFont="1"/>
    <xf numFmtId="1" fontId="11" fillId="66" borderId="0" xfId="0" applyNumberFormat="1" applyFont="1" applyFill="1" applyAlignment="1">
      <alignment horizontal="center"/>
    </xf>
    <xf numFmtId="0" fontId="11" fillId="0" borderId="0" xfId="1" applyFont="1" applyBorder="1" applyAlignment="1">
      <alignment vertical="top" wrapText="1"/>
    </xf>
    <xf numFmtId="0" fontId="72" fillId="0" borderId="0" xfId="1" applyFont="1" applyBorder="1" applyAlignment="1">
      <alignment vertical="top"/>
    </xf>
    <xf numFmtId="0" fontId="21" fillId="0" borderId="0" xfId="2" applyFont="1" applyAlignment="1">
      <alignment horizontal="center"/>
    </xf>
    <xf numFmtId="0" fontId="21" fillId="0" borderId="0" xfId="2" applyFont="1" applyFill="1" applyBorder="1" applyAlignment="1">
      <alignment horizontal="center"/>
    </xf>
    <xf numFmtId="169" fontId="21" fillId="64" borderId="0" xfId="2" applyNumberFormat="1" applyFont="1" applyFill="1" applyBorder="1" applyAlignment="1">
      <alignment horizontal="center"/>
    </xf>
    <xf numFmtId="0" fontId="21" fillId="0" borderId="0" xfId="2" quotePrefix="1" applyFont="1" applyFill="1" applyBorder="1" applyAlignment="1">
      <alignment horizontal="center"/>
    </xf>
    <xf numFmtId="4" fontId="21" fillId="68" borderId="0" xfId="2" applyNumberFormat="1" applyFont="1" applyFill="1" applyBorder="1" applyAlignment="1">
      <alignment horizontal="center"/>
    </xf>
    <xf numFmtId="0" fontId="11" fillId="68" borderId="0" xfId="0" applyFont="1" applyFill="1"/>
    <xf numFmtId="4" fontId="21" fillId="64" borderId="0" xfId="2" applyNumberFormat="1" applyFont="1" applyFill="1" applyBorder="1" applyAlignment="1">
      <alignment horizontal="center"/>
    </xf>
    <xf numFmtId="3" fontId="21" fillId="64" borderId="0" xfId="2" applyNumberFormat="1" applyFont="1" applyFill="1" applyBorder="1" applyAlignment="1">
      <alignment horizontal="center"/>
    </xf>
    <xf numFmtId="0" fontId="21" fillId="0" borderId="0" xfId="2" applyFont="1" applyFill="1" applyBorder="1" applyAlignment="1">
      <alignment wrapText="1"/>
    </xf>
    <xf numFmtId="0" fontId="21" fillId="0" borderId="0" xfId="2" applyFont="1" applyFill="1" applyBorder="1" applyAlignment="1">
      <alignment vertical="center" wrapText="1"/>
    </xf>
    <xf numFmtId="0" fontId="21" fillId="0" borderId="0" xfId="2" applyFont="1" applyFill="1" applyBorder="1" applyAlignment="1">
      <alignment horizontal="center" vertical="center"/>
    </xf>
    <xf numFmtId="0" fontId="21" fillId="0" borderId="0" xfId="2" applyFont="1" applyFill="1" applyBorder="1" applyAlignment="1">
      <alignment vertical="center"/>
    </xf>
    <xf numFmtId="166" fontId="11" fillId="64" borderId="0" xfId="1" applyNumberFormat="1" applyFont="1" applyFill="1" applyBorder="1" applyAlignment="1">
      <alignment horizontal="center" vertical="center"/>
    </xf>
    <xf numFmtId="0" fontId="21" fillId="0" borderId="0" xfId="2" quotePrefix="1" applyFont="1" applyFill="1" applyBorder="1" applyAlignment="1">
      <alignment horizontal="center" vertical="center"/>
    </xf>
    <xf numFmtId="0" fontId="11" fillId="2" borderId="0" xfId="1" applyFont="1" applyFill="1" applyBorder="1" applyAlignment="1">
      <alignment vertical="top"/>
    </xf>
    <xf numFmtId="0" fontId="68" fillId="0" borderId="0" xfId="1" applyFont="1" applyBorder="1" applyAlignment="1">
      <alignment vertical="top"/>
    </xf>
    <xf numFmtId="0" fontId="66" fillId="0" borderId="0" xfId="1" applyFont="1" applyBorder="1" applyAlignment="1">
      <alignment horizontal="left" vertical="top"/>
    </xf>
    <xf numFmtId="1" fontId="11" fillId="64" borderId="0" xfId="1" applyNumberFormat="1" applyFont="1" applyFill="1" applyBorder="1" applyAlignment="1">
      <alignment horizontal="center" vertical="top"/>
    </xf>
    <xf numFmtId="0" fontId="44" fillId="0" borderId="0" xfId="2" applyFont="1" applyFill="1" applyBorder="1"/>
    <xf numFmtId="0" fontId="36" fillId="0" borderId="0" xfId="45"/>
    <xf numFmtId="0" fontId="36" fillId="0" borderId="0" xfId="45" applyAlignment="1">
      <alignment horizontal="center" vertical="center"/>
    </xf>
    <xf numFmtId="0" fontId="63" fillId="0" borderId="0" xfId="45" applyFont="1" applyAlignment="1"/>
    <xf numFmtId="0" fontId="79" fillId="0" borderId="0" xfId="45" applyFont="1" applyAlignment="1"/>
    <xf numFmtId="0" fontId="36" fillId="69" borderId="0" xfId="45" applyFill="1"/>
    <xf numFmtId="0" fontId="81" fillId="0" borderId="0" xfId="45" applyFont="1" applyAlignment="1">
      <alignment vertical="center"/>
    </xf>
    <xf numFmtId="0" fontId="83" fillId="8" borderId="0" xfId="97" applyFont="1" applyFill="1" applyAlignment="1">
      <alignment horizontal="center" vertical="center"/>
    </xf>
    <xf numFmtId="0" fontId="83" fillId="8" borderId="0" xfId="97" applyFont="1" applyFill="1" applyAlignment="1">
      <alignment horizontal="center" vertical="center" wrapText="1"/>
    </xf>
    <xf numFmtId="0" fontId="45" fillId="8" borderId="0" xfId="45" applyFont="1" applyFill="1" applyAlignment="1">
      <alignment horizontal="center" vertical="center"/>
    </xf>
    <xf numFmtId="0" fontId="23" fillId="0" borderId="0" xfId="45" applyFont="1" applyAlignment="1">
      <alignment horizontal="center" vertical="center"/>
    </xf>
    <xf numFmtId="0" fontId="23" fillId="0" borderId="0" xfId="45" applyFont="1" applyAlignment="1"/>
    <xf numFmtId="0" fontId="59" fillId="0" borderId="0" xfId="45" applyFont="1" applyAlignment="1">
      <alignment horizontal="center" vertical="center"/>
    </xf>
    <xf numFmtId="0" fontId="59" fillId="0" borderId="8" xfId="45" applyFont="1" applyBorder="1" applyAlignment="1">
      <alignment horizontal="center" vertical="center"/>
    </xf>
    <xf numFmtId="0" fontId="45" fillId="0" borderId="0" xfId="45" applyFont="1" applyAlignment="1">
      <alignment horizontal="right"/>
    </xf>
    <xf numFmtId="0" fontId="45" fillId="0" borderId="0" xfId="45" applyFont="1" applyAlignment="1">
      <alignment horizontal="center" vertical="center"/>
    </xf>
    <xf numFmtId="0" fontId="59" fillId="0" borderId="0" xfId="45" applyFont="1" applyAlignment="1"/>
    <xf numFmtId="0" fontId="59" fillId="0" borderId="8" xfId="45" applyFont="1" applyBorder="1" applyAlignment="1"/>
    <xf numFmtId="0" fontId="59" fillId="0" borderId="0" xfId="97" applyFont="1"/>
    <xf numFmtId="0" fontId="80" fillId="0" borderId="8" xfId="97" applyFont="1" applyBorder="1" applyAlignment="1">
      <alignment horizontal="center" vertical="center"/>
    </xf>
    <xf numFmtId="0" fontId="80" fillId="0" borderId="8" xfId="97" applyFont="1" applyBorder="1"/>
    <xf numFmtId="0" fontId="45" fillId="8" borderId="33" xfId="97" applyFont="1" applyFill="1" applyBorder="1" applyAlignment="1">
      <alignment horizontal="center" vertical="center" wrapText="1"/>
    </xf>
    <xf numFmtId="0" fontId="82" fillId="8" borderId="34" xfId="97" applyFont="1" applyFill="1" applyBorder="1" applyAlignment="1">
      <alignment horizontal="center" vertical="center"/>
    </xf>
    <xf numFmtId="0" fontId="23" fillId="0" borderId="35" xfId="97" applyBorder="1" applyAlignment="1">
      <alignment horizontal="center" vertical="center"/>
    </xf>
    <xf numFmtId="0" fontId="59" fillId="0" borderId="36" xfId="97" applyFont="1" applyBorder="1" applyAlignment="1">
      <alignment horizontal="center" vertical="center"/>
    </xf>
    <xf numFmtId="0" fontId="23" fillId="0" borderId="37" xfId="97" applyBorder="1" applyAlignment="1">
      <alignment horizontal="center" vertical="center"/>
    </xf>
    <xf numFmtId="0" fontId="45" fillId="0" borderId="38" xfId="97" applyFont="1" applyBorder="1" applyAlignment="1">
      <alignment horizontal="center" vertical="center"/>
    </xf>
    <xf numFmtId="0" fontId="23" fillId="0" borderId="39" xfId="97" applyBorder="1"/>
    <xf numFmtId="0" fontId="45" fillId="8" borderId="0" xfId="45" applyFont="1" applyFill="1" applyAlignment="1">
      <alignment horizontal="center" vertical="center" wrapText="1"/>
    </xf>
    <xf numFmtId="0" fontId="12" fillId="0" borderId="0" xfId="45" applyFont="1" applyAlignment="1">
      <alignment vertical="center" wrapText="1"/>
    </xf>
    <xf numFmtId="0" fontId="63" fillId="0" borderId="0" xfId="97" applyFont="1" applyAlignment="1">
      <alignment horizontal="center" vertical="center"/>
    </xf>
    <xf numFmtId="0" fontId="63" fillId="0" borderId="0" xfId="97" applyFont="1" applyAlignment="1">
      <alignment wrapText="1"/>
    </xf>
    <xf numFmtId="0" fontId="63" fillId="0" borderId="0" xfId="97" applyFont="1"/>
    <xf numFmtId="0" fontId="84" fillId="0" borderId="0" xfId="97" applyFont="1" applyAlignment="1">
      <alignment horizontal="center" vertical="center"/>
    </xf>
    <xf numFmtId="0" fontId="84" fillId="0" borderId="0" xfId="97" applyFont="1" applyAlignment="1">
      <alignment wrapText="1"/>
    </xf>
    <xf numFmtId="0" fontId="59" fillId="0" borderId="8" xfId="97" applyFont="1" applyBorder="1" applyAlignment="1">
      <alignment horizontal="center" vertical="center"/>
    </xf>
    <xf numFmtId="0" fontId="11" fillId="0" borderId="0" xfId="1" quotePrefix="1" applyFont="1" applyBorder="1" applyAlignment="1">
      <alignment horizontal="center" vertical="top"/>
    </xf>
    <xf numFmtId="0" fontId="11" fillId="0" borderId="0" xfId="0" quotePrefix="1" applyFont="1" applyFill="1" applyBorder="1" applyAlignment="1">
      <alignment horizontal="center" vertical="center"/>
    </xf>
    <xf numFmtId="0" fontId="11" fillId="0" borderId="0" xfId="1" quotePrefix="1" applyFont="1" applyFill="1" applyBorder="1" applyAlignment="1">
      <alignment horizontal="center" vertical="top"/>
    </xf>
    <xf numFmtId="0" fontId="85" fillId="0" borderId="0" xfId="1" applyFont="1" applyAlignment="1">
      <alignment horizontal="right" vertical="top"/>
    </xf>
    <xf numFmtId="14" fontId="85" fillId="0" borderId="0" xfId="1" applyNumberFormat="1" applyFont="1" applyAlignment="1">
      <alignment horizontal="left" vertical="top"/>
    </xf>
    <xf numFmtId="0" fontId="11" fillId="8" borderId="2" xfId="0" applyFont="1" applyFill="1" applyBorder="1"/>
    <xf numFmtId="0" fontId="11" fillId="8" borderId="3" xfId="0" applyFont="1" applyFill="1" applyBorder="1"/>
    <xf numFmtId="0" fontId="11" fillId="8" borderId="4" xfId="0" applyFont="1" applyFill="1" applyBorder="1"/>
    <xf numFmtId="0" fontId="11" fillId="8" borderId="5" xfId="0" applyFont="1" applyFill="1" applyBorder="1"/>
    <xf numFmtId="0" fontId="13" fillId="8" borderId="0" xfId="0" applyFont="1" applyFill="1" applyBorder="1" applyAlignment="1">
      <alignment horizontal="left"/>
    </xf>
    <xf numFmtId="0" fontId="11" fillId="8" borderId="6" xfId="0" applyFont="1" applyFill="1" applyBorder="1"/>
    <xf numFmtId="0" fontId="72" fillId="8" borderId="0" xfId="0" applyFont="1" applyFill="1" applyBorder="1"/>
    <xf numFmtId="0" fontId="11" fillId="8" borderId="7" xfId="0" applyFont="1" applyFill="1" applyBorder="1"/>
    <xf numFmtId="0" fontId="72" fillId="8" borderId="0" xfId="0" applyFont="1" applyFill="1" applyBorder="1" applyAlignment="1">
      <alignment wrapText="1"/>
    </xf>
    <xf numFmtId="0" fontId="72" fillId="8" borderId="0" xfId="0" applyFont="1" applyFill="1" applyBorder="1" applyAlignment="1">
      <alignment vertical="top"/>
    </xf>
    <xf numFmtId="0" fontId="72" fillId="8" borderId="6" xfId="0" applyFont="1" applyFill="1" applyBorder="1"/>
    <xf numFmtId="0" fontId="72" fillId="8" borderId="8" xfId="0" applyFont="1" applyFill="1" applyBorder="1"/>
    <xf numFmtId="0" fontId="72" fillId="8" borderId="9" xfId="0" applyFont="1" applyFill="1" applyBorder="1"/>
    <xf numFmtId="0" fontId="72" fillId="8" borderId="0" xfId="0" applyFont="1" applyFill="1" applyBorder="1" applyAlignment="1">
      <alignment horizontal="center"/>
    </xf>
    <xf numFmtId="0" fontId="72" fillId="8" borderId="0" xfId="0" quotePrefix="1" applyFont="1" applyFill="1" applyBorder="1" applyAlignment="1">
      <alignment horizontal="center" vertical="top"/>
    </xf>
    <xf numFmtId="0" fontId="72" fillId="8" borderId="0" xfId="0" applyFont="1" applyFill="1" applyBorder="1" applyAlignment="1">
      <alignment horizontal="left" vertical="top" wrapText="1"/>
    </xf>
    <xf numFmtId="0" fontId="87" fillId="2" borderId="0" xfId="1" applyFont="1" applyFill="1" applyProtection="1">
      <protection locked="0"/>
    </xf>
    <xf numFmtId="0" fontId="88" fillId="2" borderId="0" xfId="1" applyFont="1" applyFill="1" applyProtection="1">
      <protection locked="0"/>
    </xf>
    <xf numFmtId="0" fontId="11" fillId="0" borderId="0" xfId="1" applyFont="1" applyProtection="1">
      <protection locked="0"/>
    </xf>
    <xf numFmtId="0" fontId="11" fillId="0" borderId="0" xfId="1" quotePrefix="1" applyFont="1" applyProtection="1">
      <protection locked="0"/>
    </xf>
    <xf numFmtId="0" fontId="11" fillId="0" borderId="0" xfId="1" applyFont="1" applyAlignment="1" applyProtection="1">
      <alignment horizontal="left"/>
      <protection locked="0"/>
    </xf>
    <xf numFmtId="0" fontId="88" fillId="2" borderId="0" xfId="1" applyFont="1" applyFill="1" applyBorder="1" applyProtection="1">
      <protection locked="0"/>
    </xf>
    <xf numFmtId="164" fontId="11" fillId="0" borderId="0" xfId="1" applyNumberFormat="1" applyFont="1" applyAlignment="1" applyProtection="1">
      <alignment horizontal="center"/>
      <protection locked="0"/>
    </xf>
    <xf numFmtId="2" fontId="11" fillId="0" borderId="0" xfId="1" applyNumberFormat="1" applyFont="1" applyAlignment="1" applyProtection="1">
      <alignment horizontal="center"/>
      <protection locked="0"/>
    </xf>
    <xf numFmtId="0" fontId="11" fillId="70" borderId="40" xfId="1" applyFont="1" applyFill="1" applyBorder="1" applyAlignment="1" applyProtection="1">
      <alignment horizontal="center" vertical="center" wrapText="1"/>
      <protection locked="0"/>
    </xf>
    <xf numFmtId="164" fontId="11" fillId="70" borderId="40" xfId="1" applyNumberFormat="1" applyFont="1" applyFill="1" applyBorder="1" applyAlignment="1" applyProtection="1">
      <alignment horizontal="center" vertical="center" wrapText="1"/>
      <protection locked="0"/>
    </xf>
    <xf numFmtId="2" fontId="11" fillId="70" borderId="40" xfId="1" applyNumberFormat="1" applyFont="1" applyFill="1" applyBorder="1" applyAlignment="1" applyProtection="1">
      <alignment horizontal="center" vertical="center" wrapText="1"/>
      <protection locked="0"/>
    </xf>
    <xf numFmtId="0" fontId="11" fillId="70" borderId="41" xfId="1" applyFont="1" applyFill="1" applyBorder="1" applyAlignment="1" applyProtection="1">
      <alignment horizontal="center" vertical="center" wrapText="1"/>
      <protection locked="0"/>
    </xf>
    <xf numFmtId="0" fontId="10" fillId="0" borderId="0" xfId="1" applyFont="1" applyAlignment="1" applyProtection="1">
      <alignment horizontal="right"/>
      <protection locked="0"/>
    </xf>
    <xf numFmtId="0" fontId="11" fillId="0" borderId="0" xfId="1" applyFont="1" applyAlignment="1" applyProtection="1">
      <alignment horizontal="center"/>
      <protection locked="0"/>
    </xf>
    <xf numFmtId="0" fontId="11" fillId="0" borderId="1" xfId="1" applyFont="1" applyBorder="1" applyProtection="1">
      <protection locked="0"/>
    </xf>
    <xf numFmtId="0" fontId="11" fillId="0" borderId="0" xfId="1" quotePrefix="1" applyFont="1" applyFill="1" applyBorder="1" applyProtection="1">
      <protection locked="0"/>
    </xf>
    <xf numFmtId="2" fontId="11" fillId="0" borderId="0" xfId="1" applyNumberFormat="1" applyFont="1" applyFill="1" applyBorder="1" applyProtection="1">
      <protection locked="0"/>
    </xf>
    <xf numFmtId="0" fontId="11" fillId="0" borderId="0" xfId="1" applyFont="1" applyFill="1" applyBorder="1" applyProtection="1">
      <protection locked="0"/>
    </xf>
    <xf numFmtId="0" fontId="66" fillId="0" borderId="0" xfId="1" applyFont="1" applyAlignment="1" applyProtection="1">
      <alignment wrapText="1"/>
      <protection locked="0"/>
    </xf>
    <xf numFmtId="0" fontId="66" fillId="0" borderId="0" xfId="1" applyFont="1" applyAlignment="1" applyProtection="1">
      <protection locked="0"/>
    </xf>
    <xf numFmtId="0" fontId="10" fillId="0" borderId="0" xfId="1" applyFont="1" applyBorder="1" applyAlignment="1" applyProtection="1">
      <alignment horizontal="right"/>
      <protection locked="0"/>
    </xf>
    <xf numFmtId="0" fontId="11" fillId="70" borderId="48" xfId="1" applyFont="1" applyFill="1" applyBorder="1" applyAlignment="1" applyProtection="1">
      <alignment horizontal="left"/>
      <protection locked="0"/>
    </xf>
    <xf numFmtId="0" fontId="11" fillId="70" borderId="49" xfId="1" applyFont="1" applyFill="1" applyBorder="1" applyAlignment="1" applyProtection="1">
      <alignment horizontal="left"/>
      <protection locked="0"/>
    </xf>
    <xf numFmtId="2" fontId="11" fillId="74" borderId="50" xfId="1" applyNumberFormat="1" applyFont="1" applyFill="1" applyBorder="1" applyAlignment="1" applyProtection="1">
      <alignment horizontal="right"/>
      <protection locked="0"/>
    </xf>
    <xf numFmtId="2" fontId="11" fillId="74" borderId="51" xfId="1" applyNumberFormat="1" applyFont="1" applyFill="1" applyBorder="1" applyAlignment="1" applyProtection="1">
      <alignment horizontal="right"/>
      <protection locked="0"/>
    </xf>
    <xf numFmtId="2" fontId="92" fillId="0" borderId="0" xfId="1" applyNumberFormat="1" applyFont="1" applyFill="1" applyBorder="1" applyProtection="1">
      <protection locked="0"/>
    </xf>
    <xf numFmtId="2" fontId="11" fillId="74" borderId="50" xfId="1" applyNumberFormat="1" applyFont="1" applyFill="1" applyBorder="1" applyProtection="1">
      <protection locked="0"/>
    </xf>
    <xf numFmtId="2" fontId="11" fillId="74" borderId="51" xfId="1" applyNumberFormat="1" applyFont="1" applyFill="1" applyBorder="1" applyProtection="1">
      <protection locked="0"/>
    </xf>
    <xf numFmtId="2" fontId="11" fillId="74" borderId="52" xfId="1" applyNumberFormat="1" applyFont="1" applyFill="1" applyBorder="1" applyProtection="1">
      <protection locked="0"/>
    </xf>
    <xf numFmtId="2" fontId="11" fillId="74" borderId="53" xfId="1" applyNumberFormat="1" applyFont="1" applyFill="1" applyBorder="1" applyProtection="1">
      <protection locked="0"/>
    </xf>
    <xf numFmtId="164" fontId="11" fillId="0" borderId="0" xfId="1" applyNumberFormat="1" applyFont="1" applyFill="1" applyBorder="1" applyAlignment="1" applyProtection="1">
      <alignment horizontal="right"/>
      <protection locked="0"/>
    </xf>
    <xf numFmtId="0" fontId="11" fillId="0" borderId="0" xfId="1" applyFont="1" applyBorder="1" applyProtection="1">
      <protection locked="0"/>
    </xf>
    <xf numFmtId="164" fontId="89" fillId="0" borderId="0" xfId="1" applyNumberFormat="1" applyFont="1" applyFill="1" applyBorder="1" applyAlignment="1" applyProtection="1">
      <alignment horizontal="center"/>
      <protection locked="0"/>
    </xf>
    <xf numFmtId="164" fontId="11" fillId="0" borderId="0" xfId="1" applyNumberFormat="1" applyFont="1" applyProtection="1">
      <protection locked="0"/>
    </xf>
    <xf numFmtId="2" fontId="11" fillId="0" borderId="0" xfId="1" applyNumberFormat="1" applyFont="1" applyFill="1" applyBorder="1" applyAlignment="1" applyProtection="1">
      <alignment horizontal="right" vertical="center"/>
      <protection locked="0"/>
    </xf>
    <xf numFmtId="0" fontId="17" fillId="0" borderId="0" xfId="1" applyProtection="1">
      <protection locked="0"/>
    </xf>
    <xf numFmtId="164" fontId="11" fillId="2" borderId="5" xfId="1" applyNumberFormat="1" applyFont="1" applyFill="1" applyBorder="1" applyProtection="1">
      <protection locked="0"/>
    </xf>
    <xf numFmtId="0" fontId="11" fillId="2" borderId="0" xfId="1" applyFont="1" applyFill="1" applyBorder="1" applyProtection="1">
      <protection locked="0"/>
    </xf>
    <xf numFmtId="0" fontId="11" fillId="2" borderId="6" xfId="1" applyFont="1" applyFill="1" applyBorder="1" applyProtection="1">
      <protection locked="0"/>
    </xf>
    <xf numFmtId="0" fontId="11" fillId="2" borderId="5" xfId="1" applyFont="1" applyFill="1" applyBorder="1" applyProtection="1">
      <protection locked="0"/>
    </xf>
    <xf numFmtId="0" fontId="11" fillId="3" borderId="0" xfId="1" applyFont="1" applyFill="1" applyBorder="1" applyAlignment="1" applyProtection="1">
      <alignment horizontal="center"/>
      <protection locked="0"/>
    </xf>
    <xf numFmtId="0" fontId="11" fillId="75" borderId="0" xfId="1" applyFont="1" applyFill="1" applyBorder="1" applyProtection="1">
      <protection locked="0"/>
    </xf>
    <xf numFmtId="164" fontId="11" fillId="2" borderId="7" xfId="1" applyNumberFormat="1" applyFont="1" applyFill="1" applyBorder="1" applyProtection="1">
      <protection locked="0"/>
    </xf>
    <xf numFmtId="0" fontId="11" fillId="2" borderId="8" xfId="1" applyFont="1" applyFill="1" applyBorder="1" applyProtection="1">
      <protection locked="0"/>
    </xf>
    <xf numFmtId="0" fontId="11" fillId="2" borderId="9" xfId="1" applyFont="1" applyFill="1" applyBorder="1" applyProtection="1">
      <protection locked="0"/>
    </xf>
    <xf numFmtId="164" fontId="11" fillId="0" borderId="0" xfId="1" applyNumberFormat="1" applyFont="1" applyBorder="1" applyProtection="1">
      <protection locked="0"/>
    </xf>
    <xf numFmtId="164" fontId="12" fillId="0" borderId="2" xfId="1" applyNumberFormat="1" applyFont="1" applyBorder="1" applyProtection="1">
      <protection locked="0"/>
    </xf>
    <xf numFmtId="0" fontId="89" fillId="0" borderId="3" xfId="1" applyFont="1" applyBorder="1" applyAlignment="1" applyProtection="1">
      <alignment horizontal="left"/>
      <protection locked="0"/>
    </xf>
    <xf numFmtId="0" fontId="11" fillId="0" borderId="3" xfId="1" applyFont="1" applyBorder="1" applyProtection="1">
      <protection locked="0"/>
    </xf>
    <xf numFmtId="164" fontId="11" fillId="0" borderId="5" xfId="1" applyNumberFormat="1" applyFont="1" applyBorder="1" applyProtection="1">
      <protection locked="0"/>
    </xf>
    <xf numFmtId="0" fontId="11" fillId="0" borderId="5" xfId="1" applyFont="1" applyBorder="1" applyProtection="1">
      <protection locked="0"/>
    </xf>
    <xf numFmtId="0" fontId="17" fillId="0" borderId="0" xfId="1" applyBorder="1" applyProtection="1">
      <protection locked="0"/>
    </xf>
    <xf numFmtId="0" fontId="17" fillId="0" borderId="0" xfId="1" applyFill="1" applyBorder="1" applyProtection="1">
      <protection locked="0"/>
    </xf>
    <xf numFmtId="0" fontId="10" fillId="0" borderId="0" xfId="1" applyFont="1" applyFill="1" applyAlignment="1" applyProtection="1">
      <alignment horizontal="right"/>
      <protection locked="0"/>
    </xf>
    <xf numFmtId="164" fontId="11" fillId="0" borderId="0" xfId="1" applyNumberFormat="1" applyFont="1" applyFill="1" applyProtection="1">
      <protection locked="0"/>
    </xf>
    <xf numFmtId="0" fontId="11" fillId="0" borderId="0" xfId="1" applyFont="1" applyFill="1" applyProtection="1">
      <protection locked="0"/>
    </xf>
    <xf numFmtId="0" fontId="11" fillId="2" borderId="5" xfId="1" applyFont="1" applyFill="1" applyBorder="1" applyAlignment="1" applyProtection="1">
      <alignment horizontal="left"/>
      <protection locked="0"/>
    </xf>
    <xf numFmtId="0" fontId="12" fillId="0" borderId="0" xfId="1" applyFont="1" applyAlignment="1" applyProtection="1">
      <protection locked="0"/>
    </xf>
    <xf numFmtId="0" fontId="12" fillId="0" borderId="0" xfId="1" applyFont="1" applyAlignment="1" applyProtection="1">
      <alignment horizontal="left"/>
      <protection locked="0"/>
    </xf>
    <xf numFmtId="164" fontId="89" fillId="0" borderId="0" xfId="1" applyNumberFormat="1" applyFont="1" applyAlignment="1" applyProtection="1">
      <alignment horizontal="left" vertical="top"/>
      <protection locked="0"/>
    </xf>
    <xf numFmtId="0" fontId="11" fillId="74" borderId="0" xfId="1" applyFont="1" applyFill="1" applyBorder="1" applyAlignment="1" applyProtection="1">
      <alignment horizontal="center"/>
      <protection locked="0"/>
    </xf>
    <xf numFmtId="164" fontId="89" fillId="0" borderId="0" xfId="1" applyNumberFormat="1" applyFont="1" applyAlignment="1" applyProtection="1">
      <alignment vertical="top"/>
      <protection locked="0"/>
    </xf>
    <xf numFmtId="0" fontId="89" fillId="2" borderId="6" xfId="1" applyFont="1" applyFill="1" applyBorder="1" applyProtection="1">
      <protection locked="0"/>
    </xf>
    <xf numFmtId="0" fontId="89" fillId="2" borderId="0" xfId="1" quotePrefix="1" applyFont="1" applyFill="1" applyBorder="1" applyProtection="1">
      <protection locked="0"/>
    </xf>
    <xf numFmtId="0" fontId="12" fillId="0" borderId="0" xfId="1" applyFont="1" applyProtection="1">
      <protection locked="0"/>
    </xf>
    <xf numFmtId="0" fontId="11" fillId="0" borderId="8" xfId="1" applyFont="1" applyBorder="1" applyAlignment="1">
      <alignment vertical="top"/>
    </xf>
    <xf numFmtId="0" fontId="0" fillId="66" borderId="8" xfId="0" applyFill="1" applyBorder="1"/>
    <xf numFmtId="0" fontId="74" fillId="0" borderId="8" xfId="1" quotePrefix="1" applyFont="1" applyBorder="1" applyAlignment="1">
      <alignment vertical="top"/>
    </xf>
    <xf numFmtId="0" fontId="11" fillId="2" borderId="8" xfId="1" applyFont="1" applyFill="1" applyBorder="1" applyAlignment="1">
      <alignment vertical="top"/>
    </xf>
    <xf numFmtId="0" fontId="96" fillId="0" borderId="0" xfId="1" applyFont="1" applyAlignment="1" applyProtection="1">
      <protection locked="0"/>
    </xf>
    <xf numFmtId="0" fontId="11" fillId="0" borderId="0" xfId="1" applyFont="1" applyBorder="1" applyAlignment="1" applyProtection="1">
      <alignment horizontal="left"/>
      <protection locked="0"/>
    </xf>
    <xf numFmtId="0" fontId="11" fillId="3" borderId="0" xfId="1" applyFont="1" applyFill="1" applyBorder="1" applyProtection="1">
      <protection locked="0"/>
    </xf>
    <xf numFmtId="1" fontId="11" fillId="3" borderId="0" xfId="1" applyNumberFormat="1" applyFont="1" applyFill="1" applyBorder="1" applyProtection="1">
      <protection locked="0"/>
    </xf>
    <xf numFmtId="164" fontId="11" fillId="3" borderId="0" xfId="1" applyNumberFormat="1" applyFont="1" applyFill="1" applyProtection="1">
      <protection locked="0"/>
    </xf>
    <xf numFmtId="0" fontId="11" fillId="3" borderId="0" xfId="1" applyFont="1" applyFill="1" applyProtection="1">
      <protection locked="0"/>
    </xf>
    <xf numFmtId="0" fontId="98" fillId="0" borderId="0" xfId="1" applyFont="1" applyProtection="1">
      <protection locked="0"/>
    </xf>
    <xf numFmtId="0" fontId="11" fillId="0" borderId="0" xfId="1" applyFont="1" applyFill="1" applyAlignment="1" applyProtection="1">
      <alignment horizontal="center"/>
      <protection locked="0"/>
    </xf>
    <xf numFmtId="164" fontId="11" fillId="0" borderId="0" xfId="1" applyNumberFormat="1" applyFont="1" applyFill="1" applyAlignment="1" applyProtection="1">
      <alignment horizontal="center"/>
      <protection locked="0"/>
    </xf>
    <xf numFmtId="2" fontId="11" fillId="0" borderId="0" xfId="1" applyNumberFormat="1" applyFont="1" applyFill="1" applyAlignment="1" applyProtection="1">
      <alignment horizontal="center"/>
      <protection locked="0"/>
    </xf>
    <xf numFmtId="1" fontId="88" fillId="2" borderId="0" xfId="1" applyNumberFormat="1" applyFont="1" applyFill="1" applyBorder="1" applyProtection="1">
      <protection locked="0"/>
    </xf>
    <xf numFmtId="164" fontId="11" fillId="76" borderId="0" xfId="1" applyNumberFormat="1" applyFont="1" applyFill="1" applyProtection="1">
      <protection locked="0"/>
    </xf>
    <xf numFmtId="2" fontId="11" fillId="0" borderId="0" xfId="0" applyNumberFormat="1" applyFont="1"/>
    <xf numFmtId="0" fontId="21" fillId="0" borderId="0" xfId="2" quotePrefix="1" applyFont="1" applyAlignment="1">
      <alignment horizontal="center"/>
    </xf>
    <xf numFmtId="0" fontId="72" fillId="8" borderId="0" xfId="0" quotePrefix="1" applyFont="1" applyFill="1" applyBorder="1" applyAlignment="1">
      <alignment horizontal="left" vertical="top" wrapText="1"/>
    </xf>
    <xf numFmtId="0" fontId="100" fillId="8" borderId="0" xfId="0" quotePrefix="1" applyFont="1" applyFill="1" applyBorder="1"/>
    <xf numFmtId="0" fontId="100" fillId="8" borderId="0" xfId="0" quotePrefix="1" applyFont="1" applyFill="1" applyBorder="1" applyAlignment="1">
      <alignment horizontal="left" vertical="top" wrapText="1"/>
    </xf>
    <xf numFmtId="0" fontId="100" fillId="8" borderId="0" xfId="0" quotePrefix="1" applyFont="1" applyFill="1" applyBorder="1" applyAlignment="1">
      <alignment wrapText="1"/>
    </xf>
    <xf numFmtId="0" fontId="100" fillId="8" borderId="0" xfId="0" applyFont="1" applyFill="1" applyBorder="1" applyAlignment="1">
      <alignment wrapText="1"/>
    </xf>
    <xf numFmtId="0" fontId="101" fillId="8" borderId="0" xfId="0" applyFont="1" applyFill="1" applyBorder="1" applyAlignment="1">
      <alignment vertical="top"/>
    </xf>
    <xf numFmtId="0" fontId="72" fillId="8" borderId="0" xfId="0" quotePrefix="1" applyFont="1" applyFill="1" applyBorder="1" applyAlignment="1">
      <alignment horizontal="right" vertical="top"/>
    </xf>
    <xf numFmtId="0" fontId="101" fillId="8" borderId="0" xfId="0" applyFont="1" applyFill="1" applyBorder="1"/>
    <xf numFmtId="0" fontId="101" fillId="8" borderId="0" xfId="0" applyFont="1" applyFill="1" applyBorder="1" applyAlignment="1">
      <alignment wrapText="1"/>
    </xf>
    <xf numFmtId="0" fontId="101" fillId="8" borderId="0" xfId="0" quotePrefix="1" applyFont="1" applyFill="1" applyBorder="1"/>
    <xf numFmtId="0" fontId="23" fillId="66" borderId="0" xfId="97" applyFill="1" applyAlignment="1">
      <alignment horizontal="center" vertical="center"/>
    </xf>
    <xf numFmtId="0" fontId="102" fillId="0" borderId="0" xfId="1" applyFont="1" applyFill="1" applyAlignment="1">
      <alignment horizontal="center" vertical="center"/>
    </xf>
    <xf numFmtId="164" fontId="11" fillId="74" borderId="51" xfId="1" applyNumberFormat="1" applyFont="1" applyFill="1" applyBorder="1" applyAlignment="1" applyProtection="1">
      <alignment horizontal="right"/>
      <protection locked="0"/>
    </xf>
    <xf numFmtId="164" fontId="11" fillId="74" borderId="51" xfId="1" applyNumberFormat="1" applyFont="1" applyFill="1" applyBorder="1" applyProtection="1">
      <protection locked="0"/>
    </xf>
    <xf numFmtId="164" fontId="11" fillId="74" borderId="53" xfId="1" applyNumberFormat="1" applyFont="1" applyFill="1" applyBorder="1" applyProtection="1">
      <protection locked="0"/>
    </xf>
    <xf numFmtId="164" fontId="11" fillId="74" borderId="50" xfId="1" applyNumberFormat="1" applyFont="1" applyFill="1" applyBorder="1" applyAlignment="1" applyProtection="1">
      <alignment horizontal="right"/>
      <protection locked="0"/>
    </xf>
    <xf numFmtId="164" fontId="11" fillId="74" borderId="50" xfId="1" applyNumberFormat="1" applyFont="1" applyFill="1" applyBorder="1" applyProtection="1">
      <protection locked="0"/>
    </xf>
    <xf numFmtId="164" fontId="11" fillId="74" borderId="52" xfId="1" applyNumberFormat="1" applyFont="1" applyFill="1" applyBorder="1" applyProtection="1">
      <protection locked="0"/>
    </xf>
    <xf numFmtId="0" fontId="11" fillId="2" borderId="0" xfId="1" applyFont="1" applyFill="1" applyBorder="1" applyAlignment="1">
      <alignment horizontal="left" vertical="top"/>
    </xf>
    <xf numFmtId="0" fontId="11" fillId="0" borderId="0" xfId="1" applyFont="1" applyFill="1" applyBorder="1" applyAlignment="1">
      <alignment vertical="center" wrapText="1"/>
    </xf>
    <xf numFmtId="0" fontId="11" fillId="2" borderId="5" xfId="1" applyFont="1" applyFill="1" applyBorder="1" applyAlignment="1" applyProtection="1">
      <alignment horizontal="left"/>
      <protection locked="0"/>
    </xf>
    <xf numFmtId="0" fontId="11" fillId="2" borderId="0" xfId="1" applyFont="1" applyFill="1" applyBorder="1" applyAlignment="1" applyProtection="1">
      <alignment horizontal="left"/>
      <protection locked="0"/>
    </xf>
    <xf numFmtId="164" fontId="89" fillId="0" borderId="0" xfId="1" applyNumberFormat="1" applyFont="1" applyFill="1" applyBorder="1" applyAlignment="1" applyProtection="1">
      <alignment horizontal="center"/>
      <protection locked="0"/>
    </xf>
    <xf numFmtId="2" fontId="11" fillId="66" borderId="0" xfId="0" applyNumberFormat="1" applyFont="1" applyFill="1" applyAlignment="1">
      <alignment horizontal="center"/>
    </xf>
    <xf numFmtId="0" fontId="12" fillId="0" borderId="0" xfId="1" applyFont="1" applyBorder="1" applyAlignment="1" applyProtection="1">
      <alignment horizontal="left"/>
      <protection locked="0"/>
    </xf>
    <xf numFmtId="0" fontId="97" fillId="0" borderId="0" xfId="1" applyFont="1" applyBorder="1" applyAlignment="1" applyProtection="1">
      <alignment horizontal="center"/>
      <protection locked="0"/>
    </xf>
    <xf numFmtId="0" fontId="11" fillId="0" borderId="0" xfId="1" applyFont="1" applyFill="1" applyBorder="1" applyAlignment="1" applyProtection="1">
      <alignment horizontal="left"/>
      <protection locked="0"/>
    </xf>
    <xf numFmtId="0" fontId="12" fillId="0" borderId="0" xfId="1" applyFont="1" applyFill="1" applyBorder="1" applyAlignment="1" applyProtection="1">
      <protection locked="0"/>
    </xf>
    <xf numFmtId="2" fontId="89" fillId="0" borderId="0" xfId="1" applyNumberFormat="1" applyFont="1" applyFill="1" applyBorder="1" applyAlignment="1" applyProtection="1">
      <protection locked="0"/>
    </xf>
    <xf numFmtId="164" fontId="11" fillId="0" borderId="0" xfId="1" applyNumberFormat="1" applyFont="1" applyBorder="1" applyAlignment="1" applyProtection="1">
      <protection locked="0"/>
    </xf>
    <xf numFmtId="164" fontId="11" fillId="0" borderId="0" xfId="1" applyNumberFormat="1" applyFont="1" applyFill="1" applyBorder="1" applyProtection="1">
      <protection locked="0"/>
    </xf>
    <xf numFmtId="0" fontId="11" fillId="0" borderId="0" xfId="1" applyFont="1" applyFill="1" applyBorder="1" applyAlignment="1" applyProtection="1">
      <alignment horizontal="center"/>
      <protection locked="0"/>
    </xf>
    <xf numFmtId="164" fontId="12" fillId="0" borderId="0" xfId="1" applyNumberFormat="1" applyFont="1" applyFill="1" applyBorder="1" applyProtection="1">
      <protection locked="0"/>
    </xf>
    <xf numFmtId="0" fontId="89" fillId="0" borderId="0" xfId="1" applyFont="1" applyFill="1" applyBorder="1" applyAlignment="1" applyProtection="1">
      <alignment horizontal="left"/>
      <protection locked="0"/>
    </xf>
    <xf numFmtId="0" fontId="93" fillId="0" borderId="0" xfId="1" applyFont="1" applyFill="1" applyBorder="1" applyProtection="1">
      <protection locked="0"/>
    </xf>
    <xf numFmtId="2" fontId="11" fillId="0" borderId="0" xfId="1" applyNumberFormat="1" applyFont="1" applyFill="1" applyBorder="1" applyAlignment="1" applyProtection="1">
      <protection locked="0"/>
    </xf>
    <xf numFmtId="0" fontId="86" fillId="2" borderId="0" xfId="1" applyFont="1" applyFill="1" applyAlignment="1" applyProtection="1">
      <protection locked="0"/>
    </xf>
    <xf numFmtId="0" fontId="105" fillId="2" borderId="0" xfId="1" applyFont="1" applyFill="1" applyAlignment="1" applyProtection="1">
      <protection locked="0"/>
    </xf>
    <xf numFmtId="0" fontId="107" fillId="8" borderId="0" xfId="0" quotePrefix="1" applyFont="1" applyFill="1" applyBorder="1" applyAlignment="1">
      <alignment horizontal="left" vertical="top"/>
    </xf>
    <xf numFmtId="0" fontId="107" fillId="8" borderId="0" xfId="0" applyFont="1" applyFill="1" applyBorder="1" applyAlignment="1">
      <alignment horizontal="left" vertical="top" wrapText="1"/>
    </xf>
    <xf numFmtId="0" fontId="107" fillId="8" borderId="0" xfId="0" quotePrefix="1" applyFont="1" applyFill="1" applyBorder="1" applyAlignment="1">
      <alignment horizontal="right" vertical="top"/>
    </xf>
    <xf numFmtId="0" fontId="108" fillId="8" borderId="0" xfId="0" quotePrefix="1" applyFont="1" applyFill="1" applyBorder="1" applyAlignment="1">
      <alignment horizontal="left" vertical="top" wrapText="1"/>
    </xf>
    <xf numFmtId="0" fontId="107" fillId="8" borderId="0" xfId="0" quotePrefix="1" applyFont="1" applyFill="1" applyBorder="1" applyAlignment="1">
      <alignment horizontal="left" vertical="top" wrapText="1"/>
    </xf>
    <xf numFmtId="0" fontId="107" fillId="8" borderId="0" xfId="0" quotePrefix="1" applyFont="1" applyFill="1" applyBorder="1" applyAlignment="1">
      <alignment horizontal="center" vertical="top"/>
    </xf>
    <xf numFmtId="0" fontId="11" fillId="0" borderId="0" xfId="0" applyFont="1" applyFill="1" applyBorder="1"/>
    <xf numFmtId="0" fontId="107" fillId="0" borderId="0" xfId="0" quotePrefix="1" applyFont="1" applyFill="1" applyBorder="1" applyAlignment="1">
      <alignment horizontal="center" vertical="top"/>
    </xf>
    <xf numFmtId="0" fontId="72" fillId="0" borderId="0" xfId="0" applyFont="1" applyFill="1" applyBorder="1"/>
    <xf numFmtId="0" fontId="108" fillId="0" borderId="0" xfId="0" applyFont="1" applyFill="1" applyBorder="1" applyAlignment="1">
      <alignment wrapText="1"/>
    </xf>
    <xf numFmtId="0" fontId="109" fillId="0" borderId="0" xfId="0" applyFont="1" applyFill="1" applyBorder="1" applyAlignment="1">
      <alignment wrapText="1"/>
    </xf>
    <xf numFmtId="0" fontId="108" fillId="0" borderId="0" xfId="0" quotePrefix="1" applyFont="1" applyFill="1" applyBorder="1"/>
    <xf numFmtId="0" fontId="108" fillId="0" borderId="0" xfId="0" quotePrefix="1" applyFont="1" applyFill="1" applyBorder="1" applyAlignment="1">
      <alignment wrapText="1"/>
    </xf>
    <xf numFmtId="0" fontId="72" fillId="0" borderId="0" xfId="0" quotePrefix="1" applyFont="1" applyFill="1" applyBorder="1" applyAlignment="1">
      <alignment horizontal="center" vertical="top"/>
    </xf>
    <xf numFmtId="0" fontId="100" fillId="0" borderId="0" xfId="0" quotePrefix="1" applyFont="1" applyFill="1" applyBorder="1"/>
    <xf numFmtId="0" fontId="101" fillId="0" borderId="0" xfId="0" quotePrefix="1" applyFont="1" applyFill="1" applyBorder="1"/>
    <xf numFmtId="0" fontId="72" fillId="0" borderId="0" xfId="0" applyFont="1" applyFill="1" applyBorder="1" applyAlignment="1">
      <alignment horizontal="center"/>
    </xf>
    <xf numFmtId="0" fontId="72" fillId="0" borderId="0" xfId="0" quotePrefix="1" applyFont="1" applyFill="1" applyBorder="1" applyAlignment="1">
      <alignment horizontal="right" vertical="top"/>
    </xf>
    <xf numFmtId="0" fontId="72" fillId="0" borderId="0" xfId="0" applyFont="1" applyFill="1" applyBorder="1" applyAlignment="1">
      <alignment horizontal="left" vertical="top" wrapText="1"/>
    </xf>
    <xf numFmtId="0" fontId="107" fillId="8" borderId="8" xfId="0" quotePrefix="1" applyFont="1" applyFill="1" applyBorder="1" applyAlignment="1">
      <alignment horizontal="center" vertical="top"/>
    </xf>
    <xf numFmtId="0" fontId="108" fillId="8" borderId="8" xfId="0" quotePrefix="1" applyFont="1" applyFill="1" applyBorder="1" applyAlignment="1">
      <alignment wrapText="1"/>
    </xf>
    <xf numFmtId="2" fontId="11" fillId="74" borderId="0" xfId="1" applyNumberFormat="1" applyFont="1" applyFill="1" applyBorder="1" applyAlignment="1" applyProtection="1">
      <alignment horizontal="right"/>
      <protection locked="0"/>
    </xf>
    <xf numFmtId="2" fontId="11" fillId="74" borderId="0" xfId="1" applyNumberFormat="1" applyFont="1" applyFill="1" applyBorder="1" applyProtection="1">
      <protection locked="0"/>
    </xf>
    <xf numFmtId="0" fontId="11" fillId="70" borderId="61" xfId="1" applyFont="1" applyFill="1" applyBorder="1" applyAlignment="1" applyProtection="1">
      <alignment horizontal="left"/>
      <protection locked="0"/>
    </xf>
    <xf numFmtId="2" fontId="11" fillId="74" borderId="62" xfId="1" applyNumberFormat="1" applyFont="1" applyFill="1" applyBorder="1" applyProtection="1">
      <protection locked="0"/>
    </xf>
    <xf numFmtId="0" fontId="11" fillId="0" borderId="0" xfId="1" applyFont="1" applyFill="1" applyBorder="1" applyAlignment="1" applyProtection="1">
      <protection locked="0"/>
    </xf>
    <xf numFmtId="0" fontId="11" fillId="0" borderId="0" xfId="1" applyFont="1" applyFill="1" applyAlignment="1" applyProtection="1">
      <protection locked="0"/>
    </xf>
    <xf numFmtId="164" fontId="11" fillId="8" borderId="0" xfId="1" applyNumberFormat="1" applyFont="1" applyFill="1" applyBorder="1" applyProtection="1">
      <protection locked="0"/>
    </xf>
    <xf numFmtId="167" fontId="10" fillId="0" borderId="0" xfId="1" applyNumberFormat="1" applyFont="1" applyAlignment="1" applyProtection="1">
      <alignment horizontal="right"/>
      <protection locked="0"/>
    </xf>
    <xf numFmtId="2" fontId="11" fillId="3" borderId="0" xfId="1" applyNumberFormat="1" applyFont="1" applyFill="1" applyProtection="1">
      <protection locked="0"/>
    </xf>
    <xf numFmtId="2" fontId="11" fillId="76" borderId="0" xfId="1" applyNumberFormat="1" applyFont="1" applyFill="1" applyProtection="1">
      <protection locked="0"/>
    </xf>
    <xf numFmtId="164" fontId="11" fillId="76" borderId="0" xfId="1" applyNumberFormat="1" applyFont="1" applyFill="1" applyBorder="1" applyProtection="1">
      <protection locked="0"/>
    </xf>
    <xf numFmtId="0" fontId="11" fillId="2" borderId="0" xfId="1" applyFont="1" applyFill="1" applyBorder="1" applyAlignment="1" applyProtection="1">
      <alignment horizontal="left"/>
      <protection locked="0"/>
    </xf>
    <xf numFmtId="0" fontId="89" fillId="2" borderId="0" xfId="1" applyFont="1" applyFill="1" applyBorder="1" applyProtection="1">
      <protection locked="0"/>
    </xf>
    <xf numFmtId="0" fontId="112" fillId="0" borderId="1" xfId="1" applyFont="1" applyBorder="1" applyProtection="1">
      <protection locked="0"/>
    </xf>
    <xf numFmtId="0" fontId="11" fillId="0" borderId="63" xfId="1" applyFont="1" applyBorder="1" applyProtection="1">
      <protection locked="0"/>
    </xf>
    <xf numFmtId="164" fontId="17" fillId="0" borderId="63" xfId="1" applyNumberFormat="1" applyFill="1" applyBorder="1" applyProtection="1"/>
    <xf numFmtId="164" fontId="17" fillId="0" borderId="47" xfId="1" applyNumberFormat="1" applyFill="1" applyBorder="1" applyProtection="1"/>
    <xf numFmtId="166" fontId="11" fillId="71" borderId="0" xfId="1" applyNumberFormat="1" applyFont="1" applyFill="1" applyBorder="1" applyAlignment="1" applyProtection="1">
      <alignment horizontal="center"/>
    </xf>
    <xf numFmtId="164" fontId="11" fillId="62" borderId="47" xfId="1" applyNumberFormat="1" applyFont="1" applyFill="1" applyBorder="1" applyAlignment="1" applyProtection="1">
      <alignment horizontal="right" vertical="top"/>
    </xf>
    <xf numFmtId="167" fontId="11" fillId="72" borderId="1" xfId="1" applyNumberFormat="1" applyFont="1" applyFill="1" applyBorder="1" applyProtection="1"/>
    <xf numFmtId="2" fontId="11" fillId="72" borderId="1" xfId="1" applyNumberFormat="1" applyFont="1" applyFill="1" applyBorder="1" applyProtection="1"/>
    <xf numFmtId="166" fontId="11" fillId="72" borderId="1" xfId="1" applyNumberFormat="1" applyFont="1" applyFill="1" applyBorder="1" applyProtection="1"/>
    <xf numFmtId="164" fontId="11" fillId="72" borderId="1" xfId="1" applyNumberFormat="1" applyFont="1" applyFill="1" applyBorder="1" applyProtection="1"/>
    <xf numFmtId="1" fontId="11" fillId="8" borderId="0" xfId="1" applyNumberFormat="1" applyFont="1" applyFill="1" applyBorder="1" applyProtection="1"/>
    <xf numFmtId="164" fontId="11" fillId="8" borderId="0" xfId="1" applyNumberFormat="1" applyFont="1" applyFill="1" applyBorder="1" applyAlignment="1" applyProtection="1">
      <alignment horizontal="center"/>
    </xf>
    <xf numFmtId="164" fontId="11" fillId="8" borderId="0" xfId="1" applyNumberFormat="1" applyFont="1" applyFill="1" applyBorder="1" applyAlignment="1" applyProtection="1">
      <alignment horizontal="right"/>
    </xf>
    <xf numFmtId="166" fontId="11" fillId="72" borderId="0" xfId="1" applyNumberFormat="1" applyFont="1" applyFill="1" applyBorder="1" applyAlignment="1" applyProtection="1">
      <alignment horizontal="center"/>
    </xf>
    <xf numFmtId="2" fontId="11" fillId="72" borderId="0" xfId="1" applyNumberFormat="1" applyFont="1" applyFill="1" applyBorder="1" applyAlignment="1" applyProtection="1">
      <alignment horizontal="center"/>
    </xf>
    <xf numFmtId="164" fontId="11" fillId="72" borderId="0" xfId="1" applyNumberFormat="1" applyFont="1" applyFill="1" applyBorder="1" applyAlignment="1" applyProtection="1">
      <alignment horizontal="center"/>
    </xf>
    <xf numFmtId="164" fontId="104" fillId="72" borderId="0" xfId="1" applyNumberFormat="1" applyFont="1" applyFill="1" applyBorder="1" applyAlignment="1" applyProtection="1">
      <alignment horizontal="center"/>
    </xf>
    <xf numFmtId="164" fontId="93" fillId="0" borderId="5" xfId="1" applyNumberFormat="1" applyFont="1" applyBorder="1" applyProtection="1"/>
    <xf numFmtId="0" fontId="11" fillId="0" borderId="0" xfId="1" applyFont="1" applyBorder="1" applyProtection="1"/>
    <xf numFmtId="0" fontId="11" fillId="0" borderId="0" xfId="1" applyFont="1" applyProtection="1"/>
    <xf numFmtId="164" fontId="11" fillId="0" borderId="5" xfId="1" applyNumberFormat="1" applyFont="1" applyBorder="1" applyProtection="1"/>
    <xf numFmtId="0" fontId="11" fillId="0" borderId="5" xfId="1" applyFont="1" applyBorder="1" applyProtection="1"/>
    <xf numFmtId="0" fontId="93" fillId="0" borderId="5" xfId="1" applyFont="1" applyBorder="1" applyProtection="1"/>
    <xf numFmtId="0" fontId="17" fillId="0" borderId="0" xfId="1" applyBorder="1" applyProtection="1"/>
    <xf numFmtId="2" fontId="11" fillId="73" borderId="0" xfId="1" applyNumberFormat="1" applyFont="1" applyFill="1" applyBorder="1" applyAlignment="1" applyProtection="1"/>
    <xf numFmtId="164" fontId="11" fillId="62" borderId="0" xfId="1" applyNumberFormat="1" applyFont="1" applyFill="1" applyBorder="1" applyAlignment="1" applyProtection="1">
      <alignment horizontal="center" vertical="top"/>
    </xf>
    <xf numFmtId="2" fontId="11" fillId="62" borderId="0" xfId="1" applyNumberFormat="1" applyFont="1" applyFill="1" applyBorder="1" applyAlignment="1" applyProtection="1">
      <alignment horizontal="center" vertical="top"/>
    </xf>
    <xf numFmtId="2" fontId="11" fillId="3" borderId="0" xfId="0" applyNumberFormat="1" applyFont="1" applyFill="1" applyAlignment="1" applyProtection="1">
      <alignment horizontal="center" vertical="center"/>
      <protection locked="0"/>
    </xf>
    <xf numFmtId="0" fontId="11" fillId="3" borderId="0" xfId="0" applyFont="1" applyFill="1" applyAlignment="1" applyProtection="1">
      <alignment horizontal="center" vertical="center"/>
      <protection locked="0"/>
    </xf>
    <xf numFmtId="2" fontId="11" fillId="61" borderId="0" xfId="1" applyNumberFormat="1" applyFont="1" applyFill="1" applyBorder="1" applyAlignment="1" applyProtection="1">
      <alignment horizontal="center" vertical="center"/>
      <protection locked="0"/>
    </xf>
    <xf numFmtId="1" fontId="11" fillId="3" borderId="0" xfId="0" applyNumberFormat="1" applyFont="1" applyFill="1" applyAlignment="1" applyProtection="1">
      <alignment horizontal="center" vertical="center"/>
      <protection locked="0"/>
    </xf>
    <xf numFmtId="164" fontId="11" fillId="3" borderId="0" xfId="0" applyNumberFormat="1" applyFont="1" applyFill="1" applyAlignment="1" applyProtection="1">
      <alignment horizontal="center" vertical="center"/>
      <protection locked="0"/>
    </xf>
    <xf numFmtId="0" fontId="12" fillId="0" borderId="0" xfId="1" applyFont="1" applyFill="1" applyAlignment="1" applyProtection="1">
      <alignment horizontal="center" vertical="center"/>
      <protection locked="0"/>
    </xf>
    <xf numFmtId="166" fontId="11" fillId="61" borderId="0" xfId="1" applyNumberFormat="1" applyFont="1" applyFill="1" applyBorder="1" applyAlignment="1" applyProtection="1">
      <alignment horizontal="center" vertical="center"/>
      <protection locked="0"/>
    </xf>
    <xf numFmtId="1" fontId="11" fillId="61" borderId="0" xfId="1" applyNumberFormat="1" applyFont="1" applyFill="1" applyBorder="1" applyAlignment="1" applyProtection="1">
      <alignment horizontal="center" vertical="center"/>
      <protection locked="0"/>
    </xf>
    <xf numFmtId="1" fontId="11" fillId="3" borderId="0" xfId="1" applyNumberFormat="1" applyFont="1" applyFill="1" applyBorder="1" applyAlignment="1" applyProtection="1">
      <alignment horizontal="center" vertical="center"/>
      <protection locked="0"/>
    </xf>
    <xf numFmtId="167" fontId="11" fillId="3" borderId="0" xfId="1" applyNumberFormat="1" applyFont="1" applyFill="1" applyBorder="1" applyAlignment="1" applyProtection="1">
      <alignment horizontal="center" vertical="center"/>
      <protection locked="0"/>
    </xf>
    <xf numFmtId="2" fontId="11" fillId="3" borderId="0" xfId="1" applyNumberFormat="1" applyFont="1" applyFill="1" applyBorder="1" applyAlignment="1" applyProtection="1">
      <alignment horizontal="center" vertical="center"/>
      <protection locked="0"/>
    </xf>
    <xf numFmtId="2" fontId="11" fillId="77" borderId="0" xfId="1" applyNumberFormat="1" applyFont="1" applyFill="1" applyBorder="1" applyAlignment="1" applyProtection="1">
      <alignment horizontal="center" vertical="top"/>
      <protection locked="0"/>
    </xf>
    <xf numFmtId="2" fontId="11" fillId="61" borderId="0" xfId="1" applyNumberFormat="1" applyFont="1" applyFill="1" applyBorder="1" applyAlignment="1" applyProtection="1">
      <alignment horizontal="center" vertical="top"/>
      <protection locked="0"/>
    </xf>
    <xf numFmtId="1" fontId="11" fillId="3" borderId="0" xfId="1" applyNumberFormat="1" applyFont="1" applyFill="1" applyBorder="1" applyAlignment="1" applyProtection="1">
      <alignment horizontal="center" vertical="top"/>
      <protection locked="0"/>
    </xf>
    <xf numFmtId="166" fontId="11" fillId="61" borderId="0" xfId="1" applyNumberFormat="1" applyFont="1" applyFill="1" applyBorder="1" applyAlignment="1" applyProtection="1">
      <alignment horizontal="center" vertical="top"/>
      <protection locked="0"/>
    </xf>
    <xf numFmtId="1" fontId="11" fillId="61" borderId="0" xfId="1" applyNumberFormat="1" applyFont="1" applyFill="1" applyBorder="1" applyAlignment="1" applyProtection="1">
      <alignment horizontal="center" vertical="top"/>
      <protection locked="0"/>
    </xf>
    <xf numFmtId="0" fontId="21" fillId="63" borderId="0" xfId="2" applyFont="1" applyFill="1" applyAlignment="1" applyProtection="1">
      <alignment horizontal="center"/>
      <protection locked="0"/>
    </xf>
    <xf numFmtId="166" fontId="21" fillId="63" borderId="0" xfId="2" applyNumberFormat="1" applyFont="1" applyFill="1" applyAlignment="1" applyProtection="1">
      <alignment horizontal="center"/>
      <protection locked="0"/>
    </xf>
    <xf numFmtId="0" fontId="11" fillId="0" borderId="0" xfId="1" applyFont="1" applyBorder="1" applyAlignment="1" applyProtection="1">
      <alignment vertical="center"/>
      <protection locked="0"/>
    </xf>
    <xf numFmtId="0" fontId="11" fillId="0" borderId="0" xfId="0" applyFont="1" applyAlignment="1" applyProtection="1">
      <alignment vertical="center"/>
      <protection locked="0"/>
    </xf>
    <xf numFmtId="0" fontId="76" fillId="0" borderId="0" xfId="2" applyFont="1" applyFill="1" applyBorder="1" applyProtection="1">
      <protection locked="0"/>
    </xf>
    <xf numFmtId="0" fontId="78" fillId="0" borderId="0" xfId="2" applyFont="1" applyFill="1" applyBorder="1" applyProtection="1">
      <protection locked="0"/>
    </xf>
    <xf numFmtId="0" fontId="78" fillId="0" borderId="0" xfId="2" applyFont="1" applyFill="1" applyBorder="1" applyAlignment="1" applyProtection="1">
      <alignment vertical="center" wrapText="1"/>
      <protection locked="0"/>
    </xf>
    <xf numFmtId="0" fontId="44" fillId="0" borderId="0" xfId="2" applyFont="1" applyFill="1" applyBorder="1" applyProtection="1">
      <protection locked="0"/>
    </xf>
    <xf numFmtId="0" fontId="11" fillId="0" borderId="0" xfId="1" applyFont="1" applyBorder="1" applyAlignment="1" applyProtection="1">
      <alignment vertical="top"/>
      <protection locked="0"/>
    </xf>
    <xf numFmtId="0" fontId="67" fillId="0" borderId="0" xfId="1" applyFont="1" applyBorder="1" applyAlignment="1" applyProtection="1">
      <alignment vertical="top" wrapText="1"/>
      <protection locked="0"/>
    </xf>
    <xf numFmtId="0" fontId="21" fillId="0" borderId="0" xfId="2" applyFont="1" applyFill="1" applyBorder="1" applyProtection="1">
      <protection locked="0"/>
    </xf>
    <xf numFmtId="0" fontId="21" fillId="0" borderId="0" xfId="2" applyFont="1" applyProtection="1">
      <protection locked="0"/>
    </xf>
    <xf numFmtId="0" fontId="21" fillId="68" borderId="0" xfId="2" applyFont="1" applyFill="1" applyBorder="1" applyAlignment="1" applyProtection="1">
      <alignment horizontal="center"/>
      <protection locked="0"/>
    </xf>
    <xf numFmtId="0" fontId="23" fillId="66" borderId="0" xfId="97" applyFill="1" applyAlignment="1" applyProtection="1">
      <alignment horizontal="center" vertical="center"/>
    </xf>
    <xf numFmtId="0" fontId="23" fillId="63" borderId="0" xfId="97" applyFill="1" applyAlignment="1" applyProtection="1">
      <alignment horizontal="center" vertical="center"/>
      <protection locked="0"/>
    </xf>
    <xf numFmtId="0" fontId="23" fillId="0" borderId="0" xfId="97" applyAlignment="1" applyProtection="1">
      <alignment horizontal="center" vertical="center"/>
      <protection locked="0"/>
    </xf>
    <xf numFmtId="0" fontId="23" fillId="0" borderId="8" xfId="97" applyBorder="1" applyAlignment="1" applyProtection="1">
      <alignment horizontal="center" vertical="center"/>
      <protection locked="0"/>
    </xf>
    <xf numFmtId="0" fontId="23" fillId="3" borderId="0" xfId="97" applyFill="1" applyAlignment="1" applyProtection="1">
      <alignment horizontal="center" vertical="center"/>
      <protection locked="0"/>
    </xf>
    <xf numFmtId="0" fontId="23" fillId="63" borderId="8" xfId="97" applyFill="1" applyBorder="1" applyAlignment="1" applyProtection="1">
      <alignment horizontal="center" vertical="center"/>
      <protection locked="0"/>
    </xf>
    <xf numFmtId="0" fontId="59" fillId="0" borderId="0" xfId="45" applyFont="1" applyAlignment="1" applyProtection="1">
      <alignment horizontal="center" vertical="center"/>
      <protection locked="0"/>
    </xf>
    <xf numFmtId="0" fontId="59" fillId="0" borderId="8" xfId="45" applyFont="1" applyBorder="1" applyAlignment="1" applyProtection="1">
      <alignment horizontal="center" vertical="center"/>
      <protection locked="0"/>
    </xf>
    <xf numFmtId="0" fontId="59" fillId="0" borderId="0" xfId="97" applyFont="1" applyAlignment="1" applyProtection="1">
      <alignment horizontal="center" vertical="center"/>
      <protection locked="0"/>
    </xf>
    <xf numFmtId="0" fontId="59" fillId="0" borderId="8" xfId="97" applyFont="1" applyBorder="1" applyAlignment="1" applyProtection="1">
      <alignment horizontal="center" vertical="center"/>
      <protection locked="0"/>
    </xf>
    <xf numFmtId="0" fontId="60" fillId="0" borderId="0" xfId="97" applyFont="1" applyAlignment="1" applyProtection="1">
      <alignment horizontal="center" vertical="center"/>
      <protection locked="0"/>
    </xf>
    <xf numFmtId="0" fontId="23" fillId="63" borderId="0" xfId="97" applyFont="1" applyFill="1" applyAlignment="1" applyProtection="1">
      <alignment horizontal="center" vertical="center"/>
      <protection locked="0"/>
    </xf>
    <xf numFmtId="0" fontId="23" fillId="3" borderId="0" xfId="97" applyFont="1" applyFill="1" applyAlignment="1" applyProtection="1">
      <alignment horizontal="center" vertical="center"/>
      <protection locked="0"/>
    </xf>
    <xf numFmtId="0" fontId="23" fillId="63" borderId="8" xfId="97" applyFont="1" applyFill="1" applyBorder="1" applyAlignment="1" applyProtection="1">
      <alignment horizontal="center" vertical="center"/>
      <protection locked="0"/>
    </xf>
    <xf numFmtId="0" fontId="60" fillId="0" borderId="8" xfId="97" applyFont="1" applyBorder="1" applyAlignment="1" applyProtection="1">
      <alignment horizontal="center" vertical="center"/>
      <protection locked="0"/>
    </xf>
    <xf numFmtId="0" fontId="103" fillId="0" borderId="0" xfId="1" applyFont="1" applyBorder="1" applyAlignment="1" applyProtection="1">
      <alignment horizontal="center" vertical="top"/>
      <protection locked="0"/>
    </xf>
    <xf numFmtId="0" fontId="11" fillId="0" borderId="0" xfId="1" applyFont="1" applyAlignment="1" applyProtection="1">
      <alignment vertical="top"/>
      <protection locked="0"/>
    </xf>
    <xf numFmtId="0" fontId="67" fillId="0" borderId="0" xfId="1" applyFont="1" applyBorder="1" applyAlignment="1" applyProtection="1">
      <alignment vertical="top"/>
      <protection locked="0"/>
    </xf>
    <xf numFmtId="0" fontId="11" fillId="0" borderId="0" xfId="1" applyFont="1" applyBorder="1" applyAlignment="1" applyProtection="1">
      <alignment vertical="top" wrapText="1"/>
      <protection locked="0"/>
    </xf>
    <xf numFmtId="0" fontId="73" fillId="0" borderId="0" xfId="1" applyFont="1" applyFill="1" applyAlignment="1" applyProtection="1">
      <alignment vertical="top"/>
      <protection locked="0"/>
    </xf>
    <xf numFmtId="0" fontId="73" fillId="0" borderId="0" xfId="1" applyFont="1" applyAlignment="1" applyProtection="1">
      <alignment vertical="top"/>
      <protection locked="0"/>
    </xf>
    <xf numFmtId="0" fontId="11" fillId="0" borderId="0" xfId="1" applyFont="1" applyFill="1" applyBorder="1" applyAlignment="1" applyProtection="1">
      <alignment vertical="top"/>
      <protection locked="0"/>
    </xf>
    <xf numFmtId="0" fontId="73" fillId="0" borderId="0" xfId="1" applyFont="1" applyBorder="1" applyAlignment="1" applyProtection="1">
      <alignment vertical="center"/>
      <protection locked="0"/>
    </xf>
    <xf numFmtId="0" fontId="12" fillId="0" borderId="0" xfId="1" applyFont="1" applyFill="1" applyAlignment="1" applyProtection="1">
      <alignment vertical="center"/>
      <protection locked="0"/>
    </xf>
    <xf numFmtId="0" fontId="73" fillId="0" borderId="0" xfId="0" quotePrefix="1" applyFont="1" applyAlignment="1" applyProtection="1">
      <alignment vertical="center" wrapText="1"/>
      <protection locked="0"/>
    </xf>
    <xf numFmtId="0" fontId="73" fillId="0" borderId="0" xfId="0" applyFont="1" applyAlignment="1" applyProtection="1">
      <alignment vertical="center"/>
      <protection locked="0"/>
    </xf>
    <xf numFmtId="0" fontId="73" fillId="0" borderId="0" xfId="1" applyFont="1" applyBorder="1" applyAlignment="1" applyProtection="1">
      <alignment vertical="center" wrapText="1"/>
      <protection locked="0"/>
    </xf>
    <xf numFmtId="0" fontId="73" fillId="0" borderId="0" xfId="0" applyFont="1" applyAlignment="1" applyProtection="1">
      <alignment vertical="center" wrapText="1"/>
      <protection locked="0"/>
    </xf>
    <xf numFmtId="0" fontId="73" fillId="0" borderId="0" xfId="0" applyFont="1" applyAlignment="1" applyProtection="1">
      <alignment horizontal="left" vertical="center" wrapText="1"/>
      <protection locked="0"/>
    </xf>
    <xf numFmtId="0" fontId="73" fillId="0" borderId="0" xfId="0" quotePrefix="1" applyFont="1" applyAlignment="1" applyProtection="1">
      <alignment horizontal="left" vertical="center" wrapText="1"/>
      <protection locked="0"/>
    </xf>
    <xf numFmtId="0" fontId="0" fillId="0" borderId="0" xfId="0" applyAlignment="1" applyProtection="1">
      <alignment horizontal="left" vertical="center"/>
      <protection locked="0"/>
    </xf>
    <xf numFmtId="0" fontId="11" fillId="0" borderId="0" xfId="0" applyFont="1" applyProtection="1">
      <protection locked="0"/>
    </xf>
    <xf numFmtId="0" fontId="0" fillId="0" borderId="0" xfId="0" applyProtection="1">
      <protection locked="0"/>
    </xf>
    <xf numFmtId="0" fontId="12" fillId="2" borderId="0" xfId="1" applyFont="1" applyFill="1" applyAlignment="1" applyProtection="1">
      <alignment horizontal="left" vertical="center"/>
      <protection locked="0"/>
    </xf>
    <xf numFmtId="0" fontId="44" fillId="2" borderId="0" xfId="2" applyFont="1" applyFill="1" applyBorder="1" applyProtection="1">
      <protection locked="0"/>
    </xf>
    <xf numFmtId="0" fontId="21" fillId="2" borderId="0" xfId="2" applyFont="1" applyFill="1" applyBorder="1" applyProtection="1">
      <protection locked="0"/>
    </xf>
    <xf numFmtId="0" fontId="99" fillId="0" borderId="0" xfId="2" applyFont="1" applyProtection="1">
      <protection locked="0"/>
    </xf>
    <xf numFmtId="0" fontId="0" fillId="0" borderId="0" xfId="0" applyAlignment="1" applyProtection="1">
      <alignment vertical="center"/>
      <protection locked="0"/>
    </xf>
    <xf numFmtId="0" fontId="10" fillId="0" borderId="0" xfId="0" applyFont="1" applyProtection="1">
      <protection locked="0"/>
    </xf>
    <xf numFmtId="0" fontId="10" fillId="0" borderId="0" xfId="0" applyFont="1" applyBorder="1" applyProtection="1">
      <protection locked="0"/>
    </xf>
    <xf numFmtId="0" fontId="10" fillId="0" borderId="0" xfId="0" applyFont="1" applyBorder="1" applyAlignment="1" applyProtection="1">
      <alignment vertical="center"/>
      <protection locked="0"/>
    </xf>
    <xf numFmtId="0" fontId="10" fillId="0" borderId="0" xfId="0" applyFont="1" applyBorder="1" applyAlignment="1" applyProtection="1">
      <alignment vertical="center" wrapText="1"/>
      <protection locked="0"/>
    </xf>
    <xf numFmtId="0" fontId="0" fillId="0" borderId="0" xfId="0" applyBorder="1" applyProtection="1">
      <protection locked="0"/>
    </xf>
    <xf numFmtId="0" fontId="21" fillId="0" borderId="0" xfId="2" applyFont="1" applyFill="1" applyProtection="1">
      <protection locked="0"/>
    </xf>
    <xf numFmtId="0" fontId="36" fillId="0" borderId="0" xfId="45" applyProtection="1">
      <protection locked="0"/>
    </xf>
    <xf numFmtId="0" fontId="23" fillId="0" borderId="0" xfId="97" applyProtection="1">
      <protection locked="0"/>
    </xf>
    <xf numFmtId="2" fontId="11" fillId="3" borderId="0" xfId="1" applyNumberFormat="1" applyFont="1" applyFill="1" applyBorder="1" applyAlignment="1" applyProtection="1">
      <alignment horizontal="center" vertical="top"/>
      <protection locked="0"/>
    </xf>
    <xf numFmtId="0" fontId="11" fillId="0" borderId="0" xfId="1" applyFont="1" applyFill="1" applyBorder="1" applyAlignment="1" applyProtection="1">
      <alignment horizontal="center" vertical="top"/>
      <protection locked="0"/>
    </xf>
    <xf numFmtId="2" fontId="11" fillId="63" borderId="0" xfId="1" applyNumberFormat="1" applyFont="1" applyFill="1" applyBorder="1" applyAlignment="1" applyProtection="1">
      <alignment horizontal="center" vertical="top"/>
      <protection locked="0"/>
    </xf>
    <xf numFmtId="168" fontId="11" fillId="3" borderId="0" xfId="1" applyNumberFormat="1" applyFont="1" applyFill="1" applyBorder="1" applyAlignment="1" applyProtection="1">
      <alignment horizontal="center" vertical="top"/>
      <protection locked="0"/>
    </xf>
    <xf numFmtId="2" fontId="11" fillId="0" borderId="0" xfId="1" applyNumberFormat="1" applyFont="1" applyAlignment="1" applyProtection="1">
      <alignment horizontal="center" vertical="top"/>
      <protection locked="0"/>
    </xf>
    <xf numFmtId="0" fontId="113" fillId="0" borderId="0" xfId="1" applyFont="1" applyBorder="1" applyAlignment="1" applyProtection="1">
      <alignment horizontal="center" vertical="top"/>
      <protection locked="0"/>
    </xf>
    <xf numFmtId="164" fontId="11" fillId="3" borderId="0" xfId="1" applyNumberFormat="1" applyFont="1" applyFill="1" applyBorder="1" applyAlignment="1" applyProtection="1">
      <alignment horizontal="right"/>
      <protection locked="0"/>
    </xf>
    <xf numFmtId="1" fontId="88" fillId="2" borderId="0" xfId="1" applyNumberFormat="1" applyFont="1" applyFill="1" applyBorder="1" applyProtection="1"/>
    <xf numFmtId="0" fontId="87" fillId="2" borderId="0" xfId="1" applyFont="1" applyFill="1" applyProtection="1"/>
    <xf numFmtId="0" fontId="88" fillId="2" borderId="0" xfId="1" applyFont="1" applyFill="1" applyProtection="1"/>
    <xf numFmtId="0" fontId="88" fillId="2" borderId="0" xfId="1" applyFont="1" applyFill="1" applyBorder="1" applyProtection="1"/>
    <xf numFmtId="0" fontId="98" fillId="0" borderId="0" xfId="1" applyFont="1" applyProtection="1"/>
    <xf numFmtId="0" fontId="12" fillId="0" borderId="0" xfId="1" applyFont="1" applyProtection="1"/>
    <xf numFmtId="0" fontId="73" fillId="0" borderId="0" xfId="0" applyFont="1" applyProtection="1">
      <protection locked="0"/>
    </xf>
    <xf numFmtId="0" fontId="73" fillId="67" borderId="0" xfId="0" applyFont="1" applyFill="1" applyProtection="1">
      <protection locked="0"/>
    </xf>
    <xf numFmtId="0" fontId="114" fillId="0" borderId="0" xfId="0" applyFont="1" applyFill="1" applyBorder="1" applyAlignment="1">
      <alignment wrapText="1"/>
    </xf>
    <xf numFmtId="0" fontId="115" fillId="0" borderId="0" xfId="0" applyFont="1" applyFill="1" applyBorder="1" applyAlignment="1">
      <alignment wrapText="1"/>
    </xf>
    <xf numFmtId="168" fontId="11" fillId="62" borderId="0" xfId="1" applyNumberFormat="1" applyFont="1" applyFill="1" applyBorder="1" applyAlignment="1" applyProtection="1">
      <alignment horizontal="center" vertical="top"/>
    </xf>
    <xf numFmtId="0" fontId="116" fillId="0" borderId="0" xfId="1" applyFont="1" applyBorder="1" applyAlignment="1" applyProtection="1">
      <alignment vertical="top"/>
      <protection locked="0"/>
    </xf>
    <xf numFmtId="0" fontId="116" fillId="0" borderId="0" xfId="1" applyFont="1" applyBorder="1" applyAlignment="1" applyProtection="1">
      <alignment vertical="top" wrapText="1"/>
      <protection locked="0"/>
    </xf>
    <xf numFmtId="164" fontId="11" fillId="8" borderId="0" xfId="1" applyNumberFormat="1" applyFont="1" applyFill="1" applyBorder="1" applyProtection="1"/>
    <xf numFmtId="164" fontId="11" fillId="79" borderId="0" xfId="0" applyNumberFormat="1" applyFont="1" applyFill="1" applyProtection="1">
      <protection locked="0"/>
    </xf>
    <xf numFmtId="164" fontId="11" fillId="3" borderId="0" xfId="0" applyNumberFormat="1" applyFont="1" applyFill="1" applyProtection="1">
      <protection locked="0"/>
    </xf>
    <xf numFmtId="0" fontId="23" fillId="63" borderId="0" xfId="97" applyFill="1" applyAlignment="1">
      <alignment horizontal="center" vertical="center"/>
    </xf>
    <xf numFmtId="0" fontId="23" fillId="63" borderId="0" xfId="97" applyFont="1" applyFill="1" applyAlignment="1">
      <alignment horizontal="center" vertical="center"/>
    </xf>
    <xf numFmtId="0" fontId="59" fillId="0" borderId="0" xfId="97" applyFont="1" applyFill="1" applyAlignment="1">
      <alignment horizontal="center" vertical="center"/>
    </xf>
    <xf numFmtId="0" fontId="59" fillId="0" borderId="8" xfId="97" applyFont="1" applyFill="1" applyBorder="1" applyAlignment="1">
      <alignment horizontal="center" vertical="center"/>
    </xf>
    <xf numFmtId="0" fontId="23" fillId="0" borderId="0" xfId="97" applyFont="1" applyFill="1" applyAlignment="1">
      <alignment horizontal="center" vertical="center"/>
    </xf>
    <xf numFmtId="0" fontId="23" fillId="0" borderId="8" xfId="97" applyFont="1" applyFill="1" applyBorder="1" applyAlignment="1">
      <alignment horizontal="center" vertical="center"/>
    </xf>
    <xf numFmtId="0" fontId="23" fillId="3" borderId="0" xfId="97" quotePrefix="1" applyFont="1" applyFill="1" applyAlignment="1" applyProtection="1">
      <alignment horizontal="center" vertical="center"/>
      <protection locked="0"/>
    </xf>
    <xf numFmtId="0" fontId="89" fillId="8" borderId="0" xfId="1" applyFont="1" applyFill="1" applyBorder="1" applyAlignment="1">
      <alignment vertical="top" wrapText="1"/>
    </xf>
    <xf numFmtId="0" fontId="11" fillId="0" borderId="0" xfId="1" applyFont="1" applyFill="1" applyBorder="1" applyAlignment="1">
      <alignment horizontal="left" vertical="top" indent="1"/>
    </xf>
    <xf numFmtId="2" fontId="11" fillId="66" borderId="0" xfId="1" applyNumberFormat="1" applyFont="1" applyFill="1" applyAlignment="1">
      <alignment horizontal="center" vertical="top"/>
    </xf>
    <xf numFmtId="0" fontId="11" fillId="0" borderId="0" xfId="1" applyFont="1" applyFill="1" applyBorder="1" applyAlignment="1">
      <alignment horizontal="left" vertical="top"/>
    </xf>
    <xf numFmtId="0" fontId="100" fillId="8" borderId="0" xfId="0" applyFont="1" applyFill="1" applyBorder="1" applyAlignment="1">
      <alignment horizontal="left" wrapText="1" indent="2"/>
    </xf>
    <xf numFmtId="0" fontId="21" fillId="0" borderId="0" xfId="551" applyFont="1"/>
    <xf numFmtId="0" fontId="21" fillId="2" borderId="0" xfId="551" applyFont="1" applyFill="1" applyBorder="1"/>
    <xf numFmtId="0" fontId="21" fillId="0" borderId="0" xfId="551" applyFont="1" applyProtection="1">
      <protection locked="0"/>
    </xf>
    <xf numFmtId="0" fontId="0" fillId="63" borderId="0" xfId="0" applyFill="1" applyAlignment="1">
      <alignment horizontal="center"/>
    </xf>
    <xf numFmtId="0" fontId="0" fillId="66" borderId="0" xfId="0" applyFill="1" applyAlignment="1">
      <alignment horizontal="center"/>
    </xf>
    <xf numFmtId="0" fontId="11" fillId="68" borderId="0" xfId="0" applyFont="1" applyFill="1" applyAlignment="1">
      <alignment horizontal="center"/>
    </xf>
    <xf numFmtId="166" fontId="11" fillId="0" borderId="0" xfId="1" applyNumberFormat="1" applyFont="1" applyFill="1" applyBorder="1" applyAlignment="1" applyProtection="1">
      <alignment horizontal="center" vertical="center"/>
      <protection locked="0"/>
    </xf>
    <xf numFmtId="0" fontId="21" fillId="2" borderId="0" xfId="551" applyFont="1" applyFill="1" applyBorder="1" applyAlignment="1">
      <alignment horizontal="center"/>
    </xf>
    <xf numFmtId="0" fontId="21" fillId="0" borderId="0" xfId="551" applyFont="1" applyFill="1" applyProtection="1">
      <protection locked="0"/>
    </xf>
    <xf numFmtId="0" fontId="21" fillId="0" borderId="0" xfId="551" applyFont="1" applyFill="1"/>
    <xf numFmtId="0" fontId="0" fillId="0" borderId="0" xfId="0" applyAlignment="1">
      <alignment horizontal="center"/>
    </xf>
    <xf numFmtId="0" fontId="0" fillId="0" borderId="0" xfId="0" quotePrefix="1" applyAlignment="1">
      <alignment horizontal="center"/>
    </xf>
    <xf numFmtId="0" fontId="17" fillId="0" borderId="0" xfId="0" applyFont="1"/>
    <xf numFmtId="2" fontId="119" fillId="66" borderId="0" xfId="0" applyNumberFormat="1" applyFont="1" applyFill="1" applyAlignment="1">
      <alignment horizontal="center"/>
    </xf>
    <xf numFmtId="0" fontId="120" fillId="0" borderId="0" xfId="0" applyFont="1"/>
    <xf numFmtId="0" fontId="119" fillId="66" borderId="0" xfId="0" applyFont="1" applyFill="1" applyAlignment="1">
      <alignment horizontal="center"/>
    </xf>
    <xf numFmtId="0" fontId="121" fillId="0" borderId="0" xfId="0" applyFont="1"/>
    <xf numFmtId="0" fontId="0" fillId="0" borderId="0" xfId="0" applyFill="1" applyAlignment="1">
      <alignment horizontal="center"/>
    </xf>
    <xf numFmtId="0" fontId="17" fillId="0" borderId="0" xfId="0" applyFont="1" applyAlignment="1">
      <alignment horizontal="center"/>
    </xf>
    <xf numFmtId="0" fontId="17" fillId="0" borderId="0" xfId="0" quotePrefix="1" applyFont="1" applyAlignment="1">
      <alignment horizontal="center"/>
    </xf>
    <xf numFmtId="0" fontId="17" fillId="66" borderId="0" xfId="0" quotePrefix="1" applyFont="1" applyFill="1" applyAlignment="1">
      <alignment horizontal="center"/>
    </xf>
    <xf numFmtId="0" fontId="69" fillId="0" borderId="0" xfId="0" applyFont="1"/>
    <xf numFmtId="170" fontId="0" fillId="0" borderId="0" xfId="0" applyNumberFormat="1"/>
    <xf numFmtId="0" fontId="44" fillId="2" borderId="0" xfId="551" applyFont="1" applyFill="1" applyBorder="1" applyProtection="1"/>
    <xf numFmtId="0" fontId="0" fillId="0" borderId="0" xfId="0" applyProtection="1"/>
    <xf numFmtId="0" fontId="17" fillId="0" borderId="0" xfId="0" applyFont="1" applyProtection="1"/>
    <xf numFmtId="166" fontId="0" fillId="63" borderId="0" xfId="0" applyNumberFormat="1" applyFill="1" applyAlignment="1" applyProtection="1">
      <alignment horizontal="center"/>
      <protection locked="0"/>
    </xf>
    <xf numFmtId="0" fontId="0" fillId="0" borderId="0" xfId="0" applyAlignment="1" applyProtection="1">
      <alignment horizontal="center"/>
      <protection locked="0"/>
    </xf>
    <xf numFmtId="2" fontId="0" fillId="3" borderId="0" xfId="0" applyNumberFormat="1" applyFill="1" applyAlignment="1" applyProtection="1">
      <alignment horizontal="center"/>
      <protection locked="0"/>
    </xf>
    <xf numFmtId="165" fontId="0" fillId="63" borderId="0" xfId="0" applyNumberFormat="1" applyFill="1" applyAlignment="1" applyProtection="1">
      <alignment horizontal="center"/>
      <protection locked="0"/>
    </xf>
    <xf numFmtId="0" fontId="0" fillId="63" borderId="0" xfId="0" applyFill="1" applyAlignment="1" applyProtection="1">
      <alignment horizontal="center"/>
      <protection locked="0"/>
    </xf>
    <xf numFmtId="164" fontId="0" fillId="63" borderId="0" xfId="0" applyNumberFormat="1" applyFill="1" applyAlignment="1" applyProtection="1">
      <alignment horizontal="center"/>
      <protection locked="0"/>
    </xf>
    <xf numFmtId="166" fontId="0" fillId="3" borderId="0" xfId="0" applyNumberFormat="1" applyFill="1" applyAlignment="1" applyProtection="1">
      <alignment horizontal="center"/>
      <protection locked="0"/>
    </xf>
    <xf numFmtId="168" fontId="0" fillId="3" borderId="0" xfId="0" applyNumberFormat="1" applyFill="1" applyAlignment="1" applyProtection="1">
      <alignment horizontal="center"/>
      <protection locked="0"/>
    </xf>
    <xf numFmtId="0" fontId="0" fillId="3" borderId="0" xfId="0" applyFill="1" applyAlignment="1" applyProtection="1">
      <alignment horizontal="center"/>
      <protection locked="0"/>
    </xf>
    <xf numFmtId="171" fontId="0" fillId="0" borderId="0" xfId="0" applyNumberFormat="1" applyAlignment="1">
      <alignment horizontal="center"/>
    </xf>
    <xf numFmtId="164" fontId="11" fillId="61" borderId="0" xfId="1" applyNumberFormat="1" applyFont="1" applyFill="1" applyBorder="1" applyAlignment="1" applyProtection="1">
      <alignment horizontal="center" vertical="center"/>
      <protection locked="0"/>
    </xf>
    <xf numFmtId="0" fontId="84" fillId="0" borderId="0" xfId="97" applyFont="1"/>
    <xf numFmtId="0" fontId="84" fillId="0" borderId="8" xfId="97" applyFont="1" applyBorder="1" applyAlignment="1">
      <alignment horizontal="center" vertical="center"/>
    </xf>
    <xf numFmtId="2" fontId="0" fillId="0" borderId="0" xfId="0" applyNumberFormat="1" applyFill="1" applyAlignment="1" applyProtection="1">
      <alignment horizontal="center"/>
      <protection locked="0"/>
    </xf>
    <xf numFmtId="0" fontId="0" fillId="8" borderId="0" xfId="0" quotePrefix="1" applyFill="1" applyAlignment="1">
      <alignment horizontal="center"/>
    </xf>
    <xf numFmtId="0" fontId="11" fillId="79" borderId="0" xfId="1" applyFont="1" applyFill="1" applyBorder="1" applyProtection="1">
      <protection locked="0"/>
    </xf>
    <xf numFmtId="164" fontId="11" fillId="80" borderId="0" xfId="1" applyNumberFormat="1" applyFont="1" applyFill="1" applyBorder="1" applyAlignment="1" applyProtection="1">
      <alignment horizontal="right"/>
      <protection locked="0"/>
    </xf>
    <xf numFmtId="0" fontId="11" fillId="76" borderId="0" xfId="1" applyFont="1" applyFill="1" applyProtection="1">
      <protection locked="0"/>
    </xf>
    <xf numFmtId="164" fontId="11" fillId="76" borderId="0" xfId="1" applyNumberFormat="1" applyFont="1" applyFill="1" applyBorder="1" applyAlignment="1" applyProtection="1">
      <alignment horizontal="right"/>
      <protection locked="0"/>
    </xf>
    <xf numFmtId="11" fontId="123" fillId="0" borderId="0" xfId="2" applyNumberFormat="1" applyFont="1" applyFill="1" applyBorder="1" applyProtection="1">
      <protection locked="0"/>
    </xf>
    <xf numFmtId="0" fontId="124" fillId="0" borderId="0" xfId="1" applyFont="1" applyBorder="1" applyAlignment="1" applyProtection="1">
      <alignment vertical="top"/>
      <protection locked="0"/>
    </xf>
    <xf numFmtId="0" fontId="125" fillId="0" borderId="0" xfId="1" applyFont="1" applyBorder="1" applyAlignment="1" applyProtection="1">
      <alignment vertical="top" wrapText="1"/>
      <protection locked="0"/>
    </xf>
    <xf numFmtId="0" fontId="123" fillId="0" borderId="0" xfId="2" applyFont="1" applyFill="1" applyBorder="1" applyProtection="1">
      <protection locked="0"/>
    </xf>
    <xf numFmtId="0" fontId="124" fillId="0" borderId="0" xfId="1" applyFont="1" applyAlignment="1">
      <alignment vertical="top"/>
    </xf>
    <xf numFmtId="0" fontId="124" fillId="0" borderId="0" xfId="1" applyFont="1" applyAlignment="1">
      <alignment vertical="top" wrapText="1"/>
    </xf>
    <xf numFmtId="0" fontId="11" fillId="0" borderId="0" xfId="1" applyFont="1" applyAlignment="1">
      <alignment vertical="top" wrapText="1"/>
    </xf>
    <xf numFmtId="0" fontId="11" fillId="3" borderId="0" xfId="1" applyFont="1" applyFill="1" applyAlignment="1">
      <alignment vertical="top"/>
    </xf>
    <xf numFmtId="0" fontId="23" fillId="3" borderId="0" xfId="97" applyFill="1" applyProtection="1">
      <protection locked="0"/>
    </xf>
    <xf numFmtId="0" fontId="11" fillId="77" borderId="0" xfId="1" applyFont="1" applyFill="1" applyAlignment="1">
      <alignment vertical="top"/>
    </xf>
    <xf numFmtId="0" fontId="11" fillId="81" borderId="0" xfId="0" applyFont="1" applyFill="1" applyAlignment="1">
      <alignment vertical="center"/>
    </xf>
    <xf numFmtId="0" fontId="11" fillId="81" borderId="0" xfId="0" applyFont="1" applyFill="1" applyAlignment="1">
      <alignment horizontal="left" vertical="center"/>
    </xf>
    <xf numFmtId="0" fontId="11" fillId="81" borderId="0" xfId="0" applyFont="1" applyFill="1" applyAlignment="1" applyProtection="1">
      <alignment horizontal="left" vertical="center"/>
      <protection locked="0"/>
    </xf>
    <xf numFmtId="0" fontId="21" fillId="81" borderId="0" xfId="2" applyFont="1" applyFill="1"/>
    <xf numFmtId="0" fontId="21" fillId="81" borderId="0" xfId="2" applyFont="1" applyFill="1" applyBorder="1"/>
    <xf numFmtId="0" fontId="21" fillId="81" borderId="0" xfId="2" applyFont="1" applyFill="1" applyBorder="1" applyAlignment="1">
      <alignment vertical="center"/>
    </xf>
    <xf numFmtId="0" fontId="66" fillId="0" borderId="0" xfId="2" applyFont="1" applyFill="1"/>
    <xf numFmtId="0" fontId="66" fillId="0" borderId="0" xfId="2" applyFont="1"/>
    <xf numFmtId="0" fontId="77" fillId="0" borderId="0" xfId="0" quotePrefix="1" applyFont="1" applyAlignment="1" applyProtection="1">
      <alignment horizontal="left" vertical="center" wrapText="1"/>
      <protection locked="0"/>
    </xf>
    <xf numFmtId="0" fontId="98" fillId="0" borderId="0" xfId="1" applyFont="1" applyFill="1" applyAlignment="1" applyProtection="1">
      <alignment horizontal="left" vertical="center"/>
      <protection locked="0"/>
    </xf>
    <xf numFmtId="0" fontId="66" fillId="0" borderId="0" xfId="1" applyFont="1" applyAlignment="1">
      <alignment vertical="top"/>
    </xf>
    <xf numFmtId="0" fontId="21" fillId="77" borderId="0" xfId="1" applyFont="1" applyFill="1" applyAlignment="1">
      <alignment vertical="top"/>
    </xf>
    <xf numFmtId="0" fontId="73" fillId="0" borderId="0" xfId="1" applyFont="1" applyAlignment="1" applyProtection="1">
      <alignment vertical="top" wrapText="1"/>
      <protection locked="0"/>
    </xf>
    <xf numFmtId="0" fontId="66" fillId="0" borderId="0" xfId="1" applyFont="1" applyAlignment="1" applyProtection="1">
      <alignment vertical="top"/>
      <protection locked="0"/>
    </xf>
    <xf numFmtId="0" fontId="66" fillId="0" borderId="0" xfId="1" applyFont="1" applyFill="1" applyAlignment="1">
      <alignment vertical="top"/>
    </xf>
    <xf numFmtId="0" fontId="11" fillId="77" borderId="0" xfId="1" applyFont="1" applyFill="1" applyBorder="1" applyAlignment="1">
      <alignment vertical="center" wrapText="1"/>
    </xf>
    <xf numFmtId="0" fontId="77" fillId="0" borderId="0" xfId="1" applyFont="1" applyBorder="1" applyAlignment="1" applyProtection="1">
      <alignment vertical="center"/>
      <protection locked="0"/>
    </xf>
    <xf numFmtId="0" fontId="77" fillId="0" borderId="0" xfId="1" applyFont="1" applyBorder="1" applyAlignment="1" applyProtection="1">
      <alignment vertical="center" wrapText="1"/>
      <protection locked="0"/>
    </xf>
    <xf numFmtId="0" fontId="11" fillId="77" borderId="0" xfId="0" applyFont="1" applyFill="1" applyAlignment="1">
      <alignment horizontal="left" vertical="center"/>
    </xf>
    <xf numFmtId="0" fontId="66" fillId="0" borderId="0" xfId="2" applyFont="1" applyFill="1" applyAlignment="1">
      <alignment wrapText="1"/>
    </xf>
    <xf numFmtId="0" fontId="21" fillId="77" borderId="0" xfId="2" applyFont="1" applyFill="1" applyBorder="1"/>
    <xf numFmtId="0" fontId="66" fillId="0" borderId="0" xfId="1" applyFont="1" applyAlignment="1">
      <alignment vertical="top" wrapText="1"/>
    </xf>
    <xf numFmtId="0" fontId="11" fillId="0" borderId="0" xfId="0" applyFont="1" applyFill="1" applyAlignment="1">
      <alignment horizontal="left" vertical="center"/>
    </xf>
    <xf numFmtId="0" fontId="0" fillId="0" borderId="0" xfId="0" applyFill="1" applyBorder="1" applyProtection="1">
      <protection locked="0"/>
    </xf>
    <xf numFmtId="0" fontId="0" fillId="0" borderId="0" xfId="0" applyFill="1" applyBorder="1" applyAlignment="1" applyProtection="1">
      <alignment wrapText="1"/>
      <protection locked="0"/>
    </xf>
    <xf numFmtId="0" fontId="0" fillId="0" borderId="0" xfId="0" applyFill="1" applyProtection="1">
      <protection locked="0"/>
    </xf>
    <xf numFmtId="0" fontId="0" fillId="0" borderId="0" xfId="0" applyFill="1" applyAlignment="1" applyProtection="1">
      <alignment wrapText="1"/>
      <protection locked="0"/>
    </xf>
    <xf numFmtId="0" fontId="11" fillId="77" borderId="0" xfId="0" applyFont="1" applyFill="1" applyAlignment="1">
      <alignment vertical="center"/>
    </xf>
    <xf numFmtId="0" fontId="124" fillId="2" borderId="0" xfId="1" applyFont="1" applyFill="1" applyAlignment="1">
      <alignment vertical="top"/>
    </xf>
    <xf numFmtId="0" fontId="124" fillId="0" borderId="0" xfId="0" applyFont="1" applyProtection="1">
      <protection locked="0"/>
    </xf>
    <xf numFmtId="0" fontId="127" fillId="0" borderId="0" xfId="1" applyFont="1" applyBorder="1" applyAlignment="1" applyProtection="1">
      <alignment vertical="center"/>
      <protection locked="0"/>
    </xf>
    <xf numFmtId="0" fontId="129" fillId="0" borderId="0" xfId="2" applyFont="1" applyFill="1"/>
    <xf numFmtId="1" fontId="11" fillId="76" borderId="0" xfId="1" applyNumberFormat="1" applyFont="1" applyFill="1" applyBorder="1" applyProtection="1">
      <protection locked="0"/>
    </xf>
    <xf numFmtId="166" fontId="66" fillId="3" borderId="0" xfId="0" applyNumberFormat="1" applyFont="1" applyFill="1" applyAlignment="1" applyProtection="1">
      <alignment horizontal="center" vertical="center"/>
      <protection locked="0"/>
    </xf>
    <xf numFmtId="2" fontId="66" fillId="3" borderId="0" xfId="0" applyNumberFormat="1" applyFont="1" applyFill="1" applyAlignment="1" applyProtection="1">
      <alignment horizontal="center" vertical="center"/>
      <protection locked="0"/>
    </xf>
    <xf numFmtId="0" fontId="66" fillId="63" borderId="0" xfId="2" applyFont="1" applyFill="1" applyAlignment="1" applyProtection="1">
      <alignment horizontal="center"/>
      <protection locked="0"/>
    </xf>
    <xf numFmtId="2" fontId="66" fillId="61" borderId="0" xfId="1" applyNumberFormat="1" applyFont="1" applyFill="1" applyBorder="1" applyAlignment="1" applyProtection="1">
      <alignment horizontal="center" vertical="top"/>
      <protection locked="0"/>
    </xf>
    <xf numFmtId="2" fontId="66" fillId="63" borderId="0" xfId="1" applyNumberFormat="1" applyFont="1" applyFill="1" applyBorder="1" applyAlignment="1" applyProtection="1">
      <alignment horizontal="center" vertical="top"/>
      <protection locked="0"/>
    </xf>
    <xf numFmtId="0" fontId="66" fillId="0" borderId="0" xfId="2" applyFont="1" applyFill="1" applyBorder="1"/>
    <xf numFmtId="1" fontId="11" fillId="0" borderId="0" xfId="1" applyNumberFormat="1" applyFont="1" applyFill="1" applyBorder="1" applyProtection="1"/>
    <xf numFmtId="164" fontId="11" fillId="0" borderId="0" xfId="1" applyNumberFormat="1" applyFont="1" applyFill="1" applyBorder="1" applyProtection="1"/>
    <xf numFmtId="164" fontId="11" fillId="0" borderId="0" xfId="1" applyNumberFormat="1" applyFont="1" applyFill="1" applyBorder="1" applyAlignment="1" applyProtection="1">
      <alignment horizontal="center"/>
    </xf>
    <xf numFmtId="164" fontId="11" fillId="0" borderId="0" xfId="1" applyNumberFormat="1" applyFont="1" applyFill="1" applyBorder="1" applyAlignment="1" applyProtection="1">
      <alignment horizontal="right"/>
    </xf>
    <xf numFmtId="166" fontId="11" fillId="0" borderId="0" xfId="1"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164" fontId="104" fillId="0" borderId="0" xfId="1" applyNumberFormat="1" applyFont="1" applyFill="1" applyBorder="1" applyAlignment="1" applyProtection="1">
      <alignment horizontal="center"/>
    </xf>
    <xf numFmtId="0" fontId="13" fillId="8" borderId="0" xfId="0" applyFont="1" applyFill="1" applyBorder="1" applyAlignment="1">
      <alignment horizontal="left"/>
    </xf>
    <xf numFmtId="0" fontId="72" fillId="8" borderId="0" xfId="0" applyFont="1" applyFill="1" applyBorder="1" applyAlignment="1">
      <alignment horizontal="left"/>
    </xf>
    <xf numFmtId="0" fontId="106" fillId="8" borderId="0" xfId="0" quotePrefix="1" applyFont="1" applyFill="1" applyBorder="1" applyAlignment="1">
      <alignment horizontal="left" vertical="top" wrapText="1"/>
    </xf>
    <xf numFmtId="0" fontId="11" fillId="3" borderId="5" xfId="0" applyFont="1" applyFill="1" applyBorder="1" applyAlignment="1">
      <alignment horizontal="center"/>
    </xf>
    <xf numFmtId="0" fontId="11" fillId="3" borderId="0" xfId="0" applyFont="1" applyFill="1" applyBorder="1" applyAlignment="1">
      <alignment horizontal="center"/>
    </xf>
    <xf numFmtId="0" fontId="11" fillId="78" borderId="5" xfId="0" applyFont="1" applyFill="1" applyBorder="1" applyAlignment="1">
      <alignment horizontal="center"/>
    </xf>
    <xf numFmtId="0" fontId="11" fillId="78" borderId="0" xfId="0" applyFont="1" applyFill="1" applyBorder="1" applyAlignment="1">
      <alignment horizontal="center"/>
    </xf>
    <xf numFmtId="0" fontId="65" fillId="0" borderId="0" xfId="1" applyFont="1" applyAlignment="1">
      <alignment horizontal="left" vertical="top"/>
    </xf>
    <xf numFmtId="0" fontId="12" fillId="2" borderId="0" xfId="1" applyFont="1" applyFill="1" applyAlignment="1">
      <alignment horizontal="left" vertical="top"/>
    </xf>
    <xf numFmtId="0" fontId="11" fillId="5" borderId="10" xfId="1" applyFont="1" applyFill="1" applyBorder="1" applyAlignment="1">
      <alignment horizontal="left" vertical="top"/>
    </xf>
    <xf numFmtId="0" fontId="11" fillId="5" borderId="13" xfId="1" applyFont="1" applyFill="1" applyBorder="1" applyAlignment="1">
      <alignment horizontal="left" vertical="top"/>
    </xf>
    <xf numFmtId="0" fontId="11" fillId="5" borderId="11" xfId="1" applyFont="1" applyFill="1" applyBorder="1" applyAlignment="1">
      <alignment horizontal="left" vertical="top"/>
    </xf>
    <xf numFmtId="0" fontId="86" fillId="2" borderId="0" xfId="1" applyFont="1" applyFill="1" applyAlignment="1" applyProtection="1">
      <alignment horizontal="center"/>
      <protection locked="0"/>
    </xf>
    <xf numFmtId="0" fontId="11" fillId="2" borderId="8" xfId="1" applyFont="1" applyFill="1" applyBorder="1" applyAlignment="1" applyProtection="1">
      <alignment horizontal="center"/>
      <protection locked="0"/>
    </xf>
    <xf numFmtId="0" fontId="12" fillId="0" borderId="33" xfId="1" quotePrefix="1" applyFont="1" applyBorder="1" applyAlignment="1" applyProtection="1">
      <alignment horizontal="center"/>
      <protection locked="0"/>
    </xf>
    <xf numFmtId="0" fontId="12" fillId="0" borderId="55" xfId="1" quotePrefix="1" applyFont="1" applyBorder="1" applyAlignment="1" applyProtection="1">
      <alignment horizontal="center"/>
      <protection locked="0"/>
    </xf>
    <xf numFmtId="0" fontId="12" fillId="0" borderId="34" xfId="1" quotePrefix="1" applyFont="1" applyBorder="1" applyAlignment="1" applyProtection="1">
      <alignment horizontal="center"/>
      <protection locked="0"/>
    </xf>
    <xf numFmtId="0" fontId="97" fillId="0" borderId="33" xfId="1" applyFont="1" applyBorder="1" applyAlignment="1" applyProtection="1">
      <alignment horizontal="center"/>
      <protection locked="0"/>
    </xf>
    <xf numFmtId="0" fontId="97" fillId="0" borderId="55" xfId="1" applyFont="1" applyBorder="1" applyAlignment="1" applyProtection="1">
      <alignment horizontal="center"/>
      <protection locked="0"/>
    </xf>
    <xf numFmtId="0" fontId="97" fillId="0" borderId="34" xfId="1" applyFont="1" applyBorder="1" applyAlignment="1" applyProtection="1">
      <alignment horizontal="center"/>
      <protection locked="0"/>
    </xf>
    <xf numFmtId="0" fontId="12" fillId="2" borderId="45" xfId="1" applyFont="1" applyFill="1" applyBorder="1" applyAlignment="1" applyProtection="1">
      <alignment horizontal="center" vertical="center" wrapText="1"/>
      <protection locked="0"/>
    </xf>
    <xf numFmtId="0" fontId="12" fillId="2" borderId="46" xfId="1" applyFont="1" applyFill="1" applyBorder="1" applyAlignment="1" applyProtection="1">
      <alignment horizontal="center" vertical="center"/>
      <protection locked="0"/>
    </xf>
    <xf numFmtId="0" fontId="11" fillId="0" borderId="47" xfId="1" applyFont="1" applyBorder="1" applyAlignment="1" applyProtection="1">
      <alignment horizontal="left"/>
      <protection locked="0"/>
    </xf>
    <xf numFmtId="0" fontId="11" fillId="0" borderId="1" xfId="1" applyFont="1" applyBorder="1" applyAlignment="1" applyProtection="1">
      <alignment horizontal="left"/>
      <protection locked="0"/>
    </xf>
    <xf numFmtId="164" fontId="12" fillId="70" borderId="2" xfId="1" applyNumberFormat="1" applyFont="1" applyFill="1" applyBorder="1" applyAlignment="1" applyProtection="1">
      <alignment horizontal="left"/>
      <protection locked="0"/>
    </xf>
    <xf numFmtId="164" fontId="12" fillId="70" borderId="3" xfId="1" applyNumberFormat="1" applyFont="1" applyFill="1" applyBorder="1" applyAlignment="1" applyProtection="1">
      <alignment horizontal="left"/>
      <protection locked="0"/>
    </xf>
    <xf numFmtId="164" fontId="12" fillId="70" borderId="4" xfId="1" applyNumberFormat="1" applyFont="1" applyFill="1" applyBorder="1" applyAlignment="1" applyProtection="1">
      <alignment horizontal="left"/>
      <protection locked="0"/>
    </xf>
    <xf numFmtId="0" fontId="11" fillId="74" borderId="1" xfId="1" applyFont="1" applyFill="1" applyBorder="1" applyAlignment="1" applyProtection="1">
      <alignment horizontal="left"/>
      <protection locked="0"/>
    </xf>
    <xf numFmtId="164" fontId="11" fillId="0" borderId="0" xfId="1" applyNumberFormat="1" applyFont="1" applyBorder="1" applyAlignment="1" applyProtection="1">
      <alignment horizontal="left"/>
      <protection locked="0"/>
    </xf>
    <xf numFmtId="164" fontId="93" fillId="0" borderId="1" xfId="1" applyNumberFormat="1" applyFont="1" applyBorder="1" applyAlignment="1" applyProtection="1">
      <alignment horizontal="left"/>
      <protection locked="0"/>
    </xf>
    <xf numFmtId="0" fontId="12" fillId="70" borderId="42" xfId="1" applyFont="1" applyFill="1" applyBorder="1" applyAlignment="1" applyProtection="1">
      <alignment horizontal="left" vertical="center"/>
      <protection locked="0"/>
    </xf>
    <xf numFmtId="0" fontId="12" fillId="70" borderId="43" xfId="1" applyFont="1" applyFill="1" applyBorder="1" applyAlignment="1" applyProtection="1">
      <alignment horizontal="left" vertical="center"/>
      <protection locked="0"/>
    </xf>
    <xf numFmtId="0" fontId="12" fillId="70" borderId="44" xfId="1" applyFont="1" applyFill="1" applyBorder="1" applyAlignment="1" applyProtection="1">
      <alignment horizontal="left" vertical="center"/>
      <protection locked="0"/>
    </xf>
    <xf numFmtId="0" fontId="11" fillId="2" borderId="5" xfId="1" applyFont="1" applyFill="1" applyBorder="1" applyAlignment="1" applyProtection="1">
      <alignment horizontal="left"/>
      <protection locked="0"/>
    </xf>
    <xf numFmtId="0" fontId="11" fillId="2" borderId="0" xfId="1" applyFont="1" applyFill="1" applyBorder="1" applyAlignment="1" applyProtection="1">
      <alignment horizontal="left"/>
      <protection locked="0"/>
    </xf>
    <xf numFmtId="2" fontId="11" fillId="73" borderId="0" xfId="1" applyNumberFormat="1" applyFont="1" applyFill="1" applyBorder="1" applyAlignment="1" applyProtection="1">
      <alignment horizontal="left"/>
    </xf>
    <xf numFmtId="0" fontId="12" fillId="0" borderId="0" xfId="1" applyFont="1" applyBorder="1" applyAlignment="1" applyProtection="1">
      <protection locked="0"/>
    </xf>
    <xf numFmtId="2" fontId="89" fillId="0" borderId="54" xfId="1" applyNumberFormat="1" applyFont="1" applyFill="1" applyBorder="1" applyAlignment="1" applyProtection="1">
      <alignment horizontal="center"/>
      <protection locked="0"/>
    </xf>
    <xf numFmtId="2" fontId="89" fillId="0" borderId="41" xfId="1" applyNumberFormat="1" applyFont="1" applyFill="1" applyBorder="1" applyAlignment="1" applyProtection="1">
      <alignment horizontal="center"/>
      <protection locked="0"/>
    </xf>
    <xf numFmtId="164" fontId="89" fillId="0" borderId="0" xfId="1" applyNumberFormat="1" applyFont="1" applyFill="1" applyBorder="1" applyAlignment="1" applyProtection="1">
      <alignment horizontal="center"/>
      <protection locked="0"/>
    </xf>
    <xf numFmtId="0" fontId="99" fillId="0" borderId="0" xfId="2" applyFont="1" applyAlignment="1" applyProtection="1">
      <alignment horizontal="center"/>
      <protection locked="0"/>
    </xf>
    <xf numFmtId="0" fontId="12" fillId="2" borderId="0" xfId="1" applyFont="1" applyFill="1" applyBorder="1" applyAlignment="1">
      <alignment horizontal="left" vertical="top"/>
    </xf>
    <xf numFmtId="0" fontId="11" fillId="2" borderId="0" xfId="1" applyFont="1" applyFill="1" applyBorder="1" applyAlignment="1">
      <alignment horizontal="left" vertical="top"/>
    </xf>
    <xf numFmtId="0" fontId="12" fillId="0" borderId="0" xfId="45" applyFont="1" applyAlignment="1">
      <alignment horizontal="center" vertical="center" wrapText="1"/>
    </xf>
    <xf numFmtId="0" fontId="65" fillId="69" borderId="0" xfId="45" applyFont="1" applyFill="1" applyAlignment="1">
      <alignment horizontal="center" vertical="center"/>
    </xf>
    <xf numFmtId="0" fontId="61" fillId="0" borderId="0" xfId="97" applyFont="1" applyAlignment="1">
      <alignment horizontal="left"/>
    </xf>
    <xf numFmtId="0" fontId="12" fillId="0" borderId="54" xfId="1" applyFont="1" applyBorder="1" applyAlignment="1" applyProtection="1">
      <alignment horizontal="center"/>
      <protection locked="0"/>
    </xf>
    <xf numFmtId="0" fontId="12" fillId="0" borderId="57" xfId="1" applyFont="1" applyBorder="1" applyAlignment="1" applyProtection="1">
      <alignment horizontal="center"/>
      <protection locked="0"/>
    </xf>
    <xf numFmtId="0" fontId="12" fillId="0" borderId="41" xfId="1" applyFont="1" applyBorder="1" applyAlignment="1" applyProtection="1">
      <alignment horizontal="center"/>
      <protection locked="0"/>
    </xf>
    <xf numFmtId="2" fontId="89" fillId="0" borderId="57" xfId="1" applyNumberFormat="1" applyFont="1" applyFill="1" applyBorder="1" applyAlignment="1" applyProtection="1">
      <alignment horizontal="center"/>
      <protection locked="0"/>
    </xf>
    <xf numFmtId="0" fontId="12" fillId="70" borderId="56" xfId="1" applyFont="1" applyFill="1" applyBorder="1" applyAlignment="1" applyProtection="1">
      <alignment horizontal="left" vertical="center"/>
      <protection locked="0"/>
    </xf>
    <xf numFmtId="0" fontId="12" fillId="2" borderId="45" xfId="1" applyFont="1" applyFill="1" applyBorder="1" applyAlignment="1" applyProtection="1">
      <alignment horizontal="center" vertical="center" wrapText="1"/>
    </xf>
    <xf numFmtId="0" fontId="12" fillId="2" borderId="46" xfId="1" applyFont="1" applyFill="1" applyBorder="1" applyAlignment="1" applyProtection="1">
      <alignment horizontal="center" vertical="center"/>
    </xf>
    <xf numFmtId="0" fontId="11" fillId="0" borderId="58" xfId="1" applyFont="1" applyBorder="1" applyAlignment="1" applyProtection="1">
      <alignment horizontal="left"/>
      <protection locked="0"/>
    </xf>
    <xf numFmtId="0" fontId="11" fillId="0" borderId="59" xfId="1" applyFont="1" applyBorder="1" applyAlignment="1" applyProtection="1">
      <alignment horizontal="left"/>
      <protection locked="0"/>
    </xf>
    <xf numFmtId="0" fontId="11" fillId="0" borderId="60" xfId="1" applyFont="1" applyBorder="1" applyAlignment="1" applyProtection="1">
      <alignment horizontal="left"/>
      <protection locked="0"/>
    </xf>
    <xf numFmtId="0" fontId="11" fillId="0" borderId="10" xfId="1" applyFont="1" applyBorder="1" applyAlignment="1" applyProtection="1">
      <alignment horizontal="left"/>
      <protection locked="0"/>
    </xf>
    <xf numFmtId="0" fontId="11" fillId="0" borderId="13" xfId="1" applyFont="1" applyBorder="1" applyAlignment="1" applyProtection="1">
      <alignment horizontal="left"/>
      <protection locked="0"/>
    </xf>
    <xf numFmtId="0" fontId="11" fillId="0" borderId="11" xfId="1" applyFont="1" applyBorder="1" applyAlignment="1" applyProtection="1">
      <alignment horizontal="left"/>
      <protection locked="0"/>
    </xf>
  </cellXfs>
  <cellStyles count="552">
    <cellStyle name="20% - Akzent1 2" xfId="10"/>
    <cellStyle name="20% - Akzent1 2 2" xfId="146"/>
    <cellStyle name="20% - Akzent1 2 2 2" xfId="224"/>
    <cellStyle name="20% - Akzent1 2 2 2 2" xfId="536"/>
    <cellStyle name="20% - Akzent1 2 2 2 3" xfId="380"/>
    <cellStyle name="20% - Akzent1 2 2 3" xfId="458"/>
    <cellStyle name="20% - Akzent1 2 2 4" xfId="302"/>
    <cellStyle name="20% - Akzent1 3" xfId="132"/>
    <cellStyle name="20% - Akzent1 3 2" xfId="210"/>
    <cellStyle name="20% - Akzent1 3 2 2" xfId="522"/>
    <cellStyle name="20% - Akzent1 3 2 3" xfId="366"/>
    <cellStyle name="20% - Akzent1 3 3" xfId="444"/>
    <cellStyle name="20% - Akzent1 3 4" xfId="288"/>
    <cellStyle name="20% - Akzent1 4" xfId="117"/>
    <cellStyle name="20% - Akzent1 4 2" xfId="196"/>
    <cellStyle name="20% - Akzent1 4 2 2" xfId="508"/>
    <cellStyle name="20% - Akzent1 4 2 3" xfId="352"/>
    <cellStyle name="20% - Akzent1 4 3" xfId="430"/>
    <cellStyle name="20% - Akzent1 4 4" xfId="274"/>
    <cellStyle name="20% - Akzent1 5" xfId="101"/>
    <cellStyle name="20% - Akzent1 5 2" xfId="180"/>
    <cellStyle name="20% - Akzent1 5 2 2" xfId="492"/>
    <cellStyle name="20% - Akzent1 5 2 3" xfId="336"/>
    <cellStyle name="20% - Akzent1 5 3" xfId="414"/>
    <cellStyle name="20% - Akzent1 5 4" xfId="258"/>
    <cellStyle name="20% - Akzent1 6" xfId="162"/>
    <cellStyle name="20% - Akzent1 6 2" xfId="474"/>
    <cellStyle name="20% - Akzent1 6 3" xfId="318"/>
    <cellStyle name="20% - Akzent1 7" xfId="396"/>
    <cellStyle name="20% - Akzent1 8" xfId="240"/>
    <cellStyle name="20% - Akzent2 2" xfId="11"/>
    <cellStyle name="20% - Akzent2 2 2" xfId="148"/>
    <cellStyle name="20% - Akzent2 2 2 2" xfId="226"/>
    <cellStyle name="20% - Akzent2 2 2 2 2" xfId="538"/>
    <cellStyle name="20% - Akzent2 2 2 2 3" xfId="382"/>
    <cellStyle name="20% - Akzent2 2 2 3" xfId="460"/>
    <cellStyle name="20% - Akzent2 2 2 4" xfId="304"/>
    <cellStyle name="20% - Akzent2 3" xfId="134"/>
    <cellStyle name="20% - Akzent2 3 2" xfId="212"/>
    <cellStyle name="20% - Akzent2 3 2 2" xfId="524"/>
    <cellStyle name="20% - Akzent2 3 2 3" xfId="368"/>
    <cellStyle name="20% - Akzent2 3 3" xfId="446"/>
    <cellStyle name="20% - Akzent2 3 4" xfId="290"/>
    <cellStyle name="20% - Akzent2 4" xfId="119"/>
    <cellStyle name="20% - Akzent2 4 2" xfId="198"/>
    <cellStyle name="20% - Akzent2 4 2 2" xfId="510"/>
    <cellStyle name="20% - Akzent2 4 2 3" xfId="354"/>
    <cellStyle name="20% - Akzent2 4 3" xfId="432"/>
    <cellStyle name="20% - Akzent2 4 4" xfId="276"/>
    <cellStyle name="20% - Akzent2 5" xfId="103"/>
    <cellStyle name="20% - Akzent2 5 2" xfId="182"/>
    <cellStyle name="20% - Akzent2 5 2 2" xfId="494"/>
    <cellStyle name="20% - Akzent2 5 2 3" xfId="338"/>
    <cellStyle name="20% - Akzent2 5 3" xfId="416"/>
    <cellStyle name="20% - Akzent2 5 4" xfId="260"/>
    <cellStyle name="20% - Akzent2 6" xfId="164"/>
    <cellStyle name="20% - Akzent2 6 2" xfId="476"/>
    <cellStyle name="20% - Akzent2 6 3" xfId="320"/>
    <cellStyle name="20% - Akzent2 7" xfId="398"/>
    <cellStyle name="20% - Akzent2 8" xfId="242"/>
    <cellStyle name="20% - Akzent3 2" xfId="12"/>
    <cellStyle name="20% - Akzent3 2 2" xfId="150"/>
    <cellStyle name="20% - Akzent3 2 2 2" xfId="228"/>
    <cellStyle name="20% - Akzent3 2 2 2 2" xfId="540"/>
    <cellStyle name="20% - Akzent3 2 2 2 3" xfId="384"/>
    <cellStyle name="20% - Akzent3 2 2 3" xfId="462"/>
    <cellStyle name="20% - Akzent3 2 2 4" xfId="306"/>
    <cellStyle name="20% - Akzent3 3" xfId="136"/>
    <cellStyle name="20% - Akzent3 3 2" xfId="214"/>
    <cellStyle name="20% - Akzent3 3 2 2" xfId="526"/>
    <cellStyle name="20% - Akzent3 3 2 3" xfId="370"/>
    <cellStyle name="20% - Akzent3 3 3" xfId="448"/>
    <cellStyle name="20% - Akzent3 3 4" xfId="292"/>
    <cellStyle name="20% - Akzent3 4" xfId="121"/>
    <cellStyle name="20% - Akzent3 4 2" xfId="200"/>
    <cellStyle name="20% - Akzent3 4 2 2" xfId="512"/>
    <cellStyle name="20% - Akzent3 4 2 3" xfId="356"/>
    <cellStyle name="20% - Akzent3 4 3" xfId="434"/>
    <cellStyle name="20% - Akzent3 4 4" xfId="278"/>
    <cellStyle name="20% - Akzent3 5" xfId="105"/>
    <cellStyle name="20% - Akzent3 5 2" xfId="184"/>
    <cellStyle name="20% - Akzent3 5 2 2" xfId="496"/>
    <cellStyle name="20% - Akzent3 5 2 3" xfId="340"/>
    <cellStyle name="20% - Akzent3 5 3" xfId="418"/>
    <cellStyle name="20% - Akzent3 5 4" xfId="262"/>
    <cellStyle name="20% - Akzent3 6" xfId="166"/>
    <cellStyle name="20% - Akzent3 6 2" xfId="478"/>
    <cellStyle name="20% - Akzent3 6 3" xfId="322"/>
    <cellStyle name="20% - Akzent3 7" xfId="400"/>
    <cellStyle name="20% - Akzent3 8" xfId="244"/>
    <cellStyle name="20% - Akzent4 2" xfId="13"/>
    <cellStyle name="20% - Akzent4 2 2" xfId="152"/>
    <cellStyle name="20% - Akzent4 2 2 2" xfId="230"/>
    <cellStyle name="20% - Akzent4 2 2 2 2" xfId="542"/>
    <cellStyle name="20% - Akzent4 2 2 2 3" xfId="386"/>
    <cellStyle name="20% - Akzent4 2 2 3" xfId="464"/>
    <cellStyle name="20% - Akzent4 2 2 4" xfId="308"/>
    <cellStyle name="20% - Akzent4 3" xfId="138"/>
    <cellStyle name="20% - Akzent4 3 2" xfId="216"/>
    <cellStyle name="20% - Akzent4 3 2 2" xfId="528"/>
    <cellStyle name="20% - Akzent4 3 2 3" xfId="372"/>
    <cellStyle name="20% - Akzent4 3 3" xfId="450"/>
    <cellStyle name="20% - Akzent4 3 4" xfId="294"/>
    <cellStyle name="20% - Akzent4 4" xfId="123"/>
    <cellStyle name="20% - Akzent4 4 2" xfId="202"/>
    <cellStyle name="20% - Akzent4 4 2 2" xfId="514"/>
    <cellStyle name="20% - Akzent4 4 2 3" xfId="358"/>
    <cellStyle name="20% - Akzent4 4 3" xfId="436"/>
    <cellStyle name="20% - Akzent4 4 4" xfId="280"/>
    <cellStyle name="20% - Akzent4 5" xfId="107"/>
    <cellStyle name="20% - Akzent4 5 2" xfId="186"/>
    <cellStyle name="20% - Akzent4 5 2 2" xfId="498"/>
    <cellStyle name="20% - Akzent4 5 2 3" xfId="342"/>
    <cellStyle name="20% - Akzent4 5 3" xfId="420"/>
    <cellStyle name="20% - Akzent4 5 4" xfId="264"/>
    <cellStyle name="20% - Akzent4 6" xfId="168"/>
    <cellStyle name="20% - Akzent4 6 2" xfId="480"/>
    <cellStyle name="20% - Akzent4 6 3" xfId="324"/>
    <cellStyle name="20% - Akzent4 7" xfId="402"/>
    <cellStyle name="20% - Akzent4 8" xfId="246"/>
    <cellStyle name="20% - Akzent5 2" xfId="14"/>
    <cellStyle name="20% - Akzent5 2 2" xfId="154"/>
    <cellStyle name="20% - Akzent5 2 2 2" xfId="232"/>
    <cellStyle name="20% - Akzent5 2 2 2 2" xfId="544"/>
    <cellStyle name="20% - Akzent5 2 2 2 3" xfId="388"/>
    <cellStyle name="20% - Akzent5 2 2 3" xfId="466"/>
    <cellStyle name="20% - Akzent5 2 2 4" xfId="310"/>
    <cellStyle name="20% - Akzent5 3" xfId="140"/>
    <cellStyle name="20% - Akzent5 3 2" xfId="218"/>
    <cellStyle name="20% - Akzent5 3 2 2" xfId="530"/>
    <cellStyle name="20% - Akzent5 3 2 3" xfId="374"/>
    <cellStyle name="20% - Akzent5 3 3" xfId="452"/>
    <cellStyle name="20% - Akzent5 3 4" xfId="296"/>
    <cellStyle name="20% - Akzent5 4" xfId="125"/>
    <cellStyle name="20% - Akzent5 4 2" xfId="204"/>
    <cellStyle name="20% - Akzent5 4 2 2" xfId="516"/>
    <cellStyle name="20% - Akzent5 4 2 3" xfId="360"/>
    <cellStyle name="20% - Akzent5 4 3" xfId="438"/>
    <cellStyle name="20% - Akzent5 4 4" xfId="282"/>
    <cellStyle name="20% - Akzent5 5" xfId="109"/>
    <cellStyle name="20% - Akzent5 5 2" xfId="188"/>
    <cellStyle name="20% - Akzent5 5 2 2" xfId="500"/>
    <cellStyle name="20% - Akzent5 5 2 3" xfId="344"/>
    <cellStyle name="20% - Akzent5 5 3" xfId="422"/>
    <cellStyle name="20% - Akzent5 5 4" xfId="266"/>
    <cellStyle name="20% - Akzent5 6" xfId="170"/>
    <cellStyle name="20% - Akzent5 6 2" xfId="482"/>
    <cellStyle name="20% - Akzent5 6 3" xfId="326"/>
    <cellStyle name="20% - Akzent5 7" xfId="404"/>
    <cellStyle name="20% - Akzent5 8" xfId="248"/>
    <cellStyle name="20% - Akzent6 2" xfId="15"/>
    <cellStyle name="20% - Akzent6 2 2" xfId="156"/>
    <cellStyle name="20% - Akzent6 2 2 2" xfId="234"/>
    <cellStyle name="20% - Akzent6 2 2 2 2" xfId="546"/>
    <cellStyle name="20% - Akzent6 2 2 2 3" xfId="390"/>
    <cellStyle name="20% - Akzent6 2 2 3" xfId="468"/>
    <cellStyle name="20% - Akzent6 2 2 4" xfId="312"/>
    <cellStyle name="20% - Akzent6 3" xfId="142"/>
    <cellStyle name="20% - Akzent6 3 2" xfId="220"/>
    <cellStyle name="20% - Akzent6 3 2 2" xfId="532"/>
    <cellStyle name="20% - Akzent6 3 2 3" xfId="376"/>
    <cellStyle name="20% - Akzent6 3 3" xfId="454"/>
    <cellStyle name="20% - Akzent6 3 4" xfId="298"/>
    <cellStyle name="20% - Akzent6 4" xfId="127"/>
    <cellStyle name="20% - Akzent6 4 2" xfId="206"/>
    <cellStyle name="20% - Akzent6 4 2 2" xfId="518"/>
    <cellStyle name="20% - Akzent6 4 2 3" xfId="362"/>
    <cellStyle name="20% - Akzent6 4 3" xfId="440"/>
    <cellStyle name="20% - Akzent6 4 4" xfId="284"/>
    <cellStyle name="20% - Akzent6 5" xfId="111"/>
    <cellStyle name="20% - Akzent6 5 2" xfId="190"/>
    <cellStyle name="20% - Akzent6 5 2 2" xfId="502"/>
    <cellStyle name="20% - Akzent6 5 2 3" xfId="346"/>
    <cellStyle name="20% - Akzent6 5 3" xfId="424"/>
    <cellStyle name="20% - Akzent6 5 4" xfId="268"/>
    <cellStyle name="20% - Akzent6 6" xfId="172"/>
    <cellStyle name="20% - Akzent6 6 2" xfId="484"/>
    <cellStyle name="20% - Akzent6 6 3" xfId="328"/>
    <cellStyle name="20% - Akzent6 7" xfId="406"/>
    <cellStyle name="20% - Akzent6 8" xfId="250"/>
    <cellStyle name="20% - 着色 1" xfId="71" builtinId="30" customBuiltin="1"/>
    <cellStyle name="20% - 着色 2" xfId="75" builtinId="34" customBuiltin="1"/>
    <cellStyle name="20% - 着色 3" xfId="79" builtinId="38" customBuiltin="1"/>
    <cellStyle name="20% - 着色 4" xfId="83" builtinId="42" customBuiltin="1"/>
    <cellStyle name="20% - 着色 5" xfId="87" builtinId="46" customBuiltin="1"/>
    <cellStyle name="20% - 着色 6" xfId="91" builtinId="50" customBuiltin="1"/>
    <cellStyle name="40% - Akzent1 2" xfId="16"/>
    <cellStyle name="40% - Akzent1 2 2" xfId="147"/>
    <cellStyle name="40% - Akzent1 2 2 2" xfId="225"/>
    <cellStyle name="40% - Akzent1 2 2 2 2" xfId="537"/>
    <cellStyle name="40% - Akzent1 2 2 2 3" xfId="381"/>
    <cellStyle name="40% - Akzent1 2 2 3" xfId="459"/>
    <cellStyle name="40% - Akzent1 2 2 4" xfId="303"/>
    <cellStyle name="40% - Akzent1 3" xfId="133"/>
    <cellStyle name="40% - Akzent1 3 2" xfId="211"/>
    <cellStyle name="40% - Akzent1 3 2 2" xfId="523"/>
    <cellStyle name="40% - Akzent1 3 2 3" xfId="367"/>
    <cellStyle name="40% - Akzent1 3 3" xfId="445"/>
    <cellStyle name="40% - Akzent1 3 4" xfId="289"/>
    <cellStyle name="40% - Akzent1 4" xfId="118"/>
    <cellStyle name="40% - Akzent1 4 2" xfId="197"/>
    <cellStyle name="40% - Akzent1 4 2 2" xfId="509"/>
    <cellStyle name="40% - Akzent1 4 2 3" xfId="353"/>
    <cellStyle name="40% - Akzent1 4 3" xfId="431"/>
    <cellStyle name="40% - Akzent1 4 4" xfId="275"/>
    <cellStyle name="40% - Akzent1 5" xfId="102"/>
    <cellStyle name="40% - Akzent1 5 2" xfId="181"/>
    <cellStyle name="40% - Akzent1 5 2 2" xfId="493"/>
    <cellStyle name="40% - Akzent1 5 2 3" xfId="337"/>
    <cellStyle name="40% - Akzent1 5 3" xfId="415"/>
    <cellStyle name="40% - Akzent1 5 4" xfId="259"/>
    <cellStyle name="40% - Akzent1 6" xfId="163"/>
    <cellStyle name="40% - Akzent1 6 2" xfId="475"/>
    <cellStyle name="40% - Akzent1 6 3" xfId="319"/>
    <cellStyle name="40% - Akzent1 7" xfId="397"/>
    <cellStyle name="40% - Akzent1 8" xfId="241"/>
    <cellStyle name="40% - Akzent2 2" xfId="17"/>
    <cellStyle name="40% - Akzent2 2 2" xfId="149"/>
    <cellStyle name="40% - Akzent2 2 2 2" xfId="227"/>
    <cellStyle name="40% - Akzent2 2 2 2 2" xfId="539"/>
    <cellStyle name="40% - Akzent2 2 2 2 3" xfId="383"/>
    <cellStyle name="40% - Akzent2 2 2 3" xfId="461"/>
    <cellStyle name="40% - Akzent2 2 2 4" xfId="305"/>
    <cellStyle name="40% - Akzent2 3" xfId="135"/>
    <cellStyle name="40% - Akzent2 3 2" xfId="213"/>
    <cellStyle name="40% - Akzent2 3 2 2" xfId="525"/>
    <cellStyle name="40% - Akzent2 3 2 3" xfId="369"/>
    <cellStyle name="40% - Akzent2 3 3" xfId="447"/>
    <cellStyle name="40% - Akzent2 3 4" xfId="291"/>
    <cellStyle name="40% - Akzent2 4" xfId="120"/>
    <cellStyle name="40% - Akzent2 4 2" xfId="199"/>
    <cellStyle name="40% - Akzent2 4 2 2" xfId="511"/>
    <cellStyle name="40% - Akzent2 4 2 3" xfId="355"/>
    <cellStyle name="40% - Akzent2 4 3" xfId="433"/>
    <cellStyle name="40% - Akzent2 4 4" xfId="277"/>
    <cellStyle name="40% - Akzent2 5" xfId="104"/>
    <cellStyle name="40% - Akzent2 5 2" xfId="183"/>
    <cellStyle name="40% - Akzent2 5 2 2" xfId="495"/>
    <cellStyle name="40% - Akzent2 5 2 3" xfId="339"/>
    <cellStyle name="40% - Akzent2 5 3" xfId="417"/>
    <cellStyle name="40% - Akzent2 5 4" xfId="261"/>
    <cellStyle name="40% - Akzent2 6" xfId="165"/>
    <cellStyle name="40% - Akzent2 6 2" xfId="477"/>
    <cellStyle name="40% - Akzent2 6 3" xfId="321"/>
    <cellStyle name="40% - Akzent2 7" xfId="399"/>
    <cellStyle name="40% - Akzent2 8" xfId="243"/>
    <cellStyle name="40% - Akzent3 2" xfId="18"/>
    <cellStyle name="40% - Akzent3 2 2" xfId="151"/>
    <cellStyle name="40% - Akzent3 2 2 2" xfId="229"/>
    <cellStyle name="40% - Akzent3 2 2 2 2" xfId="541"/>
    <cellStyle name="40% - Akzent3 2 2 2 3" xfId="385"/>
    <cellStyle name="40% - Akzent3 2 2 3" xfId="463"/>
    <cellStyle name="40% - Akzent3 2 2 4" xfId="307"/>
    <cellStyle name="40% - Akzent3 3" xfId="137"/>
    <cellStyle name="40% - Akzent3 3 2" xfId="215"/>
    <cellStyle name="40% - Akzent3 3 2 2" xfId="527"/>
    <cellStyle name="40% - Akzent3 3 2 3" xfId="371"/>
    <cellStyle name="40% - Akzent3 3 3" xfId="449"/>
    <cellStyle name="40% - Akzent3 3 4" xfId="293"/>
    <cellStyle name="40% - Akzent3 4" xfId="122"/>
    <cellStyle name="40% - Akzent3 4 2" xfId="201"/>
    <cellStyle name="40% - Akzent3 4 2 2" xfId="513"/>
    <cellStyle name="40% - Akzent3 4 2 3" xfId="357"/>
    <cellStyle name="40% - Akzent3 4 3" xfId="435"/>
    <cellStyle name="40% - Akzent3 4 4" xfId="279"/>
    <cellStyle name="40% - Akzent3 5" xfId="106"/>
    <cellStyle name="40% - Akzent3 5 2" xfId="185"/>
    <cellStyle name="40% - Akzent3 5 2 2" xfId="497"/>
    <cellStyle name="40% - Akzent3 5 2 3" xfId="341"/>
    <cellStyle name="40% - Akzent3 5 3" xfId="419"/>
    <cellStyle name="40% - Akzent3 5 4" xfId="263"/>
    <cellStyle name="40% - Akzent3 6" xfId="167"/>
    <cellStyle name="40% - Akzent3 6 2" xfId="479"/>
    <cellStyle name="40% - Akzent3 6 3" xfId="323"/>
    <cellStyle name="40% - Akzent3 7" xfId="401"/>
    <cellStyle name="40% - Akzent3 8" xfId="245"/>
    <cellStyle name="40% - Akzent4 2" xfId="19"/>
    <cellStyle name="40% - Akzent4 2 2" xfId="153"/>
    <cellStyle name="40% - Akzent4 2 2 2" xfId="231"/>
    <cellStyle name="40% - Akzent4 2 2 2 2" xfId="543"/>
    <cellStyle name="40% - Akzent4 2 2 2 3" xfId="387"/>
    <cellStyle name="40% - Akzent4 2 2 3" xfId="465"/>
    <cellStyle name="40% - Akzent4 2 2 4" xfId="309"/>
    <cellStyle name="40% - Akzent4 3" xfId="139"/>
    <cellStyle name="40% - Akzent4 3 2" xfId="217"/>
    <cellStyle name="40% - Akzent4 3 2 2" xfId="529"/>
    <cellStyle name="40% - Akzent4 3 2 3" xfId="373"/>
    <cellStyle name="40% - Akzent4 3 3" xfId="451"/>
    <cellStyle name="40% - Akzent4 3 4" xfId="295"/>
    <cellStyle name="40% - Akzent4 4" xfId="124"/>
    <cellStyle name="40% - Akzent4 4 2" xfId="203"/>
    <cellStyle name="40% - Akzent4 4 2 2" xfId="515"/>
    <cellStyle name="40% - Akzent4 4 2 3" xfId="359"/>
    <cellStyle name="40% - Akzent4 4 3" xfId="437"/>
    <cellStyle name="40% - Akzent4 4 4" xfId="281"/>
    <cellStyle name="40% - Akzent4 5" xfId="108"/>
    <cellStyle name="40% - Akzent4 5 2" xfId="187"/>
    <cellStyle name="40% - Akzent4 5 2 2" xfId="499"/>
    <cellStyle name="40% - Akzent4 5 2 3" xfId="343"/>
    <cellStyle name="40% - Akzent4 5 3" xfId="421"/>
    <cellStyle name="40% - Akzent4 5 4" xfId="265"/>
    <cellStyle name="40% - Akzent4 6" xfId="169"/>
    <cellStyle name="40% - Akzent4 6 2" xfId="481"/>
    <cellStyle name="40% - Akzent4 6 3" xfId="325"/>
    <cellStyle name="40% - Akzent4 7" xfId="403"/>
    <cellStyle name="40% - Akzent4 8" xfId="247"/>
    <cellStyle name="40% - Akzent5 2" xfId="20"/>
    <cellStyle name="40% - Akzent5 2 2" xfId="155"/>
    <cellStyle name="40% - Akzent5 2 2 2" xfId="233"/>
    <cellStyle name="40% - Akzent5 2 2 2 2" xfId="545"/>
    <cellStyle name="40% - Akzent5 2 2 2 3" xfId="389"/>
    <cellStyle name="40% - Akzent5 2 2 3" xfId="467"/>
    <cellStyle name="40% - Akzent5 2 2 4" xfId="311"/>
    <cellStyle name="40% - Akzent5 3" xfId="141"/>
    <cellStyle name="40% - Akzent5 3 2" xfId="219"/>
    <cellStyle name="40% - Akzent5 3 2 2" xfId="531"/>
    <cellStyle name="40% - Akzent5 3 2 3" xfId="375"/>
    <cellStyle name="40% - Akzent5 3 3" xfId="453"/>
    <cellStyle name="40% - Akzent5 3 4" xfId="297"/>
    <cellStyle name="40% - Akzent5 4" xfId="126"/>
    <cellStyle name="40% - Akzent5 4 2" xfId="205"/>
    <cellStyle name="40% - Akzent5 4 2 2" xfId="517"/>
    <cellStyle name="40% - Akzent5 4 2 3" xfId="361"/>
    <cellStyle name="40% - Akzent5 4 3" xfId="439"/>
    <cellStyle name="40% - Akzent5 4 4" xfId="283"/>
    <cellStyle name="40% - Akzent5 5" xfId="110"/>
    <cellStyle name="40% - Akzent5 5 2" xfId="189"/>
    <cellStyle name="40% - Akzent5 5 2 2" xfId="501"/>
    <cellStyle name="40% - Akzent5 5 2 3" xfId="345"/>
    <cellStyle name="40% - Akzent5 5 3" xfId="423"/>
    <cellStyle name="40% - Akzent5 5 4" xfId="267"/>
    <cellStyle name="40% - Akzent5 6" xfId="171"/>
    <cellStyle name="40% - Akzent5 6 2" xfId="483"/>
    <cellStyle name="40% - Akzent5 6 3" xfId="327"/>
    <cellStyle name="40% - Akzent5 7" xfId="405"/>
    <cellStyle name="40% - Akzent5 8" xfId="249"/>
    <cellStyle name="40% - Akzent6 2" xfId="21"/>
    <cellStyle name="40% - Akzent6 2 2" xfId="157"/>
    <cellStyle name="40% - Akzent6 2 2 2" xfId="235"/>
    <cellStyle name="40% - Akzent6 2 2 2 2" xfId="547"/>
    <cellStyle name="40% - Akzent6 2 2 2 3" xfId="391"/>
    <cellStyle name="40% - Akzent6 2 2 3" xfId="469"/>
    <cellStyle name="40% - Akzent6 2 2 4" xfId="313"/>
    <cellStyle name="40% - Akzent6 3" xfId="143"/>
    <cellStyle name="40% - Akzent6 3 2" xfId="221"/>
    <cellStyle name="40% - Akzent6 3 2 2" xfId="533"/>
    <cellStyle name="40% - Akzent6 3 2 3" xfId="377"/>
    <cellStyle name="40% - Akzent6 3 3" xfId="455"/>
    <cellStyle name="40% - Akzent6 3 4" xfId="299"/>
    <cellStyle name="40% - Akzent6 4" xfId="128"/>
    <cellStyle name="40% - Akzent6 4 2" xfId="207"/>
    <cellStyle name="40% - Akzent6 4 2 2" xfId="519"/>
    <cellStyle name="40% - Akzent6 4 2 3" xfId="363"/>
    <cellStyle name="40% - Akzent6 4 3" xfId="441"/>
    <cellStyle name="40% - Akzent6 4 4" xfId="285"/>
    <cellStyle name="40% - Akzent6 5" xfId="112"/>
    <cellStyle name="40% - Akzent6 5 2" xfId="191"/>
    <cellStyle name="40% - Akzent6 5 2 2" xfId="503"/>
    <cellStyle name="40% - Akzent6 5 2 3" xfId="347"/>
    <cellStyle name="40% - Akzent6 5 3" xfId="425"/>
    <cellStyle name="40% - Akzent6 5 4" xfId="269"/>
    <cellStyle name="40% - Akzent6 6" xfId="173"/>
    <cellStyle name="40% - Akzent6 6 2" xfId="485"/>
    <cellStyle name="40% - Akzent6 6 3" xfId="329"/>
    <cellStyle name="40% - Akzent6 7" xfId="407"/>
    <cellStyle name="40% - Akzent6 8" xfId="251"/>
    <cellStyle name="40% - 着色 1" xfId="72" builtinId="31" customBuiltin="1"/>
    <cellStyle name="40% - 着色 2" xfId="76" builtinId="35" customBuiltin="1"/>
    <cellStyle name="40% - 着色 3" xfId="80" builtinId="39" customBuiltin="1"/>
    <cellStyle name="40% - 着色 4" xfId="84" builtinId="43" customBuiltin="1"/>
    <cellStyle name="40% - 着色 5" xfId="88" builtinId="47" customBuiltin="1"/>
    <cellStyle name="40% - 着色 6" xfId="92" builtinId="51" customBuiltin="1"/>
    <cellStyle name="60% - Akzent1 2" xfId="22"/>
    <cellStyle name="60% - Akzent2 2" xfId="23"/>
    <cellStyle name="60% - Akzent3 2" xfId="24"/>
    <cellStyle name="60% - Akzent4 2" xfId="25"/>
    <cellStyle name="60% - Akzent5 2" xfId="26"/>
    <cellStyle name="60% - Akzent6 2" xfId="27"/>
    <cellStyle name="60% - 着色 1" xfId="73" builtinId="32" customBuiltin="1"/>
    <cellStyle name="60% - 着色 2" xfId="77" builtinId="36" customBuiltin="1"/>
    <cellStyle name="60% - 着色 3" xfId="81" builtinId="40" customBuiltin="1"/>
    <cellStyle name="60% - 着色 4" xfId="85" builtinId="44" customBuiltin="1"/>
    <cellStyle name="60% - 着色 5" xfId="89" builtinId="48" customBuiltin="1"/>
    <cellStyle name="60% - 着色 6" xfId="93" builtinId="52" customBuiltin="1"/>
    <cellStyle name="Akzent1 2" xfId="28"/>
    <cellStyle name="Akzent2 2" xfId="29"/>
    <cellStyle name="Akzent3 2" xfId="30"/>
    <cellStyle name="Akzent4 2" xfId="31"/>
    <cellStyle name="Akzent5 2" xfId="32"/>
    <cellStyle name="Akzent6 2" xfId="33"/>
    <cellStyle name="Ausgabe 2" xfId="34"/>
    <cellStyle name="Berechnung 2" xfId="35"/>
    <cellStyle name="Eingabe 2" xfId="36"/>
    <cellStyle name="Ergebnis 2" xfId="37"/>
    <cellStyle name="Erklärender Text 2" xfId="38"/>
    <cellStyle name="Gut 2" xfId="39"/>
    <cellStyle name="Neutral 2" xfId="40"/>
    <cellStyle name="Notiz 2" xfId="4"/>
    <cellStyle name="Notiz 2 2" xfId="41"/>
    <cellStyle name="Notiz 2 2 2" xfId="159"/>
    <cellStyle name="Notiz 2 2 2 2" xfId="237"/>
    <cellStyle name="Notiz 2 2 2 2 2" xfId="549"/>
    <cellStyle name="Notiz 2 2 2 2 3" xfId="393"/>
    <cellStyle name="Notiz 2 2 2 3" xfId="471"/>
    <cellStyle name="Notiz 2 2 2 4" xfId="315"/>
    <cellStyle name="Notiz 2 3" xfId="95"/>
    <cellStyle name="Notiz 2 3 2" xfId="145"/>
    <cellStyle name="Notiz 2 3 2 2" xfId="223"/>
    <cellStyle name="Notiz 2 3 2 2 2" xfId="535"/>
    <cellStyle name="Notiz 2 3 2 2 3" xfId="379"/>
    <cellStyle name="Notiz 2 3 2 3" xfId="457"/>
    <cellStyle name="Notiz 2 3 2 4" xfId="301"/>
    <cellStyle name="Notiz 2 3 3" xfId="114"/>
    <cellStyle name="Notiz 2 3 3 2" xfId="193"/>
    <cellStyle name="Notiz 2 3 3 2 2" xfId="505"/>
    <cellStyle name="Notiz 2 3 3 2 3" xfId="349"/>
    <cellStyle name="Notiz 2 3 3 3" xfId="427"/>
    <cellStyle name="Notiz 2 3 3 4" xfId="271"/>
    <cellStyle name="Notiz 2 3 4" xfId="175"/>
    <cellStyle name="Notiz 2 3 4 2" xfId="487"/>
    <cellStyle name="Notiz 2 3 4 3" xfId="331"/>
    <cellStyle name="Notiz 2 3 5" xfId="409"/>
    <cellStyle name="Notiz 2 3 6" xfId="253"/>
    <cellStyle name="Notiz 2 4" xfId="130"/>
    <cellStyle name="Notiz 2 4 2" xfId="209"/>
    <cellStyle name="Notiz 2 4 2 2" xfId="521"/>
    <cellStyle name="Notiz 2 4 2 3" xfId="365"/>
    <cellStyle name="Notiz 2 4 3" xfId="443"/>
    <cellStyle name="Notiz 2 4 4" xfId="287"/>
    <cellStyle name="Notiz 2 5" xfId="100"/>
    <cellStyle name="Notiz 2 5 2" xfId="179"/>
    <cellStyle name="Notiz 2 5 2 2" xfId="491"/>
    <cellStyle name="Notiz 2 5 2 3" xfId="335"/>
    <cellStyle name="Notiz 2 5 3" xfId="413"/>
    <cellStyle name="Notiz 2 5 4" xfId="257"/>
    <cellStyle name="Notiz 2 6" xfId="161"/>
    <cellStyle name="Notiz 2 6 2" xfId="473"/>
    <cellStyle name="Notiz 2 6 3" xfId="317"/>
    <cellStyle name="Notiz 2 7" xfId="395"/>
    <cellStyle name="Notiz 2 8" xfId="239"/>
    <cellStyle name="Prozent 2" xfId="5"/>
    <cellStyle name="Prozent 3" xfId="98"/>
    <cellStyle name="Prozent 3 2" xfId="131"/>
    <cellStyle name="Prozent 3 3" xfId="116"/>
    <cellStyle name="Prozent 3 3 2" xfId="195"/>
    <cellStyle name="Prozent 3 3 2 2" xfId="507"/>
    <cellStyle name="Prozent 3 3 2 3" xfId="351"/>
    <cellStyle name="Prozent 3 3 3" xfId="429"/>
    <cellStyle name="Prozent 3 3 4" xfId="273"/>
    <cellStyle name="Prozent 3 4" xfId="177"/>
    <cellStyle name="Prozent 3 4 2" xfId="489"/>
    <cellStyle name="Prozent 3 4 3" xfId="333"/>
    <cellStyle name="Prozent 3 5" xfId="411"/>
    <cellStyle name="Prozent 3 6" xfId="255"/>
    <cellStyle name="SAPBEXstdData" xfId="42"/>
    <cellStyle name="Schlecht 2" xfId="6"/>
    <cellStyle name="Schlecht 2 2" xfId="7"/>
    <cellStyle name="Schlecht 2 3" xfId="43"/>
    <cellStyle name="Standard 2" xfId="1"/>
    <cellStyle name="Standard 2 2" xfId="3"/>
    <cellStyle name="Standard 2 2 2" xfId="44"/>
    <cellStyle name="Standard 2 3" xfId="97"/>
    <cellStyle name="Standard 3" xfId="2"/>
    <cellStyle name="Standard 3 10" xfId="551"/>
    <cellStyle name="Standard 3 2" xfId="9"/>
    <cellStyle name="Standard 3 2 2" xfId="158"/>
    <cellStyle name="Standard 3 2 2 2" xfId="236"/>
    <cellStyle name="Standard 3 2 2 2 2" xfId="548"/>
    <cellStyle name="Standard 3 2 2 2 3" xfId="392"/>
    <cellStyle name="Standard 3 2 2 3" xfId="470"/>
    <cellStyle name="Standard 3 2 2 4" xfId="314"/>
    <cellStyle name="Standard 3 3" xfId="94"/>
    <cellStyle name="Standard 3 3 2" xfId="144"/>
    <cellStyle name="Standard 3 3 2 2" xfId="222"/>
    <cellStyle name="Standard 3 3 2 2 2" xfId="534"/>
    <cellStyle name="Standard 3 3 2 2 3" xfId="378"/>
    <cellStyle name="Standard 3 3 2 3" xfId="456"/>
    <cellStyle name="Standard 3 3 2 4" xfId="300"/>
    <cellStyle name="Standard 3 3 3" xfId="113"/>
    <cellStyle name="Standard 3 3 3 2" xfId="192"/>
    <cellStyle name="Standard 3 3 3 2 2" xfId="504"/>
    <cellStyle name="Standard 3 3 3 2 3" xfId="348"/>
    <cellStyle name="Standard 3 3 3 3" xfId="426"/>
    <cellStyle name="Standard 3 3 3 4" xfId="270"/>
    <cellStyle name="Standard 3 3 4" xfId="174"/>
    <cellStyle name="Standard 3 3 4 2" xfId="486"/>
    <cellStyle name="Standard 3 3 4 3" xfId="330"/>
    <cellStyle name="Standard 3 3 5" xfId="408"/>
    <cellStyle name="Standard 3 3 6" xfId="252"/>
    <cellStyle name="Standard 3 4" xfId="129"/>
    <cellStyle name="Standard 3 4 2" xfId="208"/>
    <cellStyle name="Standard 3 4 2 2" xfId="520"/>
    <cellStyle name="Standard 3 4 2 3" xfId="364"/>
    <cellStyle name="Standard 3 4 3" xfId="442"/>
    <cellStyle name="Standard 3 4 4" xfId="286"/>
    <cellStyle name="Standard 3 5" xfId="99"/>
    <cellStyle name="Standard 3 5 2" xfId="178"/>
    <cellStyle name="Standard 3 5 2 2" xfId="490"/>
    <cellStyle name="Standard 3 5 2 3" xfId="334"/>
    <cellStyle name="Standard 3 5 3" xfId="412"/>
    <cellStyle name="Standard 3 5 4" xfId="256"/>
    <cellStyle name="Standard 3 6" xfId="160"/>
    <cellStyle name="Standard 3 6 2" xfId="472"/>
    <cellStyle name="Standard 3 6 3" xfId="316"/>
    <cellStyle name="Standard 3 7" xfId="394"/>
    <cellStyle name="Standard 3 8" xfId="238"/>
    <cellStyle name="Standard 3 9" xfId="550"/>
    <cellStyle name="Standard 4" xfId="45"/>
    <cellStyle name="Standard 5" xfId="46"/>
    <cellStyle name="Standard 6" xfId="8"/>
    <cellStyle name="Standard 7" xfId="96"/>
    <cellStyle name="Standard 7 2" xfId="115"/>
    <cellStyle name="Standard 7 2 2" xfId="194"/>
    <cellStyle name="Standard 7 2 2 2" xfId="506"/>
    <cellStyle name="Standard 7 2 2 3" xfId="350"/>
    <cellStyle name="Standard 7 2 3" xfId="428"/>
    <cellStyle name="Standard 7 2 4" xfId="272"/>
    <cellStyle name="Standard 7 3" xfId="176"/>
    <cellStyle name="Standard 7 3 2" xfId="488"/>
    <cellStyle name="Standard 7 3 3" xfId="332"/>
    <cellStyle name="Standard 7 4" xfId="410"/>
    <cellStyle name="Standard 7 5" xfId="254"/>
    <cellStyle name="Überschrift 1 2" xfId="48"/>
    <cellStyle name="Überschrift 2 2" xfId="49"/>
    <cellStyle name="Überschrift 3 2" xfId="50"/>
    <cellStyle name="Überschrift 4 2" xfId="51"/>
    <cellStyle name="Überschrift 5" xfId="47"/>
    <cellStyle name="Verknüpfte Zelle 2" xfId="52"/>
    <cellStyle name="Warnender Text 2" xfId="53"/>
    <cellStyle name="Zelle überprüfen 2" xfId="54"/>
    <cellStyle name="好" xfId="60" builtinId="26" customBuiltin="1"/>
    <cellStyle name="常规" xfId="0" builtinId="0"/>
    <cellStyle name="标题" xfId="55" builtinId="15" customBuiltin="1"/>
    <cellStyle name="标题 1" xfId="56" builtinId="16" customBuiltin="1"/>
    <cellStyle name="标题 2" xfId="57" builtinId="17" customBuiltin="1"/>
    <cellStyle name="标题 3" xfId="58" builtinId="18" customBuiltin="1"/>
    <cellStyle name="标题 4" xfId="59" builtinId="19" customBuiltin="1"/>
    <cellStyle name="检查单元格" xfId="66" builtinId="23" customBuiltin="1"/>
    <cellStyle name="汇总" xfId="69" builtinId="25" customBuiltin="1"/>
    <cellStyle name="着色 1" xfId="70" builtinId="29" customBuiltin="1"/>
    <cellStyle name="着色 2" xfId="74" builtinId="33" customBuiltin="1"/>
    <cellStyle name="着色 3" xfId="78" builtinId="37" customBuiltin="1"/>
    <cellStyle name="着色 4" xfId="82" builtinId="41" customBuiltin="1"/>
    <cellStyle name="着色 5" xfId="86" builtinId="45" customBuiltin="1"/>
    <cellStyle name="着色 6" xfId="90" builtinId="49" customBuiltin="1"/>
    <cellStyle name="解释性文本" xfId="68" builtinId="53" customBuiltin="1"/>
    <cellStyle name="警告文本" xfId="67" builtinId="11" customBuiltin="1"/>
    <cellStyle name="计算" xfId="64" builtinId="22" customBuiltin="1"/>
    <cellStyle name="输入" xfId="62" builtinId="20" customBuiltin="1"/>
    <cellStyle name="输出" xfId="63" builtinId="21" customBuiltin="1"/>
    <cellStyle name="适中" xfId="61" builtinId="28" customBuiltin="1"/>
    <cellStyle name="链接单元格" xfId="65" builtinId="24" customBuiltin="1"/>
  </cellStyles>
  <dxfs count="6">
    <dxf>
      <fill>
        <patternFill>
          <bgColor rgb="FFFF0000"/>
        </patternFill>
      </fill>
    </dxf>
    <dxf>
      <font>
        <color rgb="FF006100"/>
      </font>
      <fill>
        <patternFill>
          <bgColor rgb="FFC6EFCE"/>
        </patternFill>
      </fill>
    </dxf>
    <dxf>
      <fill>
        <patternFill>
          <bgColor rgb="FFFFCC00"/>
        </patternFill>
      </fill>
    </dxf>
    <dxf>
      <fill>
        <patternFill>
          <bgColor rgb="FFFFCC00"/>
        </patternFill>
      </fill>
    </dxf>
    <dxf>
      <font>
        <color theme="1"/>
      </font>
      <fill>
        <patternFill>
          <bgColor rgb="FFFFC000"/>
        </patternFill>
      </fill>
    </dxf>
    <dxf>
      <font>
        <color theme="0" tint="-0.499984740745262"/>
      </font>
      <fill>
        <patternFill>
          <bgColor theme="0" tint="-0.14996795556505021"/>
        </patternFill>
      </fill>
    </dxf>
  </dxfs>
  <tableStyles count="0" defaultTableStyle="TableStyleMedium9" defaultPivotStyle="PivotStyleLight16"/>
  <colors>
    <mruColors>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rackposition and ratio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RackPosition</c:v>
          </c:tx>
          <c:spPr>
            <a:ln w="12700" cap="rnd">
              <a:solidFill>
                <a:schemeClr val="accent1"/>
              </a:solidFill>
              <a:round/>
            </a:ln>
            <a:effectLst/>
          </c:spPr>
          <c:marker>
            <c:symbol val="circle"/>
            <c:size val="5"/>
            <c:spPr>
              <a:noFill/>
              <a:ln w="9525">
                <a:noFill/>
              </a:ln>
              <a:effectLst/>
            </c:spPr>
          </c:marker>
          <c:xVal>
            <c:numRef>
              <c:f>[0]!PinAng4Diagram</c:f>
              <c:numCache>
                <c:formatCode>0</c:formatCode>
                <c:ptCount val="5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604</c:v>
                </c:pt>
              </c:numCache>
            </c:numRef>
          </c:xVal>
          <c:yVal>
            <c:numRef>
              <c:f>[0]!RackPos4Diagram</c:f>
              <c:numCache>
                <c:formatCode>0.000</c:formatCode>
                <c:ptCount val="536"/>
                <c:pt idx="0">
                  <c:v>0</c:v>
                </c:pt>
                <c:pt idx="1">
                  <c:v>0.15277777777777779</c:v>
                </c:pt>
                <c:pt idx="2">
                  <c:v>0.30555555555555558</c:v>
                </c:pt>
                <c:pt idx="3">
                  <c:v>0.45833333333333331</c:v>
                </c:pt>
                <c:pt idx="4">
                  <c:v>0.61111111111111116</c:v>
                </c:pt>
                <c:pt idx="5">
                  <c:v>0.76388888888888884</c:v>
                </c:pt>
                <c:pt idx="6">
                  <c:v>0.91666666666666663</c:v>
                </c:pt>
                <c:pt idx="7">
                  <c:v>1.0694444444444444</c:v>
                </c:pt>
                <c:pt idx="8">
                  <c:v>1.2222222222222223</c:v>
                </c:pt>
                <c:pt idx="9">
                  <c:v>1.375</c:v>
                </c:pt>
                <c:pt idx="10">
                  <c:v>1.5277777777777777</c:v>
                </c:pt>
                <c:pt idx="11">
                  <c:v>1.6805555555555556</c:v>
                </c:pt>
                <c:pt idx="12">
                  <c:v>1.8333333333333333</c:v>
                </c:pt>
                <c:pt idx="13">
                  <c:v>1.9861111111111112</c:v>
                </c:pt>
                <c:pt idx="14">
                  <c:v>2.1388888888888888</c:v>
                </c:pt>
                <c:pt idx="15">
                  <c:v>2.2916666666666665</c:v>
                </c:pt>
                <c:pt idx="16">
                  <c:v>2.4444444444444446</c:v>
                </c:pt>
                <c:pt idx="17">
                  <c:v>2.5972222222222223</c:v>
                </c:pt>
                <c:pt idx="18">
                  <c:v>2.75</c:v>
                </c:pt>
                <c:pt idx="19">
                  <c:v>2.9027777777777777</c:v>
                </c:pt>
                <c:pt idx="20">
                  <c:v>3.0555555555555554</c:v>
                </c:pt>
                <c:pt idx="21">
                  <c:v>3.2083333333333335</c:v>
                </c:pt>
                <c:pt idx="22">
                  <c:v>3.3611111111111112</c:v>
                </c:pt>
                <c:pt idx="23">
                  <c:v>3.5138888888888888</c:v>
                </c:pt>
                <c:pt idx="24">
                  <c:v>3.6666666666666665</c:v>
                </c:pt>
                <c:pt idx="25">
                  <c:v>3.8194444444444446</c:v>
                </c:pt>
                <c:pt idx="26">
                  <c:v>3.9722222222222223</c:v>
                </c:pt>
                <c:pt idx="27">
                  <c:v>4.125</c:v>
                </c:pt>
                <c:pt idx="28">
                  <c:v>4.2777777777777777</c:v>
                </c:pt>
                <c:pt idx="29">
                  <c:v>4.4305555555555554</c:v>
                </c:pt>
                <c:pt idx="30">
                  <c:v>4.583333333333333</c:v>
                </c:pt>
                <c:pt idx="31">
                  <c:v>4.7361111111111107</c:v>
                </c:pt>
                <c:pt idx="32">
                  <c:v>4.8888888888888893</c:v>
                </c:pt>
                <c:pt idx="33">
                  <c:v>5.041666666666667</c:v>
                </c:pt>
                <c:pt idx="34">
                  <c:v>5.1944444444444446</c:v>
                </c:pt>
                <c:pt idx="35">
                  <c:v>5.3472222222222223</c:v>
                </c:pt>
                <c:pt idx="36">
                  <c:v>5.5</c:v>
                </c:pt>
                <c:pt idx="37">
                  <c:v>5.6527777777777777</c:v>
                </c:pt>
                <c:pt idx="38">
                  <c:v>5.8055555555555554</c:v>
                </c:pt>
                <c:pt idx="39">
                  <c:v>5.958333333333333</c:v>
                </c:pt>
                <c:pt idx="40">
                  <c:v>6.1111111111111107</c:v>
                </c:pt>
                <c:pt idx="41">
                  <c:v>6.2638888888888893</c:v>
                </c:pt>
                <c:pt idx="42">
                  <c:v>6.416666666666667</c:v>
                </c:pt>
                <c:pt idx="43">
                  <c:v>6.5694444444444446</c:v>
                </c:pt>
                <c:pt idx="44">
                  <c:v>6.7222222222222223</c:v>
                </c:pt>
                <c:pt idx="45">
                  <c:v>6.875</c:v>
                </c:pt>
                <c:pt idx="46">
                  <c:v>7.0277777777777777</c:v>
                </c:pt>
                <c:pt idx="47">
                  <c:v>7.1805555555555554</c:v>
                </c:pt>
                <c:pt idx="48">
                  <c:v>7.333333333333333</c:v>
                </c:pt>
                <c:pt idx="49">
                  <c:v>7.4861111111111107</c:v>
                </c:pt>
                <c:pt idx="50">
                  <c:v>7.6388888888888893</c:v>
                </c:pt>
                <c:pt idx="51">
                  <c:v>7.791666666666667</c:v>
                </c:pt>
                <c:pt idx="52">
                  <c:v>7.9444444444444446</c:v>
                </c:pt>
                <c:pt idx="53">
                  <c:v>8.0972222222222214</c:v>
                </c:pt>
                <c:pt idx="54">
                  <c:v>8.25</c:v>
                </c:pt>
                <c:pt idx="55">
                  <c:v>8.4027777777777786</c:v>
                </c:pt>
                <c:pt idx="56">
                  <c:v>8.5555555555555554</c:v>
                </c:pt>
                <c:pt idx="57">
                  <c:v>8.7083333333333339</c:v>
                </c:pt>
                <c:pt idx="58">
                  <c:v>8.8611111111111107</c:v>
                </c:pt>
                <c:pt idx="59">
                  <c:v>9.0138888888888893</c:v>
                </c:pt>
                <c:pt idx="60">
                  <c:v>9.1666666666666661</c:v>
                </c:pt>
                <c:pt idx="61">
                  <c:v>9.3194444444444446</c:v>
                </c:pt>
                <c:pt idx="62">
                  <c:v>9.4722222222222214</c:v>
                </c:pt>
                <c:pt idx="63">
                  <c:v>9.625</c:v>
                </c:pt>
                <c:pt idx="64">
                  <c:v>9.7777777777777786</c:v>
                </c:pt>
                <c:pt idx="65">
                  <c:v>9.9305555555555554</c:v>
                </c:pt>
                <c:pt idx="66">
                  <c:v>10.083333333333334</c:v>
                </c:pt>
                <c:pt idx="67">
                  <c:v>10.236111111111111</c:v>
                </c:pt>
                <c:pt idx="68">
                  <c:v>10.388888888888889</c:v>
                </c:pt>
                <c:pt idx="69">
                  <c:v>10.541666666666666</c:v>
                </c:pt>
                <c:pt idx="70">
                  <c:v>10.694444444444445</c:v>
                </c:pt>
                <c:pt idx="71">
                  <c:v>10.847222222222221</c:v>
                </c:pt>
                <c:pt idx="72">
                  <c:v>11</c:v>
                </c:pt>
                <c:pt idx="73">
                  <c:v>11.152777777777779</c:v>
                </c:pt>
                <c:pt idx="74">
                  <c:v>11.305555555555555</c:v>
                </c:pt>
                <c:pt idx="75">
                  <c:v>11.458333333333334</c:v>
                </c:pt>
                <c:pt idx="76">
                  <c:v>11.611111111111111</c:v>
                </c:pt>
                <c:pt idx="77">
                  <c:v>11.763888888888889</c:v>
                </c:pt>
                <c:pt idx="78">
                  <c:v>11.916666666666666</c:v>
                </c:pt>
                <c:pt idx="79">
                  <c:v>12.069444444444445</c:v>
                </c:pt>
                <c:pt idx="80">
                  <c:v>12.222222222222221</c:v>
                </c:pt>
                <c:pt idx="81">
                  <c:v>12.375</c:v>
                </c:pt>
                <c:pt idx="82">
                  <c:v>12.527777777777779</c:v>
                </c:pt>
                <c:pt idx="83">
                  <c:v>12.680555555555555</c:v>
                </c:pt>
                <c:pt idx="84">
                  <c:v>12.833333333333334</c:v>
                </c:pt>
                <c:pt idx="85">
                  <c:v>12.986111111111111</c:v>
                </c:pt>
                <c:pt idx="86">
                  <c:v>13.138888888888889</c:v>
                </c:pt>
                <c:pt idx="87">
                  <c:v>13.291666666666666</c:v>
                </c:pt>
                <c:pt idx="88">
                  <c:v>13.444444444444445</c:v>
                </c:pt>
                <c:pt idx="89">
                  <c:v>13.597222222222221</c:v>
                </c:pt>
                <c:pt idx="90">
                  <c:v>13.75</c:v>
                </c:pt>
                <c:pt idx="91">
                  <c:v>13.902777777777779</c:v>
                </c:pt>
                <c:pt idx="92">
                  <c:v>14.055555555555555</c:v>
                </c:pt>
                <c:pt idx="93">
                  <c:v>14.208333333333334</c:v>
                </c:pt>
                <c:pt idx="94">
                  <c:v>14.361111111111111</c:v>
                </c:pt>
                <c:pt idx="95">
                  <c:v>14.513888888888889</c:v>
                </c:pt>
                <c:pt idx="96">
                  <c:v>14.666666666666666</c:v>
                </c:pt>
                <c:pt idx="97">
                  <c:v>14.819444444444445</c:v>
                </c:pt>
                <c:pt idx="98">
                  <c:v>14.972222222222221</c:v>
                </c:pt>
                <c:pt idx="99">
                  <c:v>15.125</c:v>
                </c:pt>
                <c:pt idx="100">
                  <c:v>15.277777777777779</c:v>
                </c:pt>
                <c:pt idx="101">
                  <c:v>15.430555555555555</c:v>
                </c:pt>
                <c:pt idx="102">
                  <c:v>15.583333333333334</c:v>
                </c:pt>
                <c:pt idx="103">
                  <c:v>15.736111111111111</c:v>
                </c:pt>
                <c:pt idx="104">
                  <c:v>15.888888888888889</c:v>
                </c:pt>
                <c:pt idx="105">
                  <c:v>16.041666666666668</c:v>
                </c:pt>
                <c:pt idx="106">
                  <c:v>16.194444444444443</c:v>
                </c:pt>
                <c:pt idx="107">
                  <c:v>16.347222222222221</c:v>
                </c:pt>
                <c:pt idx="108">
                  <c:v>16.5</c:v>
                </c:pt>
                <c:pt idx="109">
                  <c:v>16.652777777777779</c:v>
                </c:pt>
                <c:pt idx="110">
                  <c:v>16.805555555555557</c:v>
                </c:pt>
                <c:pt idx="111">
                  <c:v>16.958333333333332</c:v>
                </c:pt>
                <c:pt idx="112">
                  <c:v>17.111111111111111</c:v>
                </c:pt>
                <c:pt idx="113">
                  <c:v>17.263888888888889</c:v>
                </c:pt>
                <c:pt idx="114">
                  <c:v>17.416666666666668</c:v>
                </c:pt>
                <c:pt idx="115">
                  <c:v>17.569444444444443</c:v>
                </c:pt>
                <c:pt idx="116">
                  <c:v>17.722222222222221</c:v>
                </c:pt>
                <c:pt idx="117">
                  <c:v>17.875</c:v>
                </c:pt>
                <c:pt idx="118">
                  <c:v>18.027777777777779</c:v>
                </c:pt>
                <c:pt idx="119">
                  <c:v>18.180555555555557</c:v>
                </c:pt>
                <c:pt idx="120">
                  <c:v>18.333333333333332</c:v>
                </c:pt>
                <c:pt idx="121">
                  <c:v>18.486111111111111</c:v>
                </c:pt>
                <c:pt idx="122">
                  <c:v>18.638888888888889</c:v>
                </c:pt>
                <c:pt idx="123">
                  <c:v>18.791666666666668</c:v>
                </c:pt>
                <c:pt idx="124">
                  <c:v>18.944444444444443</c:v>
                </c:pt>
                <c:pt idx="125">
                  <c:v>19.097222222222221</c:v>
                </c:pt>
                <c:pt idx="126">
                  <c:v>19.25</c:v>
                </c:pt>
                <c:pt idx="127">
                  <c:v>19.402777777777779</c:v>
                </c:pt>
                <c:pt idx="128">
                  <c:v>19.555555555555557</c:v>
                </c:pt>
                <c:pt idx="129">
                  <c:v>19.708333333333332</c:v>
                </c:pt>
                <c:pt idx="130">
                  <c:v>19.861111111111111</c:v>
                </c:pt>
                <c:pt idx="131">
                  <c:v>20.013888888888889</c:v>
                </c:pt>
                <c:pt idx="132">
                  <c:v>20.166666666666668</c:v>
                </c:pt>
                <c:pt idx="133">
                  <c:v>20.319444444444443</c:v>
                </c:pt>
                <c:pt idx="134">
                  <c:v>20.472222222222221</c:v>
                </c:pt>
                <c:pt idx="135">
                  <c:v>20.625</c:v>
                </c:pt>
                <c:pt idx="136">
                  <c:v>20.777777777777779</c:v>
                </c:pt>
                <c:pt idx="137">
                  <c:v>20.930555555555557</c:v>
                </c:pt>
                <c:pt idx="138">
                  <c:v>21.083333333333332</c:v>
                </c:pt>
                <c:pt idx="139">
                  <c:v>21.236111111111111</c:v>
                </c:pt>
                <c:pt idx="140">
                  <c:v>21.388888888888889</c:v>
                </c:pt>
                <c:pt idx="141">
                  <c:v>21.541666666666668</c:v>
                </c:pt>
                <c:pt idx="142">
                  <c:v>21.694444444444443</c:v>
                </c:pt>
                <c:pt idx="143">
                  <c:v>21.847222222222221</c:v>
                </c:pt>
                <c:pt idx="144">
                  <c:v>22</c:v>
                </c:pt>
                <c:pt idx="145">
                  <c:v>22.152777777777779</c:v>
                </c:pt>
                <c:pt idx="146">
                  <c:v>22.305555555555557</c:v>
                </c:pt>
                <c:pt idx="147">
                  <c:v>22.458333333333332</c:v>
                </c:pt>
                <c:pt idx="148">
                  <c:v>22.611111111111111</c:v>
                </c:pt>
                <c:pt idx="149">
                  <c:v>22.763888888888889</c:v>
                </c:pt>
                <c:pt idx="150">
                  <c:v>22.916666666666668</c:v>
                </c:pt>
                <c:pt idx="151">
                  <c:v>23.069444444444443</c:v>
                </c:pt>
                <c:pt idx="152">
                  <c:v>23.222222222222221</c:v>
                </c:pt>
                <c:pt idx="153">
                  <c:v>23.375</c:v>
                </c:pt>
                <c:pt idx="154">
                  <c:v>23.527777777777779</c:v>
                </c:pt>
                <c:pt idx="155">
                  <c:v>23.680555555555557</c:v>
                </c:pt>
                <c:pt idx="156">
                  <c:v>23.833333333333332</c:v>
                </c:pt>
                <c:pt idx="157">
                  <c:v>23.986111111111111</c:v>
                </c:pt>
                <c:pt idx="158">
                  <c:v>24.138888888888889</c:v>
                </c:pt>
                <c:pt idx="159">
                  <c:v>24.291666666666668</c:v>
                </c:pt>
                <c:pt idx="160">
                  <c:v>24.444444444444443</c:v>
                </c:pt>
                <c:pt idx="161">
                  <c:v>24.597222222222221</c:v>
                </c:pt>
                <c:pt idx="162">
                  <c:v>24.75</c:v>
                </c:pt>
                <c:pt idx="163">
                  <c:v>24.902777777777779</c:v>
                </c:pt>
                <c:pt idx="164">
                  <c:v>25.055555555555557</c:v>
                </c:pt>
                <c:pt idx="165">
                  <c:v>25.208333333333332</c:v>
                </c:pt>
                <c:pt idx="166">
                  <c:v>25.361111111111111</c:v>
                </c:pt>
                <c:pt idx="167">
                  <c:v>25.513888888888889</c:v>
                </c:pt>
                <c:pt idx="168">
                  <c:v>25.666666666666668</c:v>
                </c:pt>
                <c:pt idx="169">
                  <c:v>25.819444444444443</c:v>
                </c:pt>
                <c:pt idx="170">
                  <c:v>25.972222222222221</c:v>
                </c:pt>
                <c:pt idx="171">
                  <c:v>26.125</c:v>
                </c:pt>
                <c:pt idx="172">
                  <c:v>26.277777777777779</c:v>
                </c:pt>
                <c:pt idx="173">
                  <c:v>26.430555555555557</c:v>
                </c:pt>
                <c:pt idx="174">
                  <c:v>26.583333333333332</c:v>
                </c:pt>
                <c:pt idx="175">
                  <c:v>26.736111111111111</c:v>
                </c:pt>
                <c:pt idx="176">
                  <c:v>26.888888888888889</c:v>
                </c:pt>
                <c:pt idx="177">
                  <c:v>27.041666666666668</c:v>
                </c:pt>
                <c:pt idx="178">
                  <c:v>27.194444444444443</c:v>
                </c:pt>
                <c:pt idx="179">
                  <c:v>27.347222222222221</c:v>
                </c:pt>
                <c:pt idx="180">
                  <c:v>27.5</c:v>
                </c:pt>
                <c:pt idx="181">
                  <c:v>27.652777777777779</c:v>
                </c:pt>
                <c:pt idx="182">
                  <c:v>27.805555555555557</c:v>
                </c:pt>
                <c:pt idx="183">
                  <c:v>27.958333333333332</c:v>
                </c:pt>
                <c:pt idx="184">
                  <c:v>28.111111111111111</c:v>
                </c:pt>
                <c:pt idx="185">
                  <c:v>28.263888888888889</c:v>
                </c:pt>
                <c:pt idx="186">
                  <c:v>28.416666666666668</c:v>
                </c:pt>
                <c:pt idx="187">
                  <c:v>28.569444444444443</c:v>
                </c:pt>
                <c:pt idx="188">
                  <c:v>28.722222222222221</c:v>
                </c:pt>
                <c:pt idx="189">
                  <c:v>28.875</c:v>
                </c:pt>
                <c:pt idx="190">
                  <c:v>29.027777777777779</c:v>
                </c:pt>
                <c:pt idx="191">
                  <c:v>29.180555555555557</c:v>
                </c:pt>
                <c:pt idx="192">
                  <c:v>29.333333333333332</c:v>
                </c:pt>
                <c:pt idx="193">
                  <c:v>29.486111111111111</c:v>
                </c:pt>
                <c:pt idx="194">
                  <c:v>29.638888888888889</c:v>
                </c:pt>
                <c:pt idx="195">
                  <c:v>29.791666666666668</c:v>
                </c:pt>
                <c:pt idx="196">
                  <c:v>29.944444444444443</c:v>
                </c:pt>
                <c:pt idx="197">
                  <c:v>30.097222222222221</c:v>
                </c:pt>
                <c:pt idx="198">
                  <c:v>30.25</c:v>
                </c:pt>
                <c:pt idx="199">
                  <c:v>30.402777777777779</c:v>
                </c:pt>
                <c:pt idx="200">
                  <c:v>30.555555555555557</c:v>
                </c:pt>
                <c:pt idx="201">
                  <c:v>30.708333333333332</c:v>
                </c:pt>
                <c:pt idx="202">
                  <c:v>30.861111111111111</c:v>
                </c:pt>
                <c:pt idx="203">
                  <c:v>31.013888888888889</c:v>
                </c:pt>
                <c:pt idx="204">
                  <c:v>31.166666666666668</c:v>
                </c:pt>
                <c:pt idx="205">
                  <c:v>31.319444444444443</c:v>
                </c:pt>
                <c:pt idx="206">
                  <c:v>31.472222222222221</c:v>
                </c:pt>
                <c:pt idx="207">
                  <c:v>31.625</c:v>
                </c:pt>
                <c:pt idx="208">
                  <c:v>31.777777777777779</c:v>
                </c:pt>
                <c:pt idx="209">
                  <c:v>31.930555555555557</c:v>
                </c:pt>
                <c:pt idx="210">
                  <c:v>32.083333333333336</c:v>
                </c:pt>
                <c:pt idx="211">
                  <c:v>32.236111111111114</c:v>
                </c:pt>
                <c:pt idx="212">
                  <c:v>32.388888888888886</c:v>
                </c:pt>
                <c:pt idx="213">
                  <c:v>32.541666666666664</c:v>
                </c:pt>
                <c:pt idx="214">
                  <c:v>32.694444444444443</c:v>
                </c:pt>
                <c:pt idx="215">
                  <c:v>32.847222222222221</c:v>
                </c:pt>
                <c:pt idx="216">
                  <c:v>33</c:v>
                </c:pt>
                <c:pt idx="217">
                  <c:v>33.152777777777779</c:v>
                </c:pt>
                <c:pt idx="218">
                  <c:v>33.305555555555557</c:v>
                </c:pt>
                <c:pt idx="219">
                  <c:v>33.458333333333336</c:v>
                </c:pt>
                <c:pt idx="220">
                  <c:v>33.611111111111114</c:v>
                </c:pt>
                <c:pt idx="221">
                  <c:v>33.763888888888886</c:v>
                </c:pt>
                <c:pt idx="222">
                  <c:v>33.916666666666664</c:v>
                </c:pt>
                <c:pt idx="223">
                  <c:v>34.069444444444443</c:v>
                </c:pt>
                <c:pt idx="224">
                  <c:v>34.222222222222221</c:v>
                </c:pt>
                <c:pt idx="225">
                  <c:v>34.375</c:v>
                </c:pt>
                <c:pt idx="226">
                  <c:v>34.527777777777779</c:v>
                </c:pt>
                <c:pt idx="227">
                  <c:v>34.680555555555557</c:v>
                </c:pt>
                <c:pt idx="228">
                  <c:v>34.833333333333336</c:v>
                </c:pt>
                <c:pt idx="229">
                  <c:v>34.986111111111114</c:v>
                </c:pt>
                <c:pt idx="230">
                  <c:v>35.138888888888886</c:v>
                </c:pt>
                <c:pt idx="231">
                  <c:v>35.291666666666664</c:v>
                </c:pt>
                <c:pt idx="232">
                  <c:v>35.444444444444443</c:v>
                </c:pt>
                <c:pt idx="233">
                  <c:v>35.597222222222221</c:v>
                </c:pt>
                <c:pt idx="234">
                  <c:v>35.75</c:v>
                </c:pt>
                <c:pt idx="235">
                  <c:v>35.902777777777779</c:v>
                </c:pt>
                <c:pt idx="236">
                  <c:v>36.055555555555557</c:v>
                </c:pt>
                <c:pt idx="237">
                  <c:v>36.208333333333336</c:v>
                </c:pt>
                <c:pt idx="238">
                  <c:v>36.361111111111114</c:v>
                </c:pt>
                <c:pt idx="239">
                  <c:v>36.513888888888886</c:v>
                </c:pt>
                <c:pt idx="240">
                  <c:v>36.666666666666664</c:v>
                </c:pt>
                <c:pt idx="241">
                  <c:v>36.819444444444443</c:v>
                </c:pt>
                <c:pt idx="242">
                  <c:v>36.972222222222221</c:v>
                </c:pt>
                <c:pt idx="243">
                  <c:v>37.125</c:v>
                </c:pt>
                <c:pt idx="244">
                  <c:v>37.277777777777779</c:v>
                </c:pt>
                <c:pt idx="245">
                  <c:v>37.430555555555557</c:v>
                </c:pt>
                <c:pt idx="246">
                  <c:v>37.583333333333336</c:v>
                </c:pt>
                <c:pt idx="247">
                  <c:v>37.736111111111114</c:v>
                </c:pt>
                <c:pt idx="248">
                  <c:v>37.888888888888886</c:v>
                </c:pt>
                <c:pt idx="249">
                  <c:v>38.041666666666664</c:v>
                </c:pt>
                <c:pt idx="250">
                  <c:v>38.194444444444443</c:v>
                </c:pt>
                <c:pt idx="251">
                  <c:v>38.347222222222221</c:v>
                </c:pt>
                <c:pt idx="252">
                  <c:v>38.5</c:v>
                </c:pt>
                <c:pt idx="253">
                  <c:v>38.652777777777779</c:v>
                </c:pt>
                <c:pt idx="254">
                  <c:v>38.805555555555557</c:v>
                </c:pt>
                <c:pt idx="255">
                  <c:v>38.958333333333336</c:v>
                </c:pt>
                <c:pt idx="256">
                  <c:v>39.111111111111114</c:v>
                </c:pt>
                <c:pt idx="257">
                  <c:v>39.263888888888886</c:v>
                </c:pt>
                <c:pt idx="258">
                  <c:v>39.416666666666664</c:v>
                </c:pt>
                <c:pt idx="259">
                  <c:v>39.569444444444443</c:v>
                </c:pt>
                <c:pt idx="260">
                  <c:v>39.722222222222221</c:v>
                </c:pt>
                <c:pt idx="261">
                  <c:v>39.875</c:v>
                </c:pt>
                <c:pt idx="262">
                  <c:v>40.027777777777779</c:v>
                </c:pt>
                <c:pt idx="263">
                  <c:v>40.180555555555557</c:v>
                </c:pt>
                <c:pt idx="264">
                  <c:v>40.333333333333336</c:v>
                </c:pt>
                <c:pt idx="265">
                  <c:v>40.486111111111114</c:v>
                </c:pt>
                <c:pt idx="266">
                  <c:v>40.638888888888886</c:v>
                </c:pt>
                <c:pt idx="267">
                  <c:v>40.791666666666664</c:v>
                </c:pt>
                <c:pt idx="268">
                  <c:v>40.944444444444443</c:v>
                </c:pt>
                <c:pt idx="269">
                  <c:v>41.097222222222221</c:v>
                </c:pt>
                <c:pt idx="270">
                  <c:v>41.25</c:v>
                </c:pt>
                <c:pt idx="271">
                  <c:v>41.402777777777779</c:v>
                </c:pt>
                <c:pt idx="272">
                  <c:v>41.555555555555557</c:v>
                </c:pt>
                <c:pt idx="273">
                  <c:v>41.708333333333336</c:v>
                </c:pt>
                <c:pt idx="274">
                  <c:v>41.861111111111114</c:v>
                </c:pt>
                <c:pt idx="275">
                  <c:v>42.013888888888886</c:v>
                </c:pt>
                <c:pt idx="276">
                  <c:v>42.166666666666664</c:v>
                </c:pt>
                <c:pt idx="277">
                  <c:v>42.319444444444443</c:v>
                </c:pt>
                <c:pt idx="278">
                  <c:v>42.472222222222221</c:v>
                </c:pt>
                <c:pt idx="279">
                  <c:v>42.625</c:v>
                </c:pt>
                <c:pt idx="280">
                  <c:v>42.777777777777779</c:v>
                </c:pt>
                <c:pt idx="281">
                  <c:v>42.930555555555557</c:v>
                </c:pt>
                <c:pt idx="282">
                  <c:v>43.083333333333336</c:v>
                </c:pt>
                <c:pt idx="283">
                  <c:v>43.236111111111114</c:v>
                </c:pt>
                <c:pt idx="284">
                  <c:v>43.388888888888886</c:v>
                </c:pt>
                <c:pt idx="285">
                  <c:v>43.541666666666664</c:v>
                </c:pt>
                <c:pt idx="286">
                  <c:v>43.694444444444443</c:v>
                </c:pt>
                <c:pt idx="287">
                  <c:v>43.847222222222221</c:v>
                </c:pt>
                <c:pt idx="288">
                  <c:v>44</c:v>
                </c:pt>
                <c:pt idx="289">
                  <c:v>44.152777777777779</c:v>
                </c:pt>
                <c:pt idx="290">
                  <c:v>44.305555555555557</c:v>
                </c:pt>
                <c:pt idx="291">
                  <c:v>44.458333333333336</c:v>
                </c:pt>
                <c:pt idx="292">
                  <c:v>44.611111111111114</c:v>
                </c:pt>
                <c:pt idx="293">
                  <c:v>44.763888888888886</c:v>
                </c:pt>
                <c:pt idx="294">
                  <c:v>44.916666666666664</c:v>
                </c:pt>
                <c:pt idx="295">
                  <c:v>45.069444444444443</c:v>
                </c:pt>
                <c:pt idx="296">
                  <c:v>45.222222222222221</c:v>
                </c:pt>
                <c:pt idx="297">
                  <c:v>45.375</c:v>
                </c:pt>
                <c:pt idx="298">
                  <c:v>45.527777777777779</c:v>
                </c:pt>
                <c:pt idx="299">
                  <c:v>45.680555555555557</c:v>
                </c:pt>
                <c:pt idx="300">
                  <c:v>45.833333333333336</c:v>
                </c:pt>
                <c:pt idx="301">
                  <c:v>45.986111111111114</c:v>
                </c:pt>
                <c:pt idx="302">
                  <c:v>46.138888888888886</c:v>
                </c:pt>
                <c:pt idx="303">
                  <c:v>46.291666666666664</c:v>
                </c:pt>
                <c:pt idx="304">
                  <c:v>46.444444444444443</c:v>
                </c:pt>
                <c:pt idx="305">
                  <c:v>46.597222222222221</c:v>
                </c:pt>
                <c:pt idx="306">
                  <c:v>46.75</c:v>
                </c:pt>
                <c:pt idx="307">
                  <c:v>46.902777777777779</c:v>
                </c:pt>
                <c:pt idx="308">
                  <c:v>47.055555555555557</c:v>
                </c:pt>
                <c:pt idx="309">
                  <c:v>47.208333333333336</c:v>
                </c:pt>
                <c:pt idx="310">
                  <c:v>47.361111111111114</c:v>
                </c:pt>
                <c:pt idx="311">
                  <c:v>47.513888888888886</c:v>
                </c:pt>
                <c:pt idx="312">
                  <c:v>47.666666666666664</c:v>
                </c:pt>
                <c:pt idx="313">
                  <c:v>47.819444444444443</c:v>
                </c:pt>
                <c:pt idx="314">
                  <c:v>47.972222222222221</c:v>
                </c:pt>
                <c:pt idx="315">
                  <c:v>48.125</c:v>
                </c:pt>
                <c:pt idx="316">
                  <c:v>48.277777777777779</c:v>
                </c:pt>
                <c:pt idx="317">
                  <c:v>48.430555555555557</c:v>
                </c:pt>
                <c:pt idx="318">
                  <c:v>48.583333333333336</c:v>
                </c:pt>
                <c:pt idx="319">
                  <c:v>48.736111111111114</c:v>
                </c:pt>
                <c:pt idx="320">
                  <c:v>48.888888888888886</c:v>
                </c:pt>
                <c:pt idx="321">
                  <c:v>49.041666666666664</c:v>
                </c:pt>
                <c:pt idx="322">
                  <c:v>49.194444444444443</c:v>
                </c:pt>
                <c:pt idx="323">
                  <c:v>49.347222222222221</c:v>
                </c:pt>
                <c:pt idx="324">
                  <c:v>49.5</c:v>
                </c:pt>
                <c:pt idx="325">
                  <c:v>49.652777777777779</c:v>
                </c:pt>
                <c:pt idx="326">
                  <c:v>49.805555555555557</c:v>
                </c:pt>
                <c:pt idx="327">
                  <c:v>49.958333333333336</c:v>
                </c:pt>
                <c:pt idx="328">
                  <c:v>50.111111111111114</c:v>
                </c:pt>
                <c:pt idx="329">
                  <c:v>50.263888888888886</c:v>
                </c:pt>
                <c:pt idx="330">
                  <c:v>50.416666666666664</c:v>
                </c:pt>
                <c:pt idx="331">
                  <c:v>50.569444444444443</c:v>
                </c:pt>
                <c:pt idx="332">
                  <c:v>50.722222222222221</c:v>
                </c:pt>
                <c:pt idx="333">
                  <c:v>50.875</c:v>
                </c:pt>
                <c:pt idx="334">
                  <c:v>51.027777777777779</c:v>
                </c:pt>
                <c:pt idx="335">
                  <c:v>51.180555555555557</c:v>
                </c:pt>
                <c:pt idx="336">
                  <c:v>51.333333333333336</c:v>
                </c:pt>
                <c:pt idx="337">
                  <c:v>51.486111111111114</c:v>
                </c:pt>
                <c:pt idx="338">
                  <c:v>51.638888888888886</c:v>
                </c:pt>
                <c:pt idx="339">
                  <c:v>51.791666666666664</c:v>
                </c:pt>
                <c:pt idx="340">
                  <c:v>51.944444444444443</c:v>
                </c:pt>
                <c:pt idx="341">
                  <c:v>52.097222222222221</c:v>
                </c:pt>
                <c:pt idx="342">
                  <c:v>52.25</c:v>
                </c:pt>
                <c:pt idx="343">
                  <c:v>52.402777777777779</c:v>
                </c:pt>
                <c:pt idx="344">
                  <c:v>52.555555555555557</c:v>
                </c:pt>
                <c:pt idx="345">
                  <c:v>52.708333333333336</c:v>
                </c:pt>
                <c:pt idx="346">
                  <c:v>52.861111111111114</c:v>
                </c:pt>
                <c:pt idx="347">
                  <c:v>53.013888888888886</c:v>
                </c:pt>
                <c:pt idx="348">
                  <c:v>53.166666666666664</c:v>
                </c:pt>
                <c:pt idx="349">
                  <c:v>53.319444444444443</c:v>
                </c:pt>
                <c:pt idx="350">
                  <c:v>53.472222222222221</c:v>
                </c:pt>
                <c:pt idx="351">
                  <c:v>53.625</c:v>
                </c:pt>
                <c:pt idx="352">
                  <c:v>53.777777777777779</c:v>
                </c:pt>
                <c:pt idx="353">
                  <c:v>53.930555555555557</c:v>
                </c:pt>
                <c:pt idx="354">
                  <c:v>54.083333333333336</c:v>
                </c:pt>
                <c:pt idx="355">
                  <c:v>54.236111111111114</c:v>
                </c:pt>
                <c:pt idx="356">
                  <c:v>54.388888888888886</c:v>
                </c:pt>
                <c:pt idx="357">
                  <c:v>54.541666666666664</c:v>
                </c:pt>
                <c:pt idx="358">
                  <c:v>54.694444444444443</c:v>
                </c:pt>
                <c:pt idx="359">
                  <c:v>54.847222222222221</c:v>
                </c:pt>
                <c:pt idx="360">
                  <c:v>55</c:v>
                </c:pt>
                <c:pt idx="361">
                  <c:v>55.152777777777779</c:v>
                </c:pt>
                <c:pt idx="362">
                  <c:v>55.305555555555557</c:v>
                </c:pt>
                <c:pt idx="363">
                  <c:v>55.458333333333336</c:v>
                </c:pt>
                <c:pt idx="364">
                  <c:v>55.611111111111114</c:v>
                </c:pt>
                <c:pt idx="365">
                  <c:v>55.763888888888886</c:v>
                </c:pt>
                <c:pt idx="366">
                  <c:v>55.916666666666664</c:v>
                </c:pt>
                <c:pt idx="367">
                  <c:v>56.069444444444443</c:v>
                </c:pt>
                <c:pt idx="368">
                  <c:v>56.222222222222221</c:v>
                </c:pt>
                <c:pt idx="369">
                  <c:v>56.375</c:v>
                </c:pt>
                <c:pt idx="370">
                  <c:v>56.527777777777779</c:v>
                </c:pt>
                <c:pt idx="371">
                  <c:v>56.680555555555557</c:v>
                </c:pt>
                <c:pt idx="372">
                  <c:v>56.833333333333336</c:v>
                </c:pt>
                <c:pt idx="373">
                  <c:v>56.986111111111114</c:v>
                </c:pt>
                <c:pt idx="374">
                  <c:v>57.138888888888886</c:v>
                </c:pt>
                <c:pt idx="375">
                  <c:v>57.291666666666664</c:v>
                </c:pt>
                <c:pt idx="376">
                  <c:v>57.444444444444443</c:v>
                </c:pt>
                <c:pt idx="377">
                  <c:v>57.597222222222221</c:v>
                </c:pt>
                <c:pt idx="378">
                  <c:v>57.75</c:v>
                </c:pt>
                <c:pt idx="379">
                  <c:v>57.902777777777779</c:v>
                </c:pt>
                <c:pt idx="380">
                  <c:v>58.055555555555557</c:v>
                </c:pt>
                <c:pt idx="381">
                  <c:v>58.208333333333336</c:v>
                </c:pt>
                <c:pt idx="382">
                  <c:v>58.361111111111114</c:v>
                </c:pt>
                <c:pt idx="383">
                  <c:v>58.513888888888886</c:v>
                </c:pt>
                <c:pt idx="384">
                  <c:v>58.666666666666664</c:v>
                </c:pt>
                <c:pt idx="385">
                  <c:v>58.819444444444443</c:v>
                </c:pt>
                <c:pt idx="386">
                  <c:v>58.972222222222221</c:v>
                </c:pt>
                <c:pt idx="387">
                  <c:v>59.125</c:v>
                </c:pt>
                <c:pt idx="388">
                  <c:v>59.277777777777779</c:v>
                </c:pt>
                <c:pt idx="389">
                  <c:v>59.430555555555557</c:v>
                </c:pt>
                <c:pt idx="390">
                  <c:v>59.583333333333336</c:v>
                </c:pt>
                <c:pt idx="391">
                  <c:v>59.736111111111114</c:v>
                </c:pt>
                <c:pt idx="392">
                  <c:v>59.888888888888886</c:v>
                </c:pt>
                <c:pt idx="393">
                  <c:v>60.041666666666664</c:v>
                </c:pt>
                <c:pt idx="394">
                  <c:v>60.194444444444443</c:v>
                </c:pt>
                <c:pt idx="395">
                  <c:v>60.347222222222221</c:v>
                </c:pt>
                <c:pt idx="396">
                  <c:v>60.5</c:v>
                </c:pt>
                <c:pt idx="397">
                  <c:v>60.652777777777779</c:v>
                </c:pt>
                <c:pt idx="398">
                  <c:v>60.805555555555557</c:v>
                </c:pt>
                <c:pt idx="399">
                  <c:v>60.958333333333336</c:v>
                </c:pt>
                <c:pt idx="400">
                  <c:v>61.111111111111114</c:v>
                </c:pt>
                <c:pt idx="401">
                  <c:v>61.263888888888886</c:v>
                </c:pt>
                <c:pt idx="402">
                  <c:v>61.416666666666664</c:v>
                </c:pt>
                <c:pt idx="403">
                  <c:v>61.569444444444443</c:v>
                </c:pt>
                <c:pt idx="404">
                  <c:v>61.722222222222221</c:v>
                </c:pt>
                <c:pt idx="405">
                  <c:v>61.875</c:v>
                </c:pt>
                <c:pt idx="406">
                  <c:v>62.027777777777779</c:v>
                </c:pt>
                <c:pt idx="407">
                  <c:v>62.180555555555557</c:v>
                </c:pt>
                <c:pt idx="408">
                  <c:v>62.333333333333336</c:v>
                </c:pt>
                <c:pt idx="409">
                  <c:v>62.486111111111114</c:v>
                </c:pt>
                <c:pt idx="410">
                  <c:v>62.638888888888886</c:v>
                </c:pt>
                <c:pt idx="411">
                  <c:v>62.791666666666664</c:v>
                </c:pt>
                <c:pt idx="412">
                  <c:v>62.944444444444443</c:v>
                </c:pt>
                <c:pt idx="413">
                  <c:v>63.097222222222221</c:v>
                </c:pt>
                <c:pt idx="414">
                  <c:v>63.25</c:v>
                </c:pt>
                <c:pt idx="415">
                  <c:v>63.402777777777779</c:v>
                </c:pt>
                <c:pt idx="416">
                  <c:v>63.555555555555557</c:v>
                </c:pt>
                <c:pt idx="417">
                  <c:v>63.708333333333336</c:v>
                </c:pt>
                <c:pt idx="418">
                  <c:v>63.861111111111114</c:v>
                </c:pt>
                <c:pt idx="419">
                  <c:v>64.013888888888886</c:v>
                </c:pt>
                <c:pt idx="420">
                  <c:v>64.166666666666671</c:v>
                </c:pt>
                <c:pt idx="421">
                  <c:v>64.319444444444443</c:v>
                </c:pt>
                <c:pt idx="422">
                  <c:v>64.472222222222229</c:v>
                </c:pt>
                <c:pt idx="423">
                  <c:v>64.625</c:v>
                </c:pt>
                <c:pt idx="424">
                  <c:v>64.777777777777771</c:v>
                </c:pt>
                <c:pt idx="425">
                  <c:v>64.930555555555557</c:v>
                </c:pt>
                <c:pt idx="426">
                  <c:v>65.083333333333329</c:v>
                </c:pt>
                <c:pt idx="427">
                  <c:v>65.236111111111114</c:v>
                </c:pt>
                <c:pt idx="428">
                  <c:v>65.388888888888886</c:v>
                </c:pt>
                <c:pt idx="429">
                  <c:v>65.541666666666671</c:v>
                </c:pt>
                <c:pt idx="430">
                  <c:v>65.694444444444443</c:v>
                </c:pt>
                <c:pt idx="431">
                  <c:v>65.847222222222229</c:v>
                </c:pt>
                <c:pt idx="432">
                  <c:v>66</c:v>
                </c:pt>
                <c:pt idx="433">
                  <c:v>66.152777777777771</c:v>
                </c:pt>
                <c:pt idx="434">
                  <c:v>66.305555555555557</c:v>
                </c:pt>
                <c:pt idx="435">
                  <c:v>66.458333333333329</c:v>
                </c:pt>
                <c:pt idx="436">
                  <c:v>66.611111111111114</c:v>
                </c:pt>
                <c:pt idx="437">
                  <c:v>66.763888888888886</c:v>
                </c:pt>
                <c:pt idx="438">
                  <c:v>66.916666666666671</c:v>
                </c:pt>
                <c:pt idx="439">
                  <c:v>67.069444444444443</c:v>
                </c:pt>
                <c:pt idx="440">
                  <c:v>67.222222222222229</c:v>
                </c:pt>
                <c:pt idx="441">
                  <c:v>67.375</c:v>
                </c:pt>
                <c:pt idx="442">
                  <c:v>67.527777777777771</c:v>
                </c:pt>
                <c:pt idx="443">
                  <c:v>67.680555555555557</c:v>
                </c:pt>
                <c:pt idx="444">
                  <c:v>67.833333333333329</c:v>
                </c:pt>
                <c:pt idx="445">
                  <c:v>67.986111111111114</c:v>
                </c:pt>
                <c:pt idx="446">
                  <c:v>68.138888888888886</c:v>
                </c:pt>
                <c:pt idx="447">
                  <c:v>68.291666666666671</c:v>
                </c:pt>
                <c:pt idx="448">
                  <c:v>68.444444444444443</c:v>
                </c:pt>
                <c:pt idx="449">
                  <c:v>68.597222222222229</c:v>
                </c:pt>
                <c:pt idx="450">
                  <c:v>68.75</c:v>
                </c:pt>
                <c:pt idx="451">
                  <c:v>68.902777777777771</c:v>
                </c:pt>
                <c:pt idx="452">
                  <c:v>69.055555555555557</c:v>
                </c:pt>
                <c:pt idx="453">
                  <c:v>69.208333333333329</c:v>
                </c:pt>
                <c:pt idx="454">
                  <c:v>69.361111111111114</c:v>
                </c:pt>
                <c:pt idx="455">
                  <c:v>69.513888888888886</c:v>
                </c:pt>
                <c:pt idx="456">
                  <c:v>69.666666666666671</c:v>
                </c:pt>
                <c:pt idx="457">
                  <c:v>69.819444444444443</c:v>
                </c:pt>
                <c:pt idx="458">
                  <c:v>69.972222222222229</c:v>
                </c:pt>
                <c:pt idx="459">
                  <c:v>70.125</c:v>
                </c:pt>
                <c:pt idx="460">
                  <c:v>70.277777777777771</c:v>
                </c:pt>
                <c:pt idx="461">
                  <c:v>70.430555555555557</c:v>
                </c:pt>
                <c:pt idx="462">
                  <c:v>70.583333333333329</c:v>
                </c:pt>
                <c:pt idx="463">
                  <c:v>70.736111111111114</c:v>
                </c:pt>
                <c:pt idx="464">
                  <c:v>70.888888888888886</c:v>
                </c:pt>
                <c:pt idx="465">
                  <c:v>71.041666666666671</c:v>
                </c:pt>
                <c:pt idx="466">
                  <c:v>71.194444444444443</c:v>
                </c:pt>
                <c:pt idx="467">
                  <c:v>71.347222222222229</c:v>
                </c:pt>
                <c:pt idx="468">
                  <c:v>71.5</c:v>
                </c:pt>
                <c:pt idx="469">
                  <c:v>71.652777777777771</c:v>
                </c:pt>
                <c:pt idx="470">
                  <c:v>71.805555555555557</c:v>
                </c:pt>
                <c:pt idx="471">
                  <c:v>71.958333333333329</c:v>
                </c:pt>
                <c:pt idx="472">
                  <c:v>72.111111111111114</c:v>
                </c:pt>
                <c:pt idx="473">
                  <c:v>72.263888888888886</c:v>
                </c:pt>
                <c:pt idx="474">
                  <c:v>72.416666666666671</c:v>
                </c:pt>
                <c:pt idx="475">
                  <c:v>72.569444444444443</c:v>
                </c:pt>
                <c:pt idx="476">
                  <c:v>72.722222222222229</c:v>
                </c:pt>
                <c:pt idx="477">
                  <c:v>72.875</c:v>
                </c:pt>
                <c:pt idx="478">
                  <c:v>73.027777777777771</c:v>
                </c:pt>
                <c:pt idx="479">
                  <c:v>73.180555555555557</c:v>
                </c:pt>
                <c:pt idx="480">
                  <c:v>73.333333333333329</c:v>
                </c:pt>
                <c:pt idx="481">
                  <c:v>73.486111111111114</c:v>
                </c:pt>
                <c:pt idx="482">
                  <c:v>73.638888888888886</c:v>
                </c:pt>
                <c:pt idx="483">
                  <c:v>73.791666666666671</c:v>
                </c:pt>
                <c:pt idx="484">
                  <c:v>73.944444444444443</c:v>
                </c:pt>
                <c:pt idx="485">
                  <c:v>74.097222222222229</c:v>
                </c:pt>
                <c:pt idx="486">
                  <c:v>74.25</c:v>
                </c:pt>
                <c:pt idx="487">
                  <c:v>74.402777777777771</c:v>
                </c:pt>
                <c:pt idx="488">
                  <c:v>74.555555555555557</c:v>
                </c:pt>
                <c:pt idx="489">
                  <c:v>74.708333333333329</c:v>
                </c:pt>
                <c:pt idx="490">
                  <c:v>74.861111111111114</c:v>
                </c:pt>
                <c:pt idx="491">
                  <c:v>75.013888888888886</c:v>
                </c:pt>
                <c:pt idx="492">
                  <c:v>75.166666666666671</c:v>
                </c:pt>
                <c:pt idx="493">
                  <c:v>75.319444444444443</c:v>
                </c:pt>
                <c:pt idx="494">
                  <c:v>75.472222222222229</c:v>
                </c:pt>
                <c:pt idx="495">
                  <c:v>75.625</c:v>
                </c:pt>
                <c:pt idx="496">
                  <c:v>75.777777777777771</c:v>
                </c:pt>
                <c:pt idx="497">
                  <c:v>75.930555555555557</c:v>
                </c:pt>
                <c:pt idx="498">
                  <c:v>76.083333333333329</c:v>
                </c:pt>
                <c:pt idx="499">
                  <c:v>76.236111111111114</c:v>
                </c:pt>
                <c:pt idx="500">
                  <c:v>76.388888888888886</c:v>
                </c:pt>
                <c:pt idx="501">
                  <c:v>76.541666666666671</c:v>
                </c:pt>
                <c:pt idx="502">
                  <c:v>76.694444444444443</c:v>
                </c:pt>
                <c:pt idx="503">
                  <c:v>76.847222222222229</c:v>
                </c:pt>
                <c:pt idx="504">
                  <c:v>77</c:v>
                </c:pt>
                <c:pt idx="505">
                  <c:v>77.152777777777771</c:v>
                </c:pt>
                <c:pt idx="506">
                  <c:v>77.305555555555557</c:v>
                </c:pt>
                <c:pt idx="507">
                  <c:v>77.458333333333329</c:v>
                </c:pt>
                <c:pt idx="508">
                  <c:v>77.611111111111114</c:v>
                </c:pt>
                <c:pt idx="509">
                  <c:v>77.763888888888886</c:v>
                </c:pt>
                <c:pt idx="510">
                  <c:v>77.916666666666671</c:v>
                </c:pt>
                <c:pt idx="511">
                  <c:v>78.069444444444443</c:v>
                </c:pt>
                <c:pt idx="512">
                  <c:v>78.222222222222229</c:v>
                </c:pt>
                <c:pt idx="513">
                  <c:v>78.375</c:v>
                </c:pt>
                <c:pt idx="514">
                  <c:v>78.527777777777771</c:v>
                </c:pt>
                <c:pt idx="515">
                  <c:v>78.680555555555557</c:v>
                </c:pt>
                <c:pt idx="516">
                  <c:v>78.833333333333329</c:v>
                </c:pt>
                <c:pt idx="517">
                  <c:v>78.986111111111114</c:v>
                </c:pt>
                <c:pt idx="518">
                  <c:v>79.138888888888886</c:v>
                </c:pt>
                <c:pt idx="519">
                  <c:v>79.291666666666671</c:v>
                </c:pt>
                <c:pt idx="520">
                  <c:v>79.444444444444443</c:v>
                </c:pt>
                <c:pt idx="521">
                  <c:v>79.597222222222229</c:v>
                </c:pt>
                <c:pt idx="522">
                  <c:v>79.75</c:v>
                </c:pt>
                <c:pt idx="523">
                  <c:v>79.902777777777771</c:v>
                </c:pt>
                <c:pt idx="524">
                  <c:v>80.055555555555557</c:v>
                </c:pt>
                <c:pt idx="525">
                  <c:v>80.208333333333329</c:v>
                </c:pt>
                <c:pt idx="526">
                  <c:v>80.361111111111114</c:v>
                </c:pt>
                <c:pt idx="527">
                  <c:v>80.513888888888886</c:v>
                </c:pt>
                <c:pt idx="528">
                  <c:v>80.666666666666671</c:v>
                </c:pt>
                <c:pt idx="529">
                  <c:v>80.819444444444443</c:v>
                </c:pt>
                <c:pt idx="530">
                  <c:v>80.972222222222229</c:v>
                </c:pt>
                <c:pt idx="531">
                  <c:v>81.125</c:v>
                </c:pt>
                <c:pt idx="532">
                  <c:v>81.277777777777771</c:v>
                </c:pt>
                <c:pt idx="533">
                  <c:v>81.430555555555557</c:v>
                </c:pt>
                <c:pt idx="534">
                  <c:v>81.583333333333329</c:v>
                </c:pt>
                <c:pt idx="535">
                  <c:v>92.277777777777658</c:v>
                </c:pt>
              </c:numCache>
            </c:numRef>
          </c:yVal>
          <c:smooth val="0"/>
          <c:extLst>
            <c:ext xmlns:c16="http://schemas.microsoft.com/office/drawing/2014/chart" uri="{C3380CC4-5D6E-409C-BE32-E72D297353CC}">
              <c16:uniqueId val="{00000000-0EF2-4BD8-9B8B-32BE2FBD3411}"/>
            </c:ext>
          </c:extLst>
        </c:ser>
        <c:ser>
          <c:idx val="2"/>
          <c:order val="2"/>
          <c:tx>
            <c:v>LuT RackPos</c:v>
          </c:tx>
          <c:spPr>
            <a:ln w="19050" cap="rnd">
              <a:noFill/>
              <a:round/>
            </a:ln>
            <a:effectLst/>
          </c:spPr>
          <c:marker>
            <c:symbol val="circle"/>
            <c:size val="6"/>
            <c:spPr>
              <a:noFill/>
              <a:ln w="9525">
                <a:solidFill>
                  <a:srgbClr val="00B0F0"/>
                </a:solidFill>
              </a:ln>
              <a:effectLst/>
            </c:spPr>
          </c:marker>
          <c:xVal>
            <c:numRef>
              <c:f>'Steering Ratio'!$AC$22:$AC$31</c:f>
              <c:numCache>
                <c:formatCode>0.00</c:formatCode>
                <c:ptCount val="10"/>
                <c:pt idx="0">
                  <c:v>0</c:v>
                </c:pt>
                <c:pt idx="1">
                  <c:v>604</c:v>
                </c:pt>
                <c:pt idx="2">
                  <c:v>604.1</c:v>
                </c:pt>
                <c:pt idx="3">
                  <c:v>604.20000000000005</c:v>
                </c:pt>
                <c:pt idx="4">
                  <c:v>604.29999999999995</c:v>
                </c:pt>
                <c:pt idx="5">
                  <c:v>604.4</c:v>
                </c:pt>
                <c:pt idx="6">
                  <c:v>604.5</c:v>
                </c:pt>
                <c:pt idx="7">
                  <c:v>604.6</c:v>
                </c:pt>
                <c:pt idx="8">
                  <c:v>604.70000000000005</c:v>
                </c:pt>
                <c:pt idx="9">
                  <c:v>604.79999999999995</c:v>
                </c:pt>
              </c:numCache>
            </c:numRef>
          </c:xVal>
          <c:yVal>
            <c:numRef>
              <c:f>'Steering Ratio'!$AB$22:$AB$31</c:f>
              <c:numCache>
                <c:formatCode>0.00</c:formatCode>
                <c:ptCount val="10"/>
                <c:pt idx="0">
                  <c:v>0</c:v>
                </c:pt>
                <c:pt idx="1">
                  <c:v>92.277777777777658</c:v>
                </c:pt>
                <c:pt idx="2">
                  <c:v>92.287777777777663</c:v>
                </c:pt>
                <c:pt idx="3">
                  <c:v>92.297777777777654</c:v>
                </c:pt>
                <c:pt idx="4">
                  <c:v>92.307777777777659</c:v>
                </c:pt>
                <c:pt idx="5">
                  <c:v>92.317777777777664</c:v>
                </c:pt>
                <c:pt idx="6">
                  <c:v>92.327777777777655</c:v>
                </c:pt>
                <c:pt idx="7">
                  <c:v>92.33777777777766</c:v>
                </c:pt>
                <c:pt idx="8">
                  <c:v>92.347777777777651</c:v>
                </c:pt>
                <c:pt idx="9">
                  <c:v>92.357777777777656</c:v>
                </c:pt>
              </c:numCache>
            </c:numRef>
          </c:yVal>
          <c:smooth val="0"/>
          <c:extLst>
            <c:ext xmlns:c16="http://schemas.microsoft.com/office/drawing/2014/chart" uri="{C3380CC4-5D6E-409C-BE32-E72D297353CC}">
              <c16:uniqueId val="{00000000-D164-4E8F-BAD8-9AC931D5F095}"/>
            </c:ext>
          </c:extLst>
        </c:ser>
        <c:dLbls>
          <c:showLegendKey val="0"/>
          <c:showVal val="0"/>
          <c:showCatName val="0"/>
          <c:showSerName val="0"/>
          <c:showPercent val="0"/>
          <c:showBubbleSize val="0"/>
        </c:dLbls>
        <c:axId val="219826976"/>
        <c:axId val="219827368"/>
      </c:scatterChart>
      <c:scatterChart>
        <c:scatterStyle val="lineMarker"/>
        <c:varyColors val="0"/>
        <c:ser>
          <c:idx val="1"/>
          <c:order val="1"/>
          <c:tx>
            <c:v>Ratio</c:v>
          </c:tx>
          <c:spPr>
            <a:ln w="12700" cap="rnd">
              <a:solidFill>
                <a:srgbClr val="00B050"/>
              </a:solidFill>
              <a:round/>
            </a:ln>
            <a:effectLst/>
          </c:spPr>
          <c:marker>
            <c:symbol val="circle"/>
            <c:size val="5"/>
            <c:spPr>
              <a:noFill/>
              <a:ln w="9525">
                <a:noFill/>
              </a:ln>
              <a:effectLst/>
            </c:spPr>
          </c:marker>
          <c:xVal>
            <c:numRef>
              <c:f>[0]!PinAng4Diagram</c:f>
              <c:numCache>
                <c:formatCode>0</c:formatCode>
                <c:ptCount val="53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604</c:v>
                </c:pt>
              </c:numCache>
            </c:numRef>
          </c:xVal>
          <c:yVal>
            <c:numRef>
              <c:f>[0]!RatioColRot</c:f>
              <c:numCache>
                <c:formatCode>0.000</c:formatCode>
                <c:ptCount val="536"/>
                <c:pt idx="0">
                  <c:v>22.392857142857142</c:v>
                </c:pt>
                <c:pt idx="1">
                  <c:v>22.392857142857142</c:v>
                </c:pt>
                <c:pt idx="2">
                  <c:v>22.392857142857142</c:v>
                </c:pt>
                <c:pt idx="3">
                  <c:v>22.392857142857142</c:v>
                </c:pt>
                <c:pt idx="4">
                  <c:v>22.392857142857142</c:v>
                </c:pt>
                <c:pt idx="5">
                  <c:v>22.392857142857142</c:v>
                </c:pt>
                <c:pt idx="6">
                  <c:v>22.392857142857142</c:v>
                </c:pt>
                <c:pt idx="7">
                  <c:v>22.392857142857142</c:v>
                </c:pt>
                <c:pt idx="8">
                  <c:v>22.392857142857142</c:v>
                </c:pt>
                <c:pt idx="9">
                  <c:v>22.392857142857142</c:v>
                </c:pt>
                <c:pt idx="10">
                  <c:v>22.392857142857142</c:v>
                </c:pt>
                <c:pt idx="11">
                  <c:v>22.392857142857142</c:v>
                </c:pt>
                <c:pt idx="12">
                  <c:v>22.392857142857142</c:v>
                </c:pt>
                <c:pt idx="13">
                  <c:v>22.392857142857142</c:v>
                </c:pt>
                <c:pt idx="14">
                  <c:v>22.392857142857142</c:v>
                </c:pt>
                <c:pt idx="15">
                  <c:v>22.392857142857142</c:v>
                </c:pt>
                <c:pt idx="16">
                  <c:v>22.392857142857142</c:v>
                </c:pt>
                <c:pt idx="17">
                  <c:v>22.392857142857142</c:v>
                </c:pt>
                <c:pt idx="18">
                  <c:v>22.392857142857142</c:v>
                </c:pt>
                <c:pt idx="19">
                  <c:v>22.392857142857142</c:v>
                </c:pt>
                <c:pt idx="20">
                  <c:v>22.392857142857142</c:v>
                </c:pt>
                <c:pt idx="21">
                  <c:v>22.392857142857142</c:v>
                </c:pt>
                <c:pt idx="22">
                  <c:v>22.392857142857142</c:v>
                </c:pt>
                <c:pt idx="23">
                  <c:v>22.392857142857142</c:v>
                </c:pt>
                <c:pt idx="24">
                  <c:v>22.392857142857142</c:v>
                </c:pt>
                <c:pt idx="25">
                  <c:v>22.392857142857142</c:v>
                </c:pt>
                <c:pt idx="26">
                  <c:v>22.392857142857142</c:v>
                </c:pt>
                <c:pt idx="27">
                  <c:v>22.392857142857142</c:v>
                </c:pt>
                <c:pt idx="28">
                  <c:v>22.392857142857142</c:v>
                </c:pt>
                <c:pt idx="29">
                  <c:v>22.392857142857142</c:v>
                </c:pt>
                <c:pt idx="30">
                  <c:v>22.392857142857142</c:v>
                </c:pt>
                <c:pt idx="31">
                  <c:v>22.392857142857142</c:v>
                </c:pt>
                <c:pt idx="32">
                  <c:v>22.392857142857142</c:v>
                </c:pt>
                <c:pt idx="33">
                  <c:v>22.392857142857142</c:v>
                </c:pt>
                <c:pt idx="34">
                  <c:v>22.392857142857142</c:v>
                </c:pt>
                <c:pt idx="35">
                  <c:v>22.392857142857142</c:v>
                </c:pt>
                <c:pt idx="36">
                  <c:v>22.392857142857142</c:v>
                </c:pt>
                <c:pt idx="37">
                  <c:v>22.392857142857142</c:v>
                </c:pt>
                <c:pt idx="38">
                  <c:v>22.392857142857142</c:v>
                </c:pt>
                <c:pt idx="39">
                  <c:v>22.392857142857142</c:v>
                </c:pt>
                <c:pt idx="40">
                  <c:v>22.392857142857142</c:v>
                </c:pt>
                <c:pt idx="41">
                  <c:v>22.392857142857142</c:v>
                </c:pt>
                <c:pt idx="42">
                  <c:v>22.392857142857142</c:v>
                </c:pt>
                <c:pt idx="43">
                  <c:v>22.392857142857142</c:v>
                </c:pt>
                <c:pt idx="44">
                  <c:v>22.392857142857142</c:v>
                </c:pt>
                <c:pt idx="45">
                  <c:v>22.392857142857142</c:v>
                </c:pt>
                <c:pt idx="46">
                  <c:v>22.392857142857142</c:v>
                </c:pt>
                <c:pt idx="47">
                  <c:v>22.392857142857142</c:v>
                </c:pt>
                <c:pt idx="48">
                  <c:v>22.392857142857142</c:v>
                </c:pt>
                <c:pt idx="49">
                  <c:v>22.392857142857142</c:v>
                </c:pt>
                <c:pt idx="50">
                  <c:v>22.392857142857142</c:v>
                </c:pt>
                <c:pt idx="51">
                  <c:v>22.392857142857142</c:v>
                </c:pt>
                <c:pt idx="52">
                  <c:v>22.392857142857142</c:v>
                </c:pt>
                <c:pt idx="53">
                  <c:v>22.392857142857142</c:v>
                </c:pt>
                <c:pt idx="54">
                  <c:v>22.392857142857142</c:v>
                </c:pt>
                <c:pt idx="55">
                  <c:v>22.392857142857142</c:v>
                </c:pt>
                <c:pt idx="56">
                  <c:v>22.392857142857142</c:v>
                </c:pt>
                <c:pt idx="57">
                  <c:v>22.392857142857142</c:v>
                </c:pt>
                <c:pt idx="58">
                  <c:v>22.392857142857142</c:v>
                </c:pt>
                <c:pt idx="59">
                  <c:v>22.392857142857142</c:v>
                </c:pt>
                <c:pt idx="60">
                  <c:v>22.392857142857142</c:v>
                </c:pt>
                <c:pt idx="61">
                  <c:v>22.392857142857142</c:v>
                </c:pt>
                <c:pt idx="62">
                  <c:v>22.392857142857142</c:v>
                </c:pt>
                <c:pt idx="63">
                  <c:v>22.392857142857142</c:v>
                </c:pt>
                <c:pt idx="64">
                  <c:v>22.392857142857142</c:v>
                </c:pt>
                <c:pt idx="65">
                  <c:v>22.392857142857142</c:v>
                </c:pt>
                <c:pt idx="66">
                  <c:v>22.392857142857142</c:v>
                </c:pt>
                <c:pt idx="67">
                  <c:v>22.392857142857142</c:v>
                </c:pt>
                <c:pt idx="68">
                  <c:v>22.392857142857142</c:v>
                </c:pt>
                <c:pt idx="69">
                  <c:v>22.392857142857142</c:v>
                </c:pt>
                <c:pt idx="70">
                  <c:v>22.392857142857142</c:v>
                </c:pt>
                <c:pt idx="71">
                  <c:v>22.392857142857142</c:v>
                </c:pt>
                <c:pt idx="72">
                  <c:v>22.392857142857142</c:v>
                </c:pt>
                <c:pt idx="73">
                  <c:v>22.392857142857142</c:v>
                </c:pt>
                <c:pt idx="74">
                  <c:v>22.392857142857142</c:v>
                </c:pt>
                <c:pt idx="75">
                  <c:v>22.392857142857142</c:v>
                </c:pt>
                <c:pt idx="76">
                  <c:v>22.392857142857142</c:v>
                </c:pt>
                <c:pt idx="77">
                  <c:v>22.392857142857142</c:v>
                </c:pt>
                <c:pt idx="78">
                  <c:v>22.392857142857142</c:v>
                </c:pt>
                <c:pt idx="79">
                  <c:v>22.392857142857142</c:v>
                </c:pt>
                <c:pt idx="80">
                  <c:v>22.392857142857142</c:v>
                </c:pt>
                <c:pt idx="81">
                  <c:v>22.392857142857142</c:v>
                </c:pt>
                <c:pt idx="82">
                  <c:v>22.392857142857142</c:v>
                </c:pt>
                <c:pt idx="83">
                  <c:v>22.392857142857142</c:v>
                </c:pt>
                <c:pt idx="84">
                  <c:v>22.392857142857142</c:v>
                </c:pt>
                <c:pt idx="85">
                  <c:v>22.392857142857142</c:v>
                </c:pt>
                <c:pt idx="86">
                  <c:v>22.392857142857142</c:v>
                </c:pt>
                <c:pt idx="87">
                  <c:v>22.392857142857142</c:v>
                </c:pt>
                <c:pt idx="88">
                  <c:v>22.392857142857142</c:v>
                </c:pt>
                <c:pt idx="89">
                  <c:v>22.392857142857142</c:v>
                </c:pt>
                <c:pt idx="90">
                  <c:v>22.392857142857142</c:v>
                </c:pt>
                <c:pt idx="91">
                  <c:v>22.392857142857142</c:v>
                </c:pt>
                <c:pt idx="92">
                  <c:v>22.392857142857142</c:v>
                </c:pt>
                <c:pt idx="93">
                  <c:v>22.392857142857142</c:v>
                </c:pt>
                <c:pt idx="94">
                  <c:v>22.392857142857142</c:v>
                </c:pt>
                <c:pt idx="95">
                  <c:v>22.392857142857142</c:v>
                </c:pt>
                <c:pt idx="96">
                  <c:v>22.392857142857142</c:v>
                </c:pt>
                <c:pt idx="97">
                  <c:v>22.392857142857142</c:v>
                </c:pt>
                <c:pt idx="98">
                  <c:v>22.392857142857142</c:v>
                </c:pt>
                <c:pt idx="99">
                  <c:v>22.392857142857142</c:v>
                </c:pt>
                <c:pt idx="100">
                  <c:v>22.392857142857142</c:v>
                </c:pt>
                <c:pt idx="101">
                  <c:v>22.392857142857142</c:v>
                </c:pt>
                <c:pt idx="102">
                  <c:v>22.392857142857142</c:v>
                </c:pt>
                <c:pt idx="103">
                  <c:v>22.392857142857142</c:v>
                </c:pt>
                <c:pt idx="104">
                  <c:v>22.392857142857142</c:v>
                </c:pt>
                <c:pt idx="105">
                  <c:v>22.392857142857142</c:v>
                </c:pt>
                <c:pt idx="106">
                  <c:v>22.392857142857142</c:v>
                </c:pt>
                <c:pt idx="107">
                  <c:v>22.392857142857142</c:v>
                </c:pt>
                <c:pt idx="108">
                  <c:v>22.392857142857142</c:v>
                </c:pt>
                <c:pt idx="109">
                  <c:v>22.392857142857142</c:v>
                </c:pt>
                <c:pt idx="110">
                  <c:v>22.392857142857142</c:v>
                </c:pt>
                <c:pt idx="111">
                  <c:v>22.392857142857142</c:v>
                </c:pt>
                <c:pt idx="112">
                  <c:v>22.392857142857142</c:v>
                </c:pt>
                <c:pt idx="113">
                  <c:v>22.392857142857142</c:v>
                </c:pt>
                <c:pt idx="114">
                  <c:v>22.392857142857142</c:v>
                </c:pt>
                <c:pt idx="115">
                  <c:v>22.392857142857142</c:v>
                </c:pt>
                <c:pt idx="116">
                  <c:v>22.392857142857142</c:v>
                </c:pt>
                <c:pt idx="117">
                  <c:v>22.392857142857142</c:v>
                </c:pt>
                <c:pt idx="118">
                  <c:v>22.392857142857142</c:v>
                </c:pt>
                <c:pt idx="119">
                  <c:v>22.392857142857142</c:v>
                </c:pt>
                <c:pt idx="120">
                  <c:v>22.392857142857142</c:v>
                </c:pt>
                <c:pt idx="121">
                  <c:v>22.392857142857142</c:v>
                </c:pt>
                <c:pt idx="122">
                  <c:v>22.392857142857142</c:v>
                </c:pt>
                <c:pt idx="123">
                  <c:v>22.392857142857142</c:v>
                </c:pt>
                <c:pt idx="124">
                  <c:v>22.392857142857142</c:v>
                </c:pt>
                <c:pt idx="125">
                  <c:v>22.392857142857142</c:v>
                </c:pt>
                <c:pt idx="126">
                  <c:v>22.392857142857142</c:v>
                </c:pt>
                <c:pt idx="127">
                  <c:v>22.392857142857142</c:v>
                </c:pt>
                <c:pt idx="128">
                  <c:v>22.392857142857142</c:v>
                </c:pt>
                <c:pt idx="129">
                  <c:v>22.392857142857142</c:v>
                </c:pt>
                <c:pt idx="130">
                  <c:v>22.392857142857142</c:v>
                </c:pt>
                <c:pt idx="131">
                  <c:v>22.392857142857142</c:v>
                </c:pt>
                <c:pt idx="132">
                  <c:v>22.392857142857142</c:v>
                </c:pt>
                <c:pt idx="133">
                  <c:v>22.392857142857142</c:v>
                </c:pt>
                <c:pt idx="134">
                  <c:v>22.392857142857142</c:v>
                </c:pt>
                <c:pt idx="135">
                  <c:v>22.392857142857142</c:v>
                </c:pt>
                <c:pt idx="136">
                  <c:v>22.392857142857142</c:v>
                </c:pt>
                <c:pt idx="137">
                  <c:v>22.392857142857142</c:v>
                </c:pt>
                <c:pt idx="138">
                  <c:v>22.392857142857142</c:v>
                </c:pt>
                <c:pt idx="139">
                  <c:v>22.392857142857142</c:v>
                </c:pt>
                <c:pt idx="140">
                  <c:v>22.392857142857142</c:v>
                </c:pt>
                <c:pt idx="141">
                  <c:v>22.392857142857142</c:v>
                </c:pt>
                <c:pt idx="142">
                  <c:v>22.392857142857142</c:v>
                </c:pt>
                <c:pt idx="143">
                  <c:v>22.392857142857142</c:v>
                </c:pt>
                <c:pt idx="144">
                  <c:v>22.392857142857142</c:v>
                </c:pt>
                <c:pt idx="145">
                  <c:v>22.392857142857142</c:v>
                </c:pt>
                <c:pt idx="146">
                  <c:v>22.392857142857142</c:v>
                </c:pt>
                <c:pt idx="147">
                  <c:v>22.392857142857142</c:v>
                </c:pt>
                <c:pt idx="148">
                  <c:v>22.392857142857142</c:v>
                </c:pt>
                <c:pt idx="149">
                  <c:v>22.392857142857142</c:v>
                </c:pt>
                <c:pt idx="150">
                  <c:v>22.392857142857142</c:v>
                </c:pt>
                <c:pt idx="151">
                  <c:v>22.392857142857142</c:v>
                </c:pt>
                <c:pt idx="152">
                  <c:v>22.392857142857142</c:v>
                </c:pt>
                <c:pt idx="153">
                  <c:v>22.392857142857142</c:v>
                </c:pt>
                <c:pt idx="154">
                  <c:v>22.392857142857142</c:v>
                </c:pt>
                <c:pt idx="155">
                  <c:v>22.392857142857142</c:v>
                </c:pt>
                <c:pt idx="156">
                  <c:v>22.392857142857142</c:v>
                </c:pt>
                <c:pt idx="157">
                  <c:v>22.392857142857142</c:v>
                </c:pt>
                <c:pt idx="158">
                  <c:v>22.392857142857142</c:v>
                </c:pt>
                <c:pt idx="159">
                  <c:v>22.392857142857142</c:v>
                </c:pt>
                <c:pt idx="160">
                  <c:v>22.392857142857142</c:v>
                </c:pt>
                <c:pt idx="161">
                  <c:v>22.392857142857142</c:v>
                </c:pt>
                <c:pt idx="162">
                  <c:v>22.392857142857142</c:v>
                </c:pt>
                <c:pt idx="163">
                  <c:v>22.392857142857142</c:v>
                </c:pt>
                <c:pt idx="164">
                  <c:v>22.392857142857142</c:v>
                </c:pt>
                <c:pt idx="165">
                  <c:v>22.392857142857142</c:v>
                </c:pt>
                <c:pt idx="166">
                  <c:v>22.392857142857142</c:v>
                </c:pt>
                <c:pt idx="167">
                  <c:v>22.392857142857142</c:v>
                </c:pt>
                <c:pt idx="168">
                  <c:v>22.392857142857142</c:v>
                </c:pt>
                <c:pt idx="169">
                  <c:v>22.392857142857142</c:v>
                </c:pt>
                <c:pt idx="170">
                  <c:v>22.392857142857142</c:v>
                </c:pt>
                <c:pt idx="171">
                  <c:v>22.392857142857142</c:v>
                </c:pt>
                <c:pt idx="172">
                  <c:v>22.392857142857142</c:v>
                </c:pt>
                <c:pt idx="173">
                  <c:v>22.392857142857142</c:v>
                </c:pt>
                <c:pt idx="174">
                  <c:v>22.392857142857142</c:v>
                </c:pt>
                <c:pt idx="175">
                  <c:v>22.392857142857142</c:v>
                </c:pt>
                <c:pt idx="176">
                  <c:v>22.392857142857142</c:v>
                </c:pt>
                <c:pt idx="177">
                  <c:v>22.392857142857142</c:v>
                </c:pt>
                <c:pt idx="178">
                  <c:v>22.392857142857142</c:v>
                </c:pt>
                <c:pt idx="179">
                  <c:v>22.392857142857142</c:v>
                </c:pt>
                <c:pt idx="180">
                  <c:v>22.392857142857142</c:v>
                </c:pt>
                <c:pt idx="181">
                  <c:v>22.392857142857142</c:v>
                </c:pt>
                <c:pt idx="182">
                  <c:v>22.392857142857142</c:v>
                </c:pt>
                <c:pt idx="183">
                  <c:v>22.392857142857142</c:v>
                </c:pt>
                <c:pt idx="184">
                  <c:v>22.392857142857142</c:v>
                </c:pt>
                <c:pt idx="185">
                  <c:v>22.392857142857142</c:v>
                </c:pt>
                <c:pt idx="186">
                  <c:v>22.392857142857142</c:v>
                </c:pt>
                <c:pt idx="187">
                  <c:v>22.392857142857142</c:v>
                </c:pt>
                <c:pt idx="188">
                  <c:v>22.392857142857142</c:v>
                </c:pt>
                <c:pt idx="189">
                  <c:v>22.392857142857142</c:v>
                </c:pt>
                <c:pt idx="190">
                  <c:v>22.392857142857142</c:v>
                </c:pt>
                <c:pt idx="191">
                  <c:v>22.392857142857142</c:v>
                </c:pt>
                <c:pt idx="192">
                  <c:v>22.392857142857142</c:v>
                </c:pt>
                <c:pt idx="193">
                  <c:v>22.392857142857142</c:v>
                </c:pt>
                <c:pt idx="194">
                  <c:v>22.392857142857142</c:v>
                </c:pt>
                <c:pt idx="195">
                  <c:v>22.392857142857142</c:v>
                </c:pt>
                <c:pt idx="196">
                  <c:v>22.392857142857142</c:v>
                </c:pt>
                <c:pt idx="197">
                  <c:v>22.392857142857142</c:v>
                </c:pt>
                <c:pt idx="198">
                  <c:v>22.392857142857142</c:v>
                </c:pt>
                <c:pt idx="199">
                  <c:v>22.392857142857142</c:v>
                </c:pt>
                <c:pt idx="200">
                  <c:v>22.392857142857142</c:v>
                </c:pt>
                <c:pt idx="201">
                  <c:v>22.392857142857142</c:v>
                </c:pt>
                <c:pt idx="202">
                  <c:v>22.392857142857142</c:v>
                </c:pt>
                <c:pt idx="203">
                  <c:v>22.392857142857142</c:v>
                </c:pt>
                <c:pt idx="204">
                  <c:v>22.392857142857142</c:v>
                </c:pt>
                <c:pt idx="205">
                  <c:v>22.392857142857142</c:v>
                </c:pt>
                <c:pt idx="206">
                  <c:v>22.392857142857142</c:v>
                </c:pt>
                <c:pt idx="207">
                  <c:v>22.392857142857142</c:v>
                </c:pt>
                <c:pt idx="208">
                  <c:v>22.392857142857142</c:v>
                </c:pt>
                <c:pt idx="209">
                  <c:v>22.392857142857142</c:v>
                </c:pt>
                <c:pt idx="210">
                  <c:v>22.392857142857142</c:v>
                </c:pt>
                <c:pt idx="211">
                  <c:v>22.392857142857142</c:v>
                </c:pt>
                <c:pt idx="212">
                  <c:v>22.392857142857142</c:v>
                </c:pt>
                <c:pt idx="213">
                  <c:v>22.392857142857142</c:v>
                </c:pt>
                <c:pt idx="214">
                  <c:v>22.392857142857142</c:v>
                </c:pt>
                <c:pt idx="215">
                  <c:v>22.392857142857142</c:v>
                </c:pt>
                <c:pt idx="216">
                  <c:v>22.392857142857142</c:v>
                </c:pt>
                <c:pt idx="217">
                  <c:v>22.392857142857142</c:v>
                </c:pt>
                <c:pt idx="218">
                  <c:v>22.392857142857142</c:v>
                </c:pt>
                <c:pt idx="219">
                  <c:v>22.392857142857142</c:v>
                </c:pt>
                <c:pt idx="220">
                  <c:v>22.392857142857142</c:v>
                </c:pt>
                <c:pt idx="221">
                  <c:v>22.392857142857142</c:v>
                </c:pt>
                <c:pt idx="222">
                  <c:v>22.392857142857142</c:v>
                </c:pt>
                <c:pt idx="223">
                  <c:v>22.392857142857142</c:v>
                </c:pt>
                <c:pt idx="224">
                  <c:v>22.392857142857142</c:v>
                </c:pt>
                <c:pt idx="225">
                  <c:v>22.392857142857142</c:v>
                </c:pt>
                <c:pt idx="226">
                  <c:v>22.392857142857142</c:v>
                </c:pt>
                <c:pt idx="227">
                  <c:v>22.392857142857142</c:v>
                </c:pt>
                <c:pt idx="228">
                  <c:v>22.392857142857142</c:v>
                </c:pt>
                <c:pt idx="229">
                  <c:v>22.392857142857142</c:v>
                </c:pt>
                <c:pt idx="230">
                  <c:v>22.392857142857142</c:v>
                </c:pt>
                <c:pt idx="231">
                  <c:v>22.392857142857142</c:v>
                </c:pt>
                <c:pt idx="232">
                  <c:v>22.392857142857142</c:v>
                </c:pt>
                <c:pt idx="233">
                  <c:v>22.392857142857142</c:v>
                </c:pt>
                <c:pt idx="234">
                  <c:v>22.392857142857142</c:v>
                </c:pt>
                <c:pt idx="235">
                  <c:v>22.392857142857142</c:v>
                </c:pt>
                <c:pt idx="236">
                  <c:v>22.392857142857142</c:v>
                </c:pt>
                <c:pt idx="237">
                  <c:v>22.392857142857142</c:v>
                </c:pt>
                <c:pt idx="238">
                  <c:v>22.392857142857142</c:v>
                </c:pt>
                <c:pt idx="239">
                  <c:v>22.392857142857142</c:v>
                </c:pt>
                <c:pt idx="240">
                  <c:v>22.392857142857142</c:v>
                </c:pt>
                <c:pt idx="241">
                  <c:v>22.392857142857142</c:v>
                </c:pt>
                <c:pt idx="242">
                  <c:v>22.392857142857142</c:v>
                </c:pt>
                <c:pt idx="243">
                  <c:v>22.392857142857142</c:v>
                </c:pt>
                <c:pt idx="244">
                  <c:v>22.392857142857142</c:v>
                </c:pt>
                <c:pt idx="245">
                  <c:v>22.392857142857142</c:v>
                </c:pt>
                <c:pt idx="246">
                  <c:v>22.392857142857142</c:v>
                </c:pt>
                <c:pt idx="247">
                  <c:v>22.392857142857142</c:v>
                </c:pt>
                <c:pt idx="248">
                  <c:v>22.392857142857142</c:v>
                </c:pt>
                <c:pt idx="249">
                  <c:v>22.392857142857142</c:v>
                </c:pt>
                <c:pt idx="250">
                  <c:v>22.392857142857142</c:v>
                </c:pt>
                <c:pt idx="251">
                  <c:v>22.392857142857142</c:v>
                </c:pt>
                <c:pt idx="252">
                  <c:v>22.392857142857142</c:v>
                </c:pt>
                <c:pt idx="253">
                  <c:v>22.392857142857142</c:v>
                </c:pt>
                <c:pt idx="254">
                  <c:v>22.392857142857142</c:v>
                </c:pt>
                <c:pt idx="255">
                  <c:v>22.392857142857142</c:v>
                </c:pt>
                <c:pt idx="256">
                  <c:v>22.392857142857142</c:v>
                </c:pt>
                <c:pt idx="257">
                  <c:v>22.392857142857142</c:v>
                </c:pt>
                <c:pt idx="258">
                  <c:v>22.392857142857142</c:v>
                </c:pt>
                <c:pt idx="259">
                  <c:v>22.392857142857142</c:v>
                </c:pt>
                <c:pt idx="260">
                  <c:v>22.392857142857142</c:v>
                </c:pt>
                <c:pt idx="261">
                  <c:v>22.392857142857142</c:v>
                </c:pt>
                <c:pt idx="262">
                  <c:v>22.392857142857142</c:v>
                </c:pt>
                <c:pt idx="263">
                  <c:v>22.392857142857142</c:v>
                </c:pt>
                <c:pt idx="264">
                  <c:v>22.392857142857142</c:v>
                </c:pt>
                <c:pt idx="265">
                  <c:v>22.392857142857142</c:v>
                </c:pt>
                <c:pt idx="266">
                  <c:v>22.392857142857142</c:v>
                </c:pt>
                <c:pt idx="267">
                  <c:v>22.392857142857142</c:v>
                </c:pt>
                <c:pt idx="268">
                  <c:v>22.392857142857142</c:v>
                </c:pt>
                <c:pt idx="269">
                  <c:v>22.392857142857142</c:v>
                </c:pt>
                <c:pt idx="270">
                  <c:v>22.392857142857142</c:v>
                </c:pt>
                <c:pt idx="271">
                  <c:v>22.392857142857142</c:v>
                </c:pt>
                <c:pt idx="272">
                  <c:v>22.392857142857142</c:v>
                </c:pt>
                <c:pt idx="273">
                  <c:v>22.392857142857142</c:v>
                </c:pt>
                <c:pt idx="274">
                  <c:v>22.392857142857142</c:v>
                </c:pt>
                <c:pt idx="275">
                  <c:v>22.392857142857142</c:v>
                </c:pt>
                <c:pt idx="276">
                  <c:v>22.392857142857142</c:v>
                </c:pt>
                <c:pt idx="277">
                  <c:v>22.392857142857142</c:v>
                </c:pt>
                <c:pt idx="278">
                  <c:v>22.392857142857142</c:v>
                </c:pt>
                <c:pt idx="279">
                  <c:v>22.392857142857142</c:v>
                </c:pt>
                <c:pt idx="280">
                  <c:v>22.392857142857142</c:v>
                </c:pt>
                <c:pt idx="281">
                  <c:v>22.392857142857142</c:v>
                </c:pt>
                <c:pt idx="282">
                  <c:v>22.392857142857142</c:v>
                </c:pt>
                <c:pt idx="283">
                  <c:v>22.392857142857142</c:v>
                </c:pt>
                <c:pt idx="284">
                  <c:v>22.392857142857142</c:v>
                </c:pt>
                <c:pt idx="285">
                  <c:v>22.392857142857142</c:v>
                </c:pt>
                <c:pt idx="286">
                  <c:v>22.392857142857142</c:v>
                </c:pt>
                <c:pt idx="287">
                  <c:v>22.392857142857142</c:v>
                </c:pt>
                <c:pt idx="288">
                  <c:v>22.392857142857142</c:v>
                </c:pt>
                <c:pt idx="289">
                  <c:v>22.392857142857142</c:v>
                </c:pt>
                <c:pt idx="290">
                  <c:v>22.392857142857142</c:v>
                </c:pt>
                <c:pt idx="291">
                  <c:v>22.392857142857142</c:v>
                </c:pt>
                <c:pt idx="292">
                  <c:v>22.392857142857142</c:v>
                </c:pt>
                <c:pt idx="293">
                  <c:v>22.392857142857142</c:v>
                </c:pt>
                <c:pt idx="294">
                  <c:v>22.392857142857142</c:v>
                </c:pt>
                <c:pt idx="295">
                  <c:v>22.392857142857142</c:v>
                </c:pt>
                <c:pt idx="296">
                  <c:v>22.392857142857142</c:v>
                </c:pt>
                <c:pt idx="297">
                  <c:v>22.392857142857142</c:v>
                </c:pt>
                <c:pt idx="298">
                  <c:v>22.392857142857142</c:v>
                </c:pt>
                <c:pt idx="299">
                  <c:v>22.392857142857142</c:v>
                </c:pt>
                <c:pt idx="300">
                  <c:v>22.392857142857142</c:v>
                </c:pt>
                <c:pt idx="301">
                  <c:v>22.392857142857142</c:v>
                </c:pt>
                <c:pt idx="302">
                  <c:v>22.392857142857142</c:v>
                </c:pt>
                <c:pt idx="303">
                  <c:v>22.392857142857142</c:v>
                </c:pt>
                <c:pt idx="304">
                  <c:v>22.392857142857142</c:v>
                </c:pt>
                <c:pt idx="305">
                  <c:v>22.392857142857142</c:v>
                </c:pt>
                <c:pt idx="306">
                  <c:v>22.392857142857142</c:v>
                </c:pt>
                <c:pt idx="307">
                  <c:v>22.392857142857142</c:v>
                </c:pt>
                <c:pt idx="308">
                  <c:v>22.392857142857142</c:v>
                </c:pt>
                <c:pt idx="309">
                  <c:v>22.392857142857142</c:v>
                </c:pt>
                <c:pt idx="310">
                  <c:v>22.392857142857142</c:v>
                </c:pt>
                <c:pt idx="311">
                  <c:v>22.392857142857142</c:v>
                </c:pt>
                <c:pt idx="312">
                  <c:v>22.392857142857142</c:v>
                </c:pt>
                <c:pt idx="313">
                  <c:v>22.392857142857142</c:v>
                </c:pt>
                <c:pt idx="314">
                  <c:v>22.392857142857142</c:v>
                </c:pt>
                <c:pt idx="315">
                  <c:v>22.392857142857142</c:v>
                </c:pt>
                <c:pt idx="316">
                  <c:v>22.392857142857142</c:v>
                </c:pt>
                <c:pt idx="317">
                  <c:v>22.392857142857142</c:v>
                </c:pt>
                <c:pt idx="318">
                  <c:v>22.392857142857142</c:v>
                </c:pt>
                <c:pt idx="319">
                  <c:v>22.392857142857142</c:v>
                </c:pt>
                <c:pt idx="320">
                  <c:v>22.392857142857142</c:v>
                </c:pt>
                <c:pt idx="321">
                  <c:v>22.392857142857142</c:v>
                </c:pt>
                <c:pt idx="322">
                  <c:v>22.392857142857142</c:v>
                </c:pt>
                <c:pt idx="323">
                  <c:v>22.392857142857142</c:v>
                </c:pt>
                <c:pt idx="324">
                  <c:v>22.392857142857142</c:v>
                </c:pt>
                <c:pt idx="325">
                  <c:v>22.392857142857142</c:v>
                </c:pt>
                <c:pt idx="326">
                  <c:v>22.392857142857142</c:v>
                </c:pt>
                <c:pt idx="327">
                  <c:v>22.392857142857142</c:v>
                </c:pt>
                <c:pt idx="328">
                  <c:v>22.392857142857142</c:v>
                </c:pt>
                <c:pt idx="329">
                  <c:v>22.392857142857142</c:v>
                </c:pt>
                <c:pt idx="330">
                  <c:v>22.392857142857142</c:v>
                </c:pt>
                <c:pt idx="331">
                  <c:v>22.392857142857142</c:v>
                </c:pt>
                <c:pt idx="332">
                  <c:v>22.392857142857142</c:v>
                </c:pt>
                <c:pt idx="333">
                  <c:v>22.392857142857142</c:v>
                </c:pt>
                <c:pt idx="334">
                  <c:v>22.392857142857142</c:v>
                </c:pt>
                <c:pt idx="335">
                  <c:v>22.392857142857142</c:v>
                </c:pt>
                <c:pt idx="336">
                  <c:v>22.392857142857142</c:v>
                </c:pt>
                <c:pt idx="337">
                  <c:v>22.392857142857142</c:v>
                </c:pt>
                <c:pt idx="338">
                  <c:v>22.392857142857142</c:v>
                </c:pt>
                <c:pt idx="339">
                  <c:v>22.392857142857142</c:v>
                </c:pt>
                <c:pt idx="340">
                  <c:v>22.392857142857142</c:v>
                </c:pt>
                <c:pt idx="341">
                  <c:v>22.392857142857142</c:v>
                </c:pt>
                <c:pt idx="342">
                  <c:v>22.392857142857142</c:v>
                </c:pt>
                <c:pt idx="343">
                  <c:v>22.392857142857142</c:v>
                </c:pt>
                <c:pt idx="344">
                  <c:v>22.392857142857142</c:v>
                </c:pt>
                <c:pt idx="345">
                  <c:v>22.392857142857142</c:v>
                </c:pt>
                <c:pt idx="346">
                  <c:v>22.392857142857142</c:v>
                </c:pt>
                <c:pt idx="347">
                  <c:v>22.392857142857142</c:v>
                </c:pt>
                <c:pt idx="348">
                  <c:v>22.392857142857142</c:v>
                </c:pt>
                <c:pt idx="349">
                  <c:v>22.392857142857142</c:v>
                </c:pt>
                <c:pt idx="350">
                  <c:v>22.392857142857142</c:v>
                </c:pt>
                <c:pt idx="351">
                  <c:v>22.392857142857142</c:v>
                </c:pt>
                <c:pt idx="352">
                  <c:v>22.392857142857142</c:v>
                </c:pt>
                <c:pt idx="353">
                  <c:v>22.392857142857142</c:v>
                </c:pt>
                <c:pt idx="354">
                  <c:v>22.392857142857142</c:v>
                </c:pt>
                <c:pt idx="355">
                  <c:v>22.392857142857142</c:v>
                </c:pt>
                <c:pt idx="356">
                  <c:v>22.392857142857142</c:v>
                </c:pt>
                <c:pt idx="357">
                  <c:v>22.392857142857142</c:v>
                </c:pt>
                <c:pt idx="358">
                  <c:v>22.392857142857142</c:v>
                </c:pt>
                <c:pt idx="359">
                  <c:v>22.392857142857142</c:v>
                </c:pt>
                <c:pt idx="360">
                  <c:v>22.392857142857142</c:v>
                </c:pt>
                <c:pt idx="361">
                  <c:v>22.392857142857142</c:v>
                </c:pt>
                <c:pt idx="362">
                  <c:v>22.392857142857142</c:v>
                </c:pt>
                <c:pt idx="363">
                  <c:v>22.392857142857142</c:v>
                </c:pt>
                <c:pt idx="364">
                  <c:v>22.392857142857142</c:v>
                </c:pt>
                <c:pt idx="365">
                  <c:v>22.392857142857142</c:v>
                </c:pt>
                <c:pt idx="366">
                  <c:v>22.392857142857142</c:v>
                </c:pt>
                <c:pt idx="367">
                  <c:v>22.392857142857142</c:v>
                </c:pt>
                <c:pt idx="368">
                  <c:v>22.392857142857142</c:v>
                </c:pt>
                <c:pt idx="369">
                  <c:v>22.392857142857142</c:v>
                </c:pt>
                <c:pt idx="370">
                  <c:v>22.392857142857142</c:v>
                </c:pt>
                <c:pt idx="371">
                  <c:v>22.392857142857142</c:v>
                </c:pt>
                <c:pt idx="372">
                  <c:v>22.392857142857142</c:v>
                </c:pt>
                <c:pt idx="373">
                  <c:v>22.392857142857142</c:v>
                </c:pt>
                <c:pt idx="374">
                  <c:v>22.392857142857142</c:v>
                </c:pt>
                <c:pt idx="375">
                  <c:v>22.392857142857142</c:v>
                </c:pt>
                <c:pt idx="376">
                  <c:v>22.392857142857142</c:v>
                </c:pt>
                <c:pt idx="377">
                  <c:v>22.392857142857142</c:v>
                </c:pt>
                <c:pt idx="378">
                  <c:v>22.392857142857142</c:v>
                </c:pt>
                <c:pt idx="379">
                  <c:v>22.392857142857142</c:v>
                </c:pt>
                <c:pt idx="380">
                  <c:v>22.392857142857142</c:v>
                </c:pt>
                <c:pt idx="381">
                  <c:v>22.392857142857142</c:v>
                </c:pt>
                <c:pt idx="382">
                  <c:v>22.392857142857142</c:v>
                </c:pt>
                <c:pt idx="383">
                  <c:v>22.392857142857142</c:v>
                </c:pt>
                <c:pt idx="384">
                  <c:v>22.392857142857142</c:v>
                </c:pt>
                <c:pt idx="385">
                  <c:v>22.392857142857142</c:v>
                </c:pt>
                <c:pt idx="386">
                  <c:v>22.392857142857142</c:v>
                </c:pt>
                <c:pt idx="387">
                  <c:v>22.392857142857142</c:v>
                </c:pt>
                <c:pt idx="388">
                  <c:v>22.392857142857142</c:v>
                </c:pt>
                <c:pt idx="389">
                  <c:v>22.392857142857142</c:v>
                </c:pt>
                <c:pt idx="390">
                  <c:v>22.392857142857142</c:v>
                </c:pt>
                <c:pt idx="391">
                  <c:v>22.392857142857142</c:v>
                </c:pt>
                <c:pt idx="392">
                  <c:v>22.392857142857142</c:v>
                </c:pt>
                <c:pt idx="393">
                  <c:v>22.392857142857142</c:v>
                </c:pt>
                <c:pt idx="394">
                  <c:v>22.392857142857142</c:v>
                </c:pt>
                <c:pt idx="395">
                  <c:v>22.392857142857142</c:v>
                </c:pt>
                <c:pt idx="396">
                  <c:v>22.392857142857142</c:v>
                </c:pt>
                <c:pt idx="397">
                  <c:v>22.392857142857142</c:v>
                </c:pt>
                <c:pt idx="398">
                  <c:v>22.392857142857142</c:v>
                </c:pt>
                <c:pt idx="399">
                  <c:v>22.392857142857142</c:v>
                </c:pt>
                <c:pt idx="400">
                  <c:v>22.392857142857142</c:v>
                </c:pt>
                <c:pt idx="401">
                  <c:v>22.392857142857142</c:v>
                </c:pt>
                <c:pt idx="402">
                  <c:v>22.392857142857142</c:v>
                </c:pt>
                <c:pt idx="403">
                  <c:v>22.392857142857142</c:v>
                </c:pt>
                <c:pt idx="404">
                  <c:v>22.392857142857142</c:v>
                </c:pt>
                <c:pt idx="405">
                  <c:v>22.392857142857142</c:v>
                </c:pt>
                <c:pt idx="406">
                  <c:v>22.392857142857142</c:v>
                </c:pt>
                <c:pt idx="407">
                  <c:v>22.392857142857142</c:v>
                </c:pt>
                <c:pt idx="408">
                  <c:v>22.392857142857142</c:v>
                </c:pt>
                <c:pt idx="409">
                  <c:v>22.392857142857142</c:v>
                </c:pt>
                <c:pt idx="410">
                  <c:v>22.392857142857142</c:v>
                </c:pt>
                <c:pt idx="411">
                  <c:v>22.392857142857142</c:v>
                </c:pt>
                <c:pt idx="412">
                  <c:v>22.392857142857142</c:v>
                </c:pt>
                <c:pt idx="413">
                  <c:v>22.392857142857142</c:v>
                </c:pt>
                <c:pt idx="414">
                  <c:v>22.392857142857142</c:v>
                </c:pt>
                <c:pt idx="415">
                  <c:v>22.392857142857142</c:v>
                </c:pt>
                <c:pt idx="416">
                  <c:v>22.392857142857142</c:v>
                </c:pt>
                <c:pt idx="417">
                  <c:v>22.392857142857142</c:v>
                </c:pt>
                <c:pt idx="418">
                  <c:v>22.392857142857142</c:v>
                </c:pt>
                <c:pt idx="419">
                  <c:v>22.392857142857142</c:v>
                </c:pt>
                <c:pt idx="420">
                  <c:v>22.392857142857142</c:v>
                </c:pt>
                <c:pt idx="421">
                  <c:v>22.392857142857142</c:v>
                </c:pt>
                <c:pt idx="422">
                  <c:v>22.392857142857142</c:v>
                </c:pt>
                <c:pt idx="423">
                  <c:v>22.392857142857142</c:v>
                </c:pt>
                <c:pt idx="424">
                  <c:v>22.392857142857142</c:v>
                </c:pt>
                <c:pt idx="425">
                  <c:v>22.392857142857142</c:v>
                </c:pt>
                <c:pt idx="426">
                  <c:v>22.392857142857142</c:v>
                </c:pt>
                <c:pt idx="427">
                  <c:v>22.392857142857142</c:v>
                </c:pt>
                <c:pt idx="428">
                  <c:v>22.392857142857142</c:v>
                </c:pt>
                <c:pt idx="429">
                  <c:v>22.392857142857142</c:v>
                </c:pt>
                <c:pt idx="430">
                  <c:v>22.392857142857142</c:v>
                </c:pt>
                <c:pt idx="431">
                  <c:v>22.392857142857142</c:v>
                </c:pt>
                <c:pt idx="432">
                  <c:v>22.392857142857142</c:v>
                </c:pt>
                <c:pt idx="433">
                  <c:v>22.392857142857142</c:v>
                </c:pt>
                <c:pt idx="434">
                  <c:v>22.392857142857142</c:v>
                </c:pt>
                <c:pt idx="435">
                  <c:v>22.392857142857142</c:v>
                </c:pt>
                <c:pt idx="436">
                  <c:v>22.392857142857142</c:v>
                </c:pt>
                <c:pt idx="437">
                  <c:v>22.392857142857142</c:v>
                </c:pt>
                <c:pt idx="438">
                  <c:v>22.392857142857142</c:v>
                </c:pt>
                <c:pt idx="439">
                  <c:v>22.392857142857142</c:v>
                </c:pt>
                <c:pt idx="440">
                  <c:v>22.392857142857142</c:v>
                </c:pt>
                <c:pt idx="441">
                  <c:v>22.392857142857142</c:v>
                </c:pt>
                <c:pt idx="442">
                  <c:v>22.392857142857142</c:v>
                </c:pt>
                <c:pt idx="443">
                  <c:v>22.392857142857142</c:v>
                </c:pt>
                <c:pt idx="444">
                  <c:v>22.392857142857142</c:v>
                </c:pt>
                <c:pt idx="445">
                  <c:v>22.392857142857142</c:v>
                </c:pt>
                <c:pt idx="446">
                  <c:v>22.392857142857142</c:v>
                </c:pt>
                <c:pt idx="447">
                  <c:v>22.392857142857142</c:v>
                </c:pt>
                <c:pt idx="448">
                  <c:v>22.392857142857142</c:v>
                </c:pt>
                <c:pt idx="449">
                  <c:v>22.392857142857142</c:v>
                </c:pt>
                <c:pt idx="450">
                  <c:v>22.392857142857142</c:v>
                </c:pt>
                <c:pt idx="451">
                  <c:v>22.392857142857142</c:v>
                </c:pt>
                <c:pt idx="452">
                  <c:v>22.392857142857142</c:v>
                </c:pt>
                <c:pt idx="453">
                  <c:v>22.392857142857142</c:v>
                </c:pt>
                <c:pt idx="454">
                  <c:v>22.392857142857142</c:v>
                </c:pt>
                <c:pt idx="455">
                  <c:v>22.392857142857142</c:v>
                </c:pt>
                <c:pt idx="456">
                  <c:v>22.392857142857142</c:v>
                </c:pt>
                <c:pt idx="457">
                  <c:v>22.392857142857142</c:v>
                </c:pt>
                <c:pt idx="458">
                  <c:v>22.392857142857142</c:v>
                </c:pt>
                <c:pt idx="459">
                  <c:v>22.392857142857142</c:v>
                </c:pt>
                <c:pt idx="460">
                  <c:v>22.392857142857142</c:v>
                </c:pt>
                <c:pt idx="461">
                  <c:v>22.392857142857142</c:v>
                </c:pt>
                <c:pt idx="462">
                  <c:v>22.392857142857142</c:v>
                </c:pt>
                <c:pt idx="463">
                  <c:v>22.392857142857142</c:v>
                </c:pt>
                <c:pt idx="464">
                  <c:v>22.392857142857142</c:v>
                </c:pt>
                <c:pt idx="465">
                  <c:v>22.392857142857142</c:v>
                </c:pt>
                <c:pt idx="466">
                  <c:v>22.392857142857142</c:v>
                </c:pt>
                <c:pt idx="467">
                  <c:v>22.392857142857142</c:v>
                </c:pt>
                <c:pt idx="468">
                  <c:v>22.392857142857142</c:v>
                </c:pt>
                <c:pt idx="469">
                  <c:v>22.392857142857142</c:v>
                </c:pt>
                <c:pt idx="470">
                  <c:v>22.392857142857142</c:v>
                </c:pt>
                <c:pt idx="471">
                  <c:v>22.392857142857142</c:v>
                </c:pt>
                <c:pt idx="472">
                  <c:v>22.392857142857142</c:v>
                </c:pt>
                <c:pt idx="473">
                  <c:v>22.392857142857142</c:v>
                </c:pt>
                <c:pt idx="474">
                  <c:v>22.392857142857142</c:v>
                </c:pt>
                <c:pt idx="475">
                  <c:v>22.392857142857142</c:v>
                </c:pt>
                <c:pt idx="476">
                  <c:v>22.392857142857142</c:v>
                </c:pt>
                <c:pt idx="477">
                  <c:v>22.392857142857142</c:v>
                </c:pt>
                <c:pt idx="478">
                  <c:v>22.392857142857142</c:v>
                </c:pt>
                <c:pt idx="479">
                  <c:v>22.392857142857142</c:v>
                </c:pt>
                <c:pt idx="480">
                  <c:v>22.392857142857142</c:v>
                </c:pt>
                <c:pt idx="481">
                  <c:v>22.392857142857142</c:v>
                </c:pt>
                <c:pt idx="482">
                  <c:v>22.392857142857142</c:v>
                </c:pt>
                <c:pt idx="483">
                  <c:v>22.392857142857142</c:v>
                </c:pt>
                <c:pt idx="484">
                  <c:v>22.392857142857142</c:v>
                </c:pt>
                <c:pt idx="485">
                  <c:v>22.392857142857142</c:v>
                </c:pt>
                <c:pt idx="486">
                  <c:v>22.392857142857142</c:v>
                </c:pt>
                <c:pt idx="487">
                  <c:v>22.392857142857142</c:v>
                </c:pt>
                <c:pt idx="488">
                  <c:v>22.392857142857142</c:v>
                </c:pt>
                <c:pt idx="489">
                  <c:v>22.392857142857142</c:v>
                </c:pt>
                <c:pt idx="490">
                  <c:v>22.392857142857142</c:v>
                </c:pt>
                <c:pt idx="491">
                  <c:v>22.392857142857142</c:v>
                </c:pt>
                <c:pt idx="492">
                  <c:v>22.392857142857142</c:v>
                </c:pt>
                <c:pt idx="493">
                  <c:v>22.392857142857142</c:v>
                </c:pt>
                <c:pt idx="494">
                  <c:v>22.392857142857142</c:v>
                </c:pt>
                <c:pt idx="495">
                  <c:v>22.392857142857142</c:v>
                </c:pt>
                <c:pt idx="496">
                  <c:v>22.392857142857142</c:v>
                </c:pt>
                <c:pt idx="497">
                  <c:v>22.392857142857142</c:v>
                </c:pt>
                <c:pt idx="498">
                  <c:v>22.392857142857142</c:v>
                </c:pt>
                <c:pt idx="499">
                  <c:v>22.392857142857142</c:v>
                </c:pt>
                <c:pt idx="500">
                  <c:v>22.392857142857142</c:v>
                </c:pt>
                <c:pt idx="501">
                  <c:v>22.392857142857142</c:v>
                </c:pt>
                <c:pt idx="502">
                  <c:v>22.392857142857142</c:v>
                </c:pt>
                <c:pt idx="503">
                  <c:v>22.392857142857142</c:v>
                </c:pt>
                <c:pt idx="504">
                  <c:v>22.392857142857142</c:v>
                </c:pt>
                <c:pt idx="505">
                  <c:v>22.392857142857142</c:v>
                </c:pt>
                <c:pt idx="506">
                  <c:v>22.392857142857142</c:v>
                </c:pt>
                <c:pt idx="507">
                  <c:v>22.392857142857142</c:v>
                </c:pt>
                <c:pt idx="508">
                  <c:v>22.392857142857142</c:v>
                </c:pt>
                <c:pt idx="509">
                  <c:v>22.392857142857142</c:v>
                </c:pt>
                <c:pt idx="510">
                  <c:v>22.392857142857142</c:v>
                </c:pt>
                <c:pt idx="511">
                  <c:v>22.392857142857142</c:v>
                </c:pt>
                <c:pt idx="512">
                  <c:v>22.392857142857142</c:v>
                </c:pt>
                <c:pt idx="513">
                  <c:v>22.392857142857142</c:v>
                </c:pt>
                <c:pt idx="514">
                  <c:v>22.392857142857142</c:v>
                </c:pt>
                <c:pt idx="515">
                  <c:v>22.392857142857142</c:v>
                </c:pt>
                <c:pt idx="516">
                  <c:v>22.392857142857142</c:v>
                </c:pt>
                <c:pt idx="517">
                  <c:v>22.392857142857142</c:v>
                </c:pt>
                <c:pt idx="518">
                  <c:v>22.392857142857142</c:v>
                </c:pt>
                <c:pt idx="519">
                  <c:v>22.392857142857142</c:v>
                </c:pt>
                <c:pt idx="520">
                  <c:v>22.392857142857142</c:v>
                </c:pt>
                <c:pt idx="521">
                  <c:v>22.392857142857142</c:v>
                </c:pt>
                <c:pt idx="522">
                  <c:v>22.392857142857142</c:v>
                </c:pt>
                <c:pt idx="523">
                  <c:v>22.392857142857142</c:v>
                </c:pt>
                <c:pt idx="524">
                  <c:v>22.392857142857142</c:v>
                </c:pt>
                <c:pt idx="525">
                  <c:v>22.392857142857142</c:v>
                </c:pt>
                <c:pt idx="526">
                  <c:v>22.392857142857142</c:v>
                </c:pt>
                <c:pt idx="527">
                  <c:v>22.392857142857142</c:v>
                </c:pt>
                <c:pt idx="528">
                  <c:v>22.392857142857142</c:v>
                </c:pt>
                <c:pt idx="529">
                  <c:v>22.392857142857142</c:v>
                </c:pt>
                <c:pt idx="530">
                  <c:v>22.392857142857142</c:v>
                </c:pt>
                <c:pt idx="531">
                  <c:v>22.392857142857142</c:v>
                </c:pt>
                <c:pt idx="532">
                  <c:v>22.392857142857142</c:v>
                </c:pt>
                <c:pt idx="533">
                  <c:v>22.392857142857142</c:v>
                </c:pt>
                <c:pt idx="534">
                  <c:v>22.392857142857142</c:v>
                </c:pt>
                <c:pt idx="535">
                  <c:v>22.392857142857142</c:v>
                </c:pt>
              </c:numCache>
            </c:numRef>
          </c:yVal>
          <c:smooth val="0"/>
          <c:extLst>
            <c:ext xmlns:c16="http://schemas.microsoft.com/office/drawing/2014/chart" uri="{C3380CC4-5D6E-409C-BE32-E72D297353CC}">
              <c16:uniqueId val="{00000001-0EF2-4BD8-9B8B-32BE2FBD3411}"/>
            </c:ext>
          </c:extLst>
        </c:ser>
        <c:ser>
          <c:idx val="3"/>
          <c:order val="3"/>
          <c:tx>
            <c:v>LuT VarFact</c:v>
          </c:tx>
          <c:spPr>
            <a:ln w="19050" cap="rnd">
              <a:noFill/>
              <a:round/>
            </a:ln>
            <a:effectLst/>
          </c:spPr>
          <c:marker>
            <c:symbol val="circle"/>
            <c:size val="6"/>
            <c:spPr>
              <a:noFill/>
              <a:ln w="9525">
                <a:solidFill>
                  <a:srgbClr val="92D050"/>
                </a:solidFill>
              </a:ln>
              <a:effectLst/>
            </c:spPr>
          </c:marker>
          <c:xVal>
            <c:numRef>
              <c:f>'Steering Ratio'!$X$72:$X$84</c:f>
              <c:numCache>
                <c:formatCode>0.000</c:formatCode>
                <c:ptCount val="13"/>
                <c:pt idx="0">
                  <c:v>0</c:v>
                </c:pt>
                <c:pt idx="1">
                  <c:v>604</c:v>
                </c:pt>
                <c:pt idx="2">
                  <c:v>604.1</c:v>
                </c:pt>
                <c:pt idx="3">
                  <c:v>604.20000000000005</c:v>
                </c:pt>
                <c:pt idx="4">
                  <c:v>604.29999999999995</c:v>
                </c:pt>
                <c:pt idx="5">
                  <c:v>604.4</c:v>
                </c:pt>
                <c:pt idx="6">
                  <c:v>604.5</c:v>
                </c:pt>
                <c:pt idx="7">
                  <c:v>604.6</c:v>
                </c:pt>
                <c:pt idx="8">
                  <c:v>604.70000000000005</c:v>
                </c:pt>
                <c:pt idx="9">
                  <c:v>604.79999999999995</c:v>
                </c:pt>
                <c:pt idx="10">
                  <c:v>604.9</c:v>
                </c:pt>
                <c:pt idx="11">
                  <c:v>605</c:v>
                </c:pt>
                <c:pt idx="12">
                  <c:v>605.1</c:v>
                </c:pt>
              </c:numCache>
            </c:numRef>
          </c:xVal>
          <c:yVal>
            <c:numRef>
              <c:f>'Steering Ratio'!$AB$72:$AB$84</c:f>
              <c:numCache>
                <c:formatCode>0.000</c:formatCode>
                <c:ptCount val="13"/>
                <c:pt idx="0">
                  <c:v>22.392857142857142</c:v>
                </c:pt>
                <c:pt idx="1">
                  <c:v>22.392857142857142</c:v>
                </c:pt>
                <c:pt idx="2">
                  <c:v>22.392857142857142</c:v>
                </c:pt>
                <c:pt idx="3">
                  <c:v>22.392857142857142</c:v>
                </c:pt>
                <c:pt idx="4">
                  <c:v>22.392857142857142</c:v>
                </c:pt>
                <c:pt idx="5">
                  <c:v>22.392857142857142</c:v>
                </c:pt>
                <c:pt idx="6">
                  <c:v>22.392857142857142</c:v>
                </c:pt>
                <c:pt idx="7">
                  <c:v>22.392857142857142</c:v>
                </c:pt>
                <c:pt idx="8">
                  <c:v>22.392857142857142</c:v>
                </c:pt>
                <c:pt idx="9">
                  <c:v>22.392857142857142</c:v>
                </c:pt>
                <c:pt idx="10">
                  <c:v>22.392857142857142</c:v>
                </c:pt>
                <c:pt idx="11">
                  <c:v>22.392857142857142</c:v>
                </c:pt>
                <c:pt idx="12">
                  <c:v>22.392857142857142</c:v>
                </c:pt>
              </c:numCache>
            </c:numRef>
          </c:yVal>
          <c:smooth val="0"/>
          <c:extLst>
            <c:ext xmlns:c16="http://schemas.microsoft.com/office/drawing/2014/chart" uri="{C3380CC4-5D6E-409C-BE32-E72D297353CC}">
              <c16:uniqueId val="{00000003-D164-4E8F-BAD8-9AC931D5F095}"/>
            </c:ext>
          </c:extLst>
        </c:ser>
        <c:dLbls>
          <c:showLegendKey val="0"/>
          <c:showVal val="0"/>
          <c:showCatName val="0"/>
          <c:showSerName val="0"/>
          <c:showPercent val="0"/>
          <c:showBubbleSize val="0"/>
        </c:dLbls>
        <c:axId val="219828152"/>
        <c:axId val="219827760"/>
      </c:scatterChart>
      <c:valAx>
        <c:axId val="2198269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steering angle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9827368"/>
        <c:crosses val="autoZero"/>
        <c:crossBetween val="midCat"/>
      </c:valAx>
      <c:valAx>
        <c:axId val="2198273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solidFill>
                      <a:schemeClr val="accent1">
                        <a:lumMod val="75000"/>
                      </a:schemeClr>
                    </a:solidFill>
                  </a:rPr>
                  <a:t>rackposition [mm]:  mechanics (--) and  LuT (o)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9826976"/>
        <c:crosses val="autoZero"/>
        <c:crossBetween val="midCat"/>
      </c:valAx>
      <c:valAx>
        <c:axId val="219827760"/>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solidFill>
                      <a:srgbClr val="00B050"/>
                    </a:solidFill>
                  </a:rPr>
                  <a:t>ratio [Rotor</a:t>
                </a:r>
                <a:r>
                  <a:rPr lang="de-DE" baseline="0">
                    <a:solidFill>
                      <a:srgbClr val="00B050"/>
                    </a:solidFill>
                  </a:rPr>
                  <a:t> / Steeri</a:t>
                </a:r>
                <a:r>
                  <a:rPr lang="de-DE">
                    <a:solidFill>
                      <a:srgbClr val="00B050"/>
                    </a:solidFill>
                  </a:rPr>
                  <a:t>ngWheel]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9828152"/>
        <c:crosses val="max"/>
        <c:crossBetween val="midCat"/>
      </c:valAx>
      <c:valAx>
        <c:axId val="219828152"/>
        <c:scaling>
          <c:orientation val="minMax"/>
        </c:scaling>
        <c:delete val="1"/>
        <c:axPos val="b"/>
        <c:numFmt formatCode="0" sourceLinked="1"/>
        <c:majorTickMark val="out"/>
        <c:minorTickMark val="none"/>
        <c:tickLblPos val="nextTo"/>
        <c:crossAx val="219827760"/>
        <c:crosses val="autoZero"/>
        <c:crossBetween val="midCat"/>
      </c:valAx>
      <c:spPr>
        <a:noFill/>
        <a:ln>
          <a:no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rackposition and ratio to front wheel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2"/>
          <c:order val="1"/>
          <c:tx>
            <c:v>WheelAngle</c:v>
          </c:tx>
          <c:spPr>
            <a:ln w="19050" cap="rnd">
              <a:solidFill>
                <a:srgbClr val="0070C0"/>
              </a:solidFill>
              <a:round/>
            </a:ln>
            <a:effectLst/>
          </c:spPr>
          <c:marker>
            <c:symbol val="none"/>
          </c:marker>
          <c:dPt>
            <c:idx val="145"/>
            <c:marker>
              <c:symbol val="none"/>
            </c:marker>
            <c:bubble3D val="0"/>
            <c:extLst>
              <c:ext xmlns:c16="http://schemas.microsoft.com/office/drawing/2014/chart" uri="{C3380CC4-5D6E-409C-BE32-E72D297353CC}">
                <c16:uniqueId val="{00000002-5FC1-4A10-A9B6-AD8CA135DB8C}"/>
              </c:ext>
            </c:extLst>
          </c:dPt>
          <c:xVal>
            <c:numRef>
              <c:f>RackWheelConverter!RackPos4DiagramRW</c:f>
              <c:numCache>
                <c:formatCode>0.00</c:formatCode>
                <c:ptCount val="16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40</c:v>
                </c:pt>
                <c:pt idx="81">
                  <c:v>40.5</c:v>
                </c:pt>
                <c:pt idx="82">
                  <c:v>41</c:v>
                </c:pt>
                <c:pt idx="83">
                  <c:v>41.5</c:v>
                </c:pt>
                <c:pt idx="84">
                  <c:v>42</c:v>
                </c:pt>
                <c:pt idx="85">
                  <c:v>42.5</c:v>
                </c:pt>
                <c:pt idx="86">
                  <c:v>43</c:v>
                </c:pt>
                <c:pt idx="87">
                  <c:v>43.5</c:v>
                </c:pt>
                <c:pt idx="88">
                  <c:v>44</c:v>
                </c:pt>
                <c:pt idx="89">
                  <c:v>44.5</c:v>
                </c:pt>
                <c:pt idx="90">
                  <c:v>45</c:v>
                </c:pt>
                <c:pt idx="91">
                  <c:v>45.5</c:v>
                </c:pt>
                <c:pt idx="92">
                  <c:v>46</c:v>
                </c:pt>
                <c:pt idx="93">
                  <c:v>46.5</c:v>
                </c:pt>
                <c:pt idx="94">
                  <c:v>47</c:v>
                </c:pt>
                <c:pt idx="95">
                  <c:v>47.5</c:v>
                </c:pt>
                <c:pt idx="96">
                  <c:v>48</c:v>
                </c:pt>
                <c:pt idx="97">
                  <c:v>48.5</c:v>
                </c:pt>
                <c:pt idx="98">
                  <c:v>49</c:v>
                </c:pt>
                <c:pt idx="99">
                  <c:v>49.5</c:v>
                </c:pt>
                <c:pt idx="100">
                  <c:v>50</c:v>
                </c:pt>
                <c:pt idx="101">
                  <c:v>50.5</c:v>
                </c:pt>
                <c:pt idx="102">
                  <c:v>51</c:v>
                </c:pt>
                <c:pt idx="103">
                  <c:v>51.5</c:v>
                </c:pt>
                <c:pt idx="104">
                  <c:v>52</c:v>
                </c:pt>
                <c:pt idx="105">
                  <c:v>52.5</c:v>
                </c:pt>
                <c:pt idx="106">
                  <c:v>53</c:v>
                </c:pt>
                <c:pt idx="107">
                  <c:v>53.5</c:v>
                </c:pt>
                <c:pt idx="108">
                  <c:v>54</c:v>
                </c:pt>
                <c:pt idx="109">
                  <c:v>54.5</c:v>
                </c:pt>
                <c:pt idx="110">
                  <c:v>55</c:v>
                </c:pt>
                <c:pt idx="111">
                  <c:v>55.5</c:v>
                </c:pt>
                <c:pt idx="112">
                  <c:v>56</c:v>
                </c:pt>
                <c:pt idx="113">
                  <c:v>56.5</c:v>
                </c:pt>
                <c:pt idx="114">
                  <c:v>57</c:v>
                </c:pt>
                <c:pt idx="115">
                  <c:v>57.5</c:v>
                </c:pt>
                <c:pt idx="116">
                  <c:v>58</c:v>
                </c:pt>
                <c:pt idx="117">
                  <c:v>58.5</c:v>
                </c:pt>
                <c:pt idx="118">
                  <c:v>59</c:v>
                </c:pt>
                <c:pt idx="119">
                  <c:v>59.5</c:v>
                </c:pt>
                <c:pt idx="120">
                  <c:v>60</c:v>
                </c:pt>
                <c:pt idx="121">
                  <c:v>60.5</c:v>
                </c:pt>
                <c:pt idx="122">
                  <c:v>61</c:v>
                </c:pt>
                <c:pt idx="123">
                  <c:v>61.5</c:v>
                </c:pt>
                <c:pt idx="124">
                  <c:v>62</c:v>
                </c:pt>
                <c:pt idx="125">
                  <c:v>62.5</c:v>
                </c:pt>
                <c:pt idx="126">
                  <c:v>63</c:v>
                </c:pt>
                <c:pt idx="127">
                  <c:v>63.5</c:v>
                </c:pt>
                <c:pt idx="128">
                  <c:v>64</c:v>
                </c:pt>
                <c:pt idx="129">
                  <c:v>64.5</c:v>
                </c:pt>
                <c:pt idx="130">
                  <c:v>65</c:v>
                </c:pt>
                <c:pt idx="131">
                  <c:v>65.5</c:v>
                </c:pt>
                <c:pt idx="132">
                  <c:v>66</c:v>
                </c:pt>
                <c:pt idx="133">
                  <c:v>66.5</c:v>
                </c:pt>
                <c:pt idx="134">
                  <c:v>67</c:v>
                </c:pt>
                <c:pt idx="135">
                  <c:v>67.5</c:v>
                </c:pt>
                <c:pt idx="136">
                  <c:v>68</c:v>
                </c:pt>
                <c:pt idx="137">
                  <c:v>68.5</c:v>
                </c:pt>
                <c:pt idx="138">
                  <c:v>69</c:v>
                </c:pt>
                <c:pt idx="139">
                  <c:v>69.5</c:v>
                </c:pt>
                <c:pt idx="140">
                  <c:v>70</c:v>
                </c:pt>
                <c:pt idx="141">
                  <c:v>70.5</c:v>
                </c:pt>
                <c:pt idx="142">
                  <c:v>71</c:v>
                </c:pt>
                <c:pt idx="143">
                  <c:v>71.5</c:v>
                </c:pt>
                <c:pt idx="144">
                  <c:v>72</c:v>
                </c:pt>
                <c:pt idx="145">
                  <c:v>72.5</c:v>
                </c:pt>
                <c:pt idx="146">
                  <c:v>73</c:v>
                </c:pt>
                <c:pt idx="147">
                  <c:v>73.5</c:v>
                </c:pt>
                <c:pt idx="148">
                  <c:v>74</c:v>
                </c:pt>
                <c:pt idx="149">
                  <c:v>74.5</c:v>
                </c:pt>
                <c:pt idx="150">
                  <c:v>75</c:v>
                </c:pt>
                <c:pt idx="151">
                  <c:v>75.5</c:v>
                </c:pt>
                <c:pt idx="152">
                  <c:v>76</c:v>
                </c:pt>
                <c:pt idx="153">
                  <c:v>76.5</c:v>
                </c:pt>
                <c:pt idx="154">
                  <c:v>77</c:v>
                </c:pt>
                <c:pt idx="155">
                  <c:v>77.5</c:v>
                </c:pt>
                <c:pt idx="156">
                  <c:v>78</c:v>
                </c:pt>
                <c:pt idx="157">
                  <c:v>78.5</c:v>
                </c:pt>
                <c:pt idx="158">
                  <c:v>79</c:v>
                </c:pt>
                <c:pt idx="159">
                  <c:v>79.5</c:v>
                </c:pt>
                <c:pt idx="160">
                  <c:v>80</c:v>
                </c:pt>
              </c:numCache>
            </c:numRef>
          </c:xVal>
          <c:yVal>
            <c:numRef>
              <c:f>RackWheelConverter!WhlAng4DiagramRW</c:f>
              <c:numCache>
                <c:formatCode>0.000</c:formatCode>
                <c:ptCount val="160"/>
                <c:pt idx="0">
                  <c:v>0</c:v>
                </c:pt>
                <c:pt idx="1">
                  <c:v>0.245</c:v>
                </c:pt>
                <c:pt idx="2">
                  <c:v>0.49</c:v>
                </c:pt>
                <c:pt idx="3">
                  <c:v>0.73499999999999999</c:v>
                </c:pt>
                <c:pt idx="4">
                  <c:v>0.98</c:v>
                </c:pt>
                <c:pt idx="5">
                  <c:v>1.2250000000000001</c:v>
                </c:pt>
                <c:pt idx="6">
                  <c:v>1.4700000000000002</c:v>
                </c:pt>
                <c:pt idx="7">
                  <c:v>1.7150000000000003</c:v>
                </c:pt>
                <c:pt idx="8">
                  <c:v>1.9600000000000004</c:v>
                </c:pt>
                <c:pt idx="9">
                  <c:v>2.2050000000000005</c:v>
                </c:pt>
                <c:pt idx="10">
                  <c:v>2.4500000000000006</c:v>
                </c:pt>
                <c:pt idx="11">
                  <c:v>2.6950000000000007</c:v>
                </c:pt>
                <c:pt idx="12">
                  <c:v>2.9400000000000008</c:v>
                </c:pt>
                <c:pt idx="13">
                  <c:v>3.1850000000000009</c:v>
                </c:pt>
                <c:pt idx="14">
                  <c:v>3.430000000000001</c:v>
                </c:pt>
                <c:pt idx="15">
                  <c:v>3.6750000000000012</c:v>
                </c:pt>
                <c:pt idx="16">
                  <c:v>3.9200000000000013</c:v>
                </c:pt>
                <c:pt idx="17">
                  <c:v>4.165</c:v>
                </c:pt>
                <c:pt idx="18">
                  <c:v>4.410000000000001</c:v>
                </c:pt>
                <c:pt idx="19">
                  <c:v>4.6550000000000011</c:v>
                </c:pt>
                <c:pt idx="20">
                  <c:v>4.9000000000000012</c:v>
                </c:pt>
                <c:pt idx="21">
                  <c:v>5.1450000000000014</c:v>
                </c:pt>
                <c:pt idx="22">
                  <c:v>5.3900000000000015</c:v>
                </c:pt>
                <c:pt idx="23">
                  <c:v>5.6350000000000016</c:v>
                </c:pt>
                <c:pt idx="24">
                  <c:v>5.8800000000000017</c:v>
                </c:pt>
                <c:pt idx="25">
                  <c:v>6.1250000000000018</c:v>
                </c:pt>
                <c:pt idx="26">
                  <c:v>6.3700000000000019</c:v>
                </c:pt>
                <c:pt idx="27">
                  <c:v>6.615000000000002</c:v>
                </c:pt>
                <c:pt idx="28">
                  <c:v>6.8600000000000021</c:v>
                </c:pt>
                <c:pt idx="29">
                  <c:v>7.1050000000000022</c:v>
                </c:pt>
                <c:pt idx="30">
                  <c:v>7.3500000000000023</c:v>
                </c:pt>
                <c:pt idx="31">
                  <c:v>7.5950000000000024</c:v>
                </c:pt>
                <c:pt idx="32">
                  <c:v>7.8400000000000025</c:v>
                </c:pt>
                <c:pt idx="33">
                  <c:v>8.0850000000000026</c:v>
                </c:pt>
                <c:pt idx="34">
                  <c:v>8.3300000000000018</c:v>
                </c:pt>
                <c:pt idx="35">
                  <c:v>8.5750000000000011</c:v>
                </c:pt>
                <c:pt idx="36">
                  <c:v>8.82</c:v>
                </c:pt>
                <c:pt idx="37">
                  <c:v>9.0649999999999995</c:v>
                </c:pt>
                <c:pt idx="38">
                  <c:v>9.3099999999999987</c:v>
                </c:pt>
                <c:pt idx="39">
                  <c:v>9.5549999999999979</c:v>
                </c:pt>
                <c:pt idx="40">
                  <c:v>9.7999999999999972</c:v>
                </c:pt>
                <c:pt idx="41">
                  <c:v>10.045004948667208</c:v>
                </c:pt>
                <c:pt idx="42">
                  <c:v>10.290024709318077</c:v>
                </c:pt>
                <c:pt idx="43">
                  <c:v>10.535069130663009</c:v>
                </c:pt>
                <c:pt idx="44">
                  <c:v>10.780148037076716</c:v>
                </c:pt>
                <c:pt idx="45">
                  <c:v>11.025271218903315</c:v>
                </c:pt>
                <c:pt idx="46">
                  <c:v>11.270448422795017</c:v>
                </c:pt>
                <c:pt idx="47">
                  <c:v>11.515689342093919</c:v>
                </c:pt>
                <c:pt idx="48">
                  <c:v>11.761003607266412</c:v>
                </c:pt>
                <c:pt idx="49">
                  <c:v>12.006400776399634</c:v>
                </c:pt>
                <c:pt idx="50">
                  <c:v>12.251890325769349</c:v>
                </c:pt>
                <c:pt idx="51">
                  <c:v>12.497481640488559</c:v>
                </c:pt>
                <c:pt idx="52">
                  <c:v>12.743184005246071</c:v>
                </c:pt>
                <c:pt idx="53">
                  <c:v>12.989006595144183</c:v>
                </c:pt>
                <c:pt idx="54">
                  <c:v>13.234958466644484</c:v>
                </c:pt>
                <c:pt idx="55">
                  <c:v>13.481048548630758</c:v>
                </c:pt>
                <c:pt idx="56">
                  <c:v>13.727285633597772</c:v>
                </c:pt>
                <c:pt idx="57">
                  <c:v>13.973678368974653</c:v>
                </c:pt>
                <c:pt idx="58">
                  <c:v>14.220235248591427</c:v>
                </c:pt>
                <c:pt idx="59">
                  <c:v>14.466964604297125</c:v>
                </c:pt>
                <c:pt idx="60">
                  <c:v>14.713874597737743</c:v>
                </c:pt>
                <c:pt idx="61">
                  <c:v>14.96097321230215</c:v>
                </c:pt>
                <c:pt idx="62">
                  <c:v>15.208268245243923</c:v>
                </c:pt>
                <c:pt idx="63">
                  <c:v>15.455767299986846</c:v>
                </c:pt>
                <c:pt idx="64">
                  <c:v>15.703477778621689</c:v>
                </c:pt>
                <c:pt idx="65">
                  <c:v>15.951406874601675</c:v>
                </c:pt>
                <c:pt idx="66">
                  <c:v>16.199561565643826</c:v>
                </c:pt>
                <c:pt idx="67">
                  <c:v>16.447948606843202</c:v>
                </c:pt>
                <c:pt idx="68">
                  <c:v>16.696574524006838</c:v>
                </c:pt>
                <c:pt idx="69">
                  <c:v>16.945445607213934</c:v>
                </c:pt>
                <c:pt idx="70">
                  <c:v>17.194567904608675</c:v>
                </c:pt>
                <c:pt idx="71">
                  <c:v>17.443947216431795</c:v>
                </c:pt>
                <c:pt idx="72">
                  <c:v>17.693589089296776</c:v>
                </c:pt>
                <c:pt idx="73">
                  <c:v>17.943498810716328</c:v>
                </c:pt>
                <c:pt idx="74">
                  <c:v>18.193681403884575</c:v>
                </c:pt>
                <c:pt idx="75">
                  <c:v>18.444141622720046</c:v>
                </c:pt>
                <c:pt idx="76">
                  <c:v>18.694883947174418</c:v>
                </c:pt>
                <c:pt idx="77">
                  <c:v>18.945912578811598</c:v>
                </c:pt>
                <c:pt idx="78">
                  <c:v>19.197231436661532</c:v>
                </c:pt>
                <c:pt idx="79">
                  <c:v>19.448844153352834</c:v>
                </c:pt>
                <c:pt idx="80">
                  <c:v>19.700754071528017</c:v>
                </c:pt>
                <c:pt idx="81">
                  <c:v>19.952964240544912</c:v>
                </c:pt>
                <c:pt idx="82">
                  <c:v>20.205477413467499</c:v>
                </c:pt>
                <c:pt idx="83">
                  <c:v>20.458296044349112</c:v>
                </c:pt>
                <c:pt idx="84">
                  <c:v>20.711422285810748</c:v>
                </c:pt>
                <c:pt idx="85">
                  <c:v>20.964857986916797</c:v>
                </c:pt>
                <c:pt idx="86">
                  <c:v>21.218604691350357</c:v>
                </c:pt>
                <c:pt idx="87">
                  <c:v>21.472663635889894</c:v>
                </c:pt>
                <c:pt idx="88">
                  <c:v>21.727035749188754</c:v>
                </c:pt>
                <c:pt idx="89">
                  <c:v>21.981721650858759</c:v>
                </c:pt>
                <c:pt idx="90">
                  <c:v>22.236721650858758</c:v>
                </c:pt>
                <c:pt idx="91">
                  <c:v>22.492035749188751</c:v>
                </c:pt>
                <c:pt idx="92">
                  <c:v>22.747663635889893</c:v>
                </c:pt>
                <c:pt idx="93">
                  <c:v>23.003604691350358</c:v>
                </c:pt>
                <c:pt idx="94">
                  <c:v>23.259857986916796</c:v>
                </c:pt>
                <c:pt idx="95">
                  <c:v>23.516422285810744</c:v>
                </c:pt>
                <c:pt idx="96">
                  <c:v>23.773296044349109</c:v>
                </c:pt>
                <c:pt idx="97">
                  <c:v>24.030477413467494</c:v>
                </c:pt>
                <c:pt idx="98">
                  <c:v>24.287964240544909</c:v>
                </c:pt>
                <c:pt idx="99">
                  <c:v>24.545754071528012</c:v>
                </c:pt>
                <c:pt idx="100">
                  <c:v>24.803844153352831</c:v>
                </c:pt>
                <c:pt idx="101">
                  <c:v>25.062231436661527</c:v>
                </c:pt>
                <c:pt idx="102">
                  <c:v>25.320912578811591</c:v>
                </c:pt>
                <c:pt idx="103">
                  <c:v>25.579883947174412</c:v>
                </c:pt>
                <c:pt idx="104">
                  <c:v>25.839141622720039</c:v>
                </c:pt>
                <c:pt idx="105">
                  <c:v>26.098681403884566</c:v>
                </c:pt>
                <c:pt idx="106">
                  <c:v>26.35849881071632</c:v>
                </c:pt>
                <c:pt idx="107">
                  <c:v>26.618589089296766</c:v>
                </c:pt>
                <c:pt idx="108">
                  <c:v>26.878947216431786</c:v>
                </c:pt>
                <c:pt idx="109">
                  <c:v>27.139567904608668</c:v>
                </c:pt>
                <c:pt idx="110">
                  <c:v>27.400445607213925</c:v>
                </c:pt>
                <c:pt idx="111">
                  <c:v>27.661574524006827</c:v>
                </c:pt>
                <c:pt idx="112">
                  <c:v>27.922948606843189</c:v>
                </c:pt>
                <c:pt idx="113">
                  <c:v>28.184561565643811</c:v>
                </c:pt>
                <c:pt idx="114">
                  <c:v>28.44640687460166</c:v>
                </c:pt>
                <c:pt idx="115">
                  <c:v>28.708477778621674</c:v>
                </c:pt>
                <c:pt idx="116">
                  <c:v>28.970767299986832</c:v>
                </c:pt>
                <c:pt idx="117">
                  <c:v>29.233268245243909</c:v>
                </c:pt>
                <c:pt idx="118">
                  <c:v>29.495973212302136</c:v>
                </c:pt>
                <c:pt idx="119">
                  <c:v>29.75887459773773</c:v>
                </c:pt>
                <c:pt idx="120">
                  <c:v>30.021964604297114</c:v>
                </c:pt>
                <c:pt idx="121">
                  <c:v>30.285235248591416</c:v>
                </c:pt>
                <c:pt idx="122">
                  <c:v>30.548678368974642</c:v>
                </c:pt>
                <c:pt idx="123">
                  <c:v>30.81228563359776</c:v>
                </c:pt>
                <c:pt idx="124">
                  <c:v>31.076048548630745</c:v>
                </c:pt>
                <c:pt idx="125">
                  <c:v>31.339958466644468</c:v>
                </c:pt>
                <c:pt idx="126">
                  <c:v>31.604006595144167</c:v>
                </c:pt>
                <c:pt idx="127">
                  <c:v>31.868184005246057</c:v>
                </c:pt>
                <c:pt idx="128">
                  <c:v>32.132481640488542</c:v>
                </c:pt>
                <c:pt idx="129">
                  <c:v>32.396890325769334</c:v>
                </c:pt>
                <c:pt idx="130">
                  <c:v>32.661400776399617</c:v>
                </c:pt>
                <c:pt idx="131">
                  <c:v>32.926003607266395</c:v>
                </c:pt>
                <c:pt idx="132">
                  <c:v>33.190689342093904</c:v>
                </c:pt>
                <c:pt idx="133">
                  <c:v>33.455448422795001</c:v>
                </c:pt>
                <c:pt idx="134">
                  <c:v>33.720271218903299</c:v>
                </c:pt>
                <c:pt idx="135">
                  <c:v>33.985148037076698</c:v>
                </c:pt>
                <c:pt idx="136">
                  <c:v>34.250069130662993</c:v>
                </c:pt>
                <c:pt idx="137">
                  <c:v>34.515024709318062</c:v>
                </c:pt>
                <c:pt idx="138">
                  <c:v>34.780004948667191</c:v>
                </c:pt>
                <c:pt idx="139">
                  <c:v>35.04499999999998</c:v>
                </c:pt>
                <c:pt idx="140">
                  <c:v>35.309999999989252</c:v>
                </c:pt>
                <c:pt idx="141">
                  <c:v>35.574999999989252</c:v>
                </c:pt>
                <c:pt idx="142">
                  <c:v>35.839999999989253</c:v>
                </c:pt>
                <c:pt idx="143">
                  <c:v>36.104999999989253</c:v>
                </c:pt>
                <c:pt idx="144">
                  <c:v>36.369999999989254</c:v>
                </c:pt>
                <c:pt idx="145">
                  <c:v>36.634999999989255</c:v>
                </c:pt>
                <c:pt idx="146">
                  <c:v>36.899999999989255</c:v>
                </c:pt>
                <c:pt idx="147">
                  <c:v>37.164999999989298</c:v>
                </c:pt>
                <c:pt idx="148">
                  <c:v>37.429999999989256</c:v>
                </c:pt>
                <c:pt idx="149">
                  <c:v>37.694999999989257</c:v>
                </c:pt>
                <c:pt idx="150">
                  <c:v>37.959999999989257</c:v>
                </c:pt>
                <c:pt idx="151">
                  <c:v>38.224999999989258</c:v>
                </c:pt>
                <c:pt idx="152">
                  <c:v>38.489999999989259</c:v>
                </c:pt>
                <c:pt idx="153">
                  <c:v>38.754999999989259</c:v>
                </c:pt>
                <c:pt idx="154">
                  <c:v>39.01999999998926</c:v>
                </c:pt>
                <c:pt idx="155">
                  <c:v>39.28499999998926</c:v>
                </c:pt>
                <c:pt idx="156">
                  <c:v>39.549999999989261</c:v>
                </c:pt>
                <c:pt idx="157">
                  <c:v>39.814999999989261</c:v>
                </c:pt>
                <c:pt idx="158">
                  <c:v>40.079999999989262</c:v>
                </c:pt>
                <c:pt idx="159">
                  <c:v>40.344999999989263</c:v>
                </c:pt>
              </c:numCache>
            </c:numRef>
          </c:yVal>
          <c:smooth val="0"/>
          <c:extLst>
            <c:ext xmlns:c16="http://schemas.microsoft.com/office/drawing/2014/chart" uri="{C3380CC4-5D6E-409C-BE32-E72D297353CC}">
              <c16:uniqueId val="{00000001-5FC1-4A10-A9B6-AD8CA135DB8C}"/>
            </c:ext>
          </c:extLst>
        </c:ser>
        <c:ser>
          <c:idx val="3"/>
          <c:order val="3"/>
          <c:tx>
            <c:v>WheelAng_LuT</c:v>
          </c:tx>
          <c:spPr>
            <a:ln w="19050" cap="rnd">
              <a:solidFill>
                <a:srgbClr val="00B0F0"/>
              </a:solidFill>
              <a:prstDash val="sysDot"/>
              <a:round/>
            </a:ln>
            <a:effectLst/>
          </c:spPr>
          <c:marker>
            <c:symbol val="none"/>
          </c:marker>
          <c:xVal>
            <c:numRef>
              <c:f>RackWheelConverter!$F$17:$F$26</c:f>
              <c:numCache>
                <c:formatCode>0.00</c:formatCode>
                <c:ptCount val="10"/>
                <c:pt idx="0">
                  <c:v>0</c:v>
                </c:pt>
                <c:pt idx="1">
                  <c:v>22.5</c:v>
                </c:pt>
                <c:pt idx="2">
                  <c:v>28.5</c:v>
                </c:pt>
                <c:pt idx="3">
                  <c:v>35</c:v>
                </c:pt>
                <c:pt idx="4">
                  <c:v>42</c:v>
                </c:pt>
                <c:pt idx="5">
                  <c:v>49</c:v>
                </c:pt>
                <c:pt idx="6">
                  <c:v>56</c:v>
                </c:pt>
                <c:pt idx="7">
                  <c:v>62.5</c:v>
                </c:pt>
                <c:pt idx="8">
                  <c:v>68.5</c:v>
                </c:pt>
                <c:pt idx="9">
                  <c:v>90.512129380053878</c:v>
                </c:pt>
              </c:numCache>
            </c:numRef>
          </c:xVal>
          <c:yVal>
            <c:numRef>
              <c:f>RackWheelConverter!$G$17:$G$26</c:f>
              <c:numCache>
                <c:formatCode>0.00</c:formatCode>
                <c:ptCount val="10"/>
                <c:pt idx="0">
                  <c:v>0</c:v>
                </c:pt>
                <c:pt idx="1">
                  <c:v>11.025438674473387</c:v>
                </c:pt>
                <c:pt idx="2">
                  <c:v>13.974481665966962</c:v>
                </c:pt>
                <c:pt idx="3">
                  <c:v>17.191500498195907</c:v>
                </c:pt>
                <c:pt idx="4">
                  <c:v>20.707806899346096</c:v>
                </c:pt>
                <c:pt idx="5">
                  <c:v>24.284210901849612</c:v>
                </c:pt>
                <c:pt idx="6">
                  <c:v>27.919818058107978</c:v>
                </c:pt>
                <c:pt idx="7">
                  <c:v>31.340850271070153</c:v>
                </c:pt>
                <c:pt idx="8">
                  <c:v>34.515454588852002</c:v>
                </c:pt>
                <c:pt idx="9">
                  <c:v>46.181428571417833</c:v>
                </c:pt>
              </c:numCache>
            </c:numRef>
          </c:yVal>
          <c:smooth val="0"/>
          <c:extLst>
            <c:ext xmlns:c16="http://schemas.microsoft.com/office/drawing/2014/chart" uri="{C3380CC4-5D6E-409C-BE32-E72D297353CC}">
              <c16:uniqueId val="{00000004-5FC1-4A10-A9B6-AD8CA135DB8C}"/>
            </c:ext>
          </c:extLst>
        </c:ser>
        <c:dLbls>
          <c:showLegendKey val="0"/>
          <c:showVal val="0"/>
          <c:showCatName val="0"/>
          <c:showSerName val="0"/>
          <c:showPercent val="0"/>
          <c:showBubbleSize val="0"/>
        </c:dLbls>
        <c:axId val="219826976"/>
        <c:axId val="219827368"/>
      </c:scatterChart>
      <c:scatterChart>
        <c:scatterStyle val="lineMarker"/>
        <c:varyColors val="0"/>
        <c:ser>
          <c:idx val="1"/>
          <c:order val="0"/>
          <c:tx>
            <c:v>Ratio</c:v>
          </c:tx>
          <c:spPr>
            <a:ln w="12700" cap="rnd">
              <a:solidFill>
                <a:srgbClr val="00B050"/>
              </a:solidFill>
              <a:round/>
            </a:ln>
            <a:effectLst/>
          </c:spPr>
          <c:marker>
            <c:symbol val="circle"/>
            <c:size val="5"/>
            <c:spPr>
              <a:noFill/>
              <a:ln w="9525">
                <a:noFill/>
              </a:ln>
              <a:effectLst/>
            </c:spPr>
          </c:marker>
          <c:xVal>
            <c:numRef>
              <c:f>RackWheelConverter!RackPos4DiagramRW</c:f>
              <c:numCache>
                <c:formatCode>0.00</c:formatCode>
                <c:ptCount val="16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pt idx="31">
                  <c:v>15.5</c:v>
                </c:pt>
                <c:pt idx="32">
                  <c:v>16</c:v>
                </c:pt>
                <c:pt idx="33">
                  <c:v>16.5</c:v>
                </c:pt>
                <c:pt idx="34">
                  <c:v>17</c:v>
                </c:pt>
                <c:pt idx="35">
                  <c:v>17.5</c:v>
                </c:pt>
                <c:pt idx="36">
                  <c:v>18</c:v>
                </c:pt>
                <c:pt idx="37">
                  <c:v>18.5</c:v>
                </c:pt>
                <c:pt idx="38">
                  <c:v>19</c:v>
                </c:pt>
                <c:pt idx="39">
                  <c:v>19.5</c:v>
                </c:pt>
                <c:pt idx="40">
                  <c:v>20</c:v>
                </c:pt>
                <c:pt idx="41">
                  <c:v>20.5</c:v>
                </c:pt>
                <c:pt idx="42">
                  <c:v>21</c:v>
                </c:pt>
                <c:pt idx="43">
                  <c:v>21.5</c:v>
                </c:pt>
                <c:pt idx="44">
                  <c:v>22</c:v>
                </c:pt>
                <c:pt idx="45">
                  <c:v>22.5</c:v>
                </c:pt>
                <c:pt idx="46">
                  <c:v>23</c:v>
                </c:pt>
                <c:pt idx="47">
                  <c:v>23.5</c:v>
                </c:pt>
                <c:pt idx="48">
                  <c:v>24</c:v>
                </c:pt>
                <c:pt idx="49">
                  <c:v>24.5</c:v>
                </c:pt>
                <c:pt idx="50">
                  <c:v>25</c:v>
                </c:pt>
                <c:pt idx="51">
                  <c:v>25.5</c:v>
                </c:pt>
                <c:pt idx="52">
                  <c:v>26</c:v>
                </c:pt>
                <c:pt idx="53">
                  <c:v>26.5</c:v>
                </c:pt>
                <c:pt idx="54">
                  <c:v>27</c:v>
                </c:pt>
                <c:pt idx="55">
                  <c:v>27.5</c:v>
                </c:pt>
                <c:pt idx="56">
                  <c:v>28</c:v>
                </c:pt>
                <c:pt idx="57">
                  <c:v>28.5</c:v>
                </c:pt>
                <c:pt idx="58">
                  <c:v>29</c:v>
                </c:pt>
                <c:pt idx="59">
                  <c:v>29.5</c:v>
                </c:pt>
                <c:pt idx="60">
                  <c:v>30</c:v>
                </c:pt>
                <c:pt idx="61">
                  <c:v>30.5</c:v>
                </c:pt>
                <c:pt idx="62">
                  <c:v>31</c:v>
                </c:pt>
                <c:pt idx="63">
                  <c:v>31.5</c:v>
                </c:pt>
                <c:pt idx="64">
                  <c:v>32</c:v>
                </c:pt>
                <c:pt idx="65">
                  <c:v>32.5</c:v>
                </c:pt>
                <c:pt idx="66">
                  <c:v>33</c:v>
                </c:pt>
                <c:pt idx="67">
                  <c:v>33.5</c:v>
                </c:pt>
                <c:pt idx="68">
                  <c:v>34</c:v>
                </c:pt>
                <c:pt idx="69">
                  <c:v>34.5</c:v>
                </c:pt>
                <c:pt idx="70">
                  <c:v>35</c:v>
                </c:pt>
                <c:pt idx="71">
                  <c:v>35.5</c:v>
                </c:pt>
                <c:pt idx="72">
                  <c:v>36</c:v>
                </c:pt>
                <c:pt idx="73">
                  <c:v>36.5</c:v>
                </c:pt>
                <c:pt idx="74">
                  <c:v>37</c:v>
                </c:pt>
                <c:pt idx="75">
                  <c:v>37.5</c:v>
                </c:pt>
                <c:pt idx="76">
                  <c:v>38</c:v>
                </c:pt>
                <c:pt idx="77">
                  <c:v>38.5</c:v>
                </c:pt>
                <c:pt idx="78">
                  <c:v>39</c:v>
                </c:pt>
                <c:pt idx="79">
                  <c:v>39.5</c:v>
                </c:pt>
                <c:pt idx="80">
                  <c:v>40</c:v>
                </c:pt>
                <c:pt idx="81">
                  <c:v>40.5</c:v>
                </c:pt>
                <c:pt idx="82">
                  <c:v>41</c:v>
                </c:pt>
                <c:pt idx="83">
                  <c:v>41.5</c:v>
                </c:pt>
                <c:pt idx="84">
                  <c:v>42</c:v>
                </c:pt>
                <c:pt idx="85">
                  <c:v>42.5</c:v>
                </c:pt>
                <c:pt idx="86">
                  <c:v>43</c:v>
                </c:pt>
                <c:pt idx="87">
                  <c:v>43.5</c:v>
                </c:pt>
                <c:pt idx="88">
                  <c:v>44</c:v>
                </c:pt>
                <c:pt idx="89">
                  <c:v>44.5</c:v>
                </c:pt>
                <c:pt idx="90">
                  <c:v>45</c:v>
                </c:pt>
                <c:pt idx="91">
                  <c:v>45.5</c:v>
                </c:pt>
                <c:pt idx="92">
                  <c:v>46</c:v>
                </c:pt>
                <c:pt idx="93">
                  <c:v>46.5</c:v>
                </c:pt>
                <c:pt idx="94">
                  <c:v>47</c:v>
                </c:pt>
                <c:pt idx="95">
                  <c:v>47.5</c:v>
                </c:pt>
                <c:pt idx="96">
                  <c:v>48</c:v>
                </c:pt>
                <c:pt idx="97">
                  <c:v>48.5</c:v>
                </c:pt>
                <c:pt idx="98">
                  <c:v>49</c:v>
                </c:pt>
                <c:pt idx="99">
                  <c:v>49.5</c:v>
                </c:pt>
                <c:pt idx="100">
                  <c:v>50</c:v>
                </c:pt>
                <c:pt idx="101">
                  <c:v>50.5</c:v>
                </c:pt>
                <c:pt idx="102">
                  <c:v>51</c:v>
                </c:pt>
                <c:pt idx="103">
                  <c:v>51.5</c:v>
                </c:pt>
                <c:pt idx="104">
                  <c:v>52</c:v>
                </c:pt>
                <c:pt idx="105">
                  <c:v>52.5</c:v>
                </c:pt>
                <c:pt idx="106">
                  <c:v>53</c:v>
                </c:pt>
                <c:pt idx="107">
                  <c:v>53.5</c:v>
                </c:pt>
                <c:pt idx="108">
                  <c:v>54</c:v>
                </c:pt>
                <c:pt idx="109">
                  <c:v>54.5</c:v>
                </c:pt>
                <c:pt idx="110">
                  <c:v>55</c:v>
                </c:pt>
                <c:pt idx="111">
                  <c:v>55.5</c:v>
                </c:pt>
                <c:pt idx="112">
                  <c:v>56</c:v>
                </c:pt>
                <c:pt idx="113">
                  <c:v>56.5</c:v>
                </c:pt>
                <c:pt idx="114">
                  <c:v>57</c:v>
                </c:pt>
                <c:pt idx="115">
                  <c:v>57.5</c:v>
                </c:pt>
                <c:pt idx="116">
                  <c:v>58</c:v>
                </c:pt>
                <c:pt idx="117">
                  <c:v>58.5</c:v>
                </c:pt>
                <c:pt idx="118">
                  <c:v>59</c:v>
                </c:pt>
                <c:pt idx="119">
                  <c:v>59.5</c:v>
                </c:pt>
                <c:pt idx="120">
                  <c:v>60</c:v>
                </c:pt>
                <c:pt idx="121">
                  <c:v>60.5</c:v>
                </c:pt>
                <c:pt idx="122">
                  <c:v>61</c:v>
                </c:pt>
                <c:pt idx="123">
                  <c:v>61.5</c:v>
                </c:pt>
                <c:pt idx="124">
                  <c:v>62</c:v>
                </c:pt>
                <c:pt idx="125">
                  <c:v>62.5</c:v>
                </c:pt>
                <c:pt idx="126">
                  <c:v>63</c:v>
                </c:pt>
                <c:pt idx="127">
                  <c:v>63.5</c:v>
                </c:pt>
                <c:pt idx="128">
                  <c:v>64</c:v>
                </c:pt>
                <c:pt idx="129">
                  <c:v>64.5</c:v>
                </c:pt>
                <c:pt idx="130">
                  <c:v>65</c:v>
                </c:pt>
                <c:pt idx="131">
                  <c:v>65.5</c:v>
                </c:pt>
                <c:pt idx="132">
                  <c:v>66</c:v>
                </c:pt>
                <c:pt idx="133">
                  <c:v>66.5</c:v>
                </c:pt>
                <c:pt idx="134">
                  <c:v>67</c:v>
                </c:pt>
                <c:pt idx="135">
                  <c:v>67.5</c:v>
                </c:pt>
                <c:pt idx="136">
                  <c:v>68</c:v>
                </c:pt>
                <c:pt idx="137">
                  <c:v>68.5</c:v>
                </c:pt>
                <c:pt idx="138">
                  <c:v>69</c:v>
                </c:pt>
                <c:pt idx="139">
                  <c:v>69.5</c:v>
                </c:pt>
                <c:pt idx="140">
                  <c:v>70</c:v>
                </c:pt>
                <c:pt idx="141">
                  <c:v>70.5</c:v>
                </c:pt>
                <c:pt idx="142">
                  <c:v>71</c:v>
                </c:pt>
                <c:pt idx="143">
                  <c:v>71.5</c:v>
                </c:pt>
                <c:pt idx="144">
                  <c:v>72</c:v>
                </c:pt>
                <c:pt idx="145">
                  <c:v>72.5</c:v>
                </c:pt>
                <c:pt idx="146">
                  <c:v>73</c:v>
                </c:pt>
                <c:pt idx="147">
                  <c:v>73.5</c:v>
                </c:pt>
                <c:pt idx="148">
                  <c:v>74</c:v>
                </c:pt>
                <c:pt idx="149">
                  <c:v>74.5</c:v>
                </c:pt>
                <c:pt idx="150">
                  <c:v>75</c:v>
                </c:pt>
                <c:pt idx="151">
                  <c:v>75.5</c:v>
                </c:pt>
                <c:pt idx="152">
                  <c:v>76</c:v>
                </c:pt>
                <c:pt idx="153">
                  <c:v>76.5</c:v>
                </c:pt>
                <c:pt idx="154">
                  <c:v>77</c:v>
                </c:pt>
                <c:pt idx="155">
                  <c:v>77.5</c:v>
                </c:pt>
                <c:pt idx="156">
                  <c:v>78</c:v>
                </c:pt>
                <c:pt idx="157">
                  <c:v>78.5</c:v>
                </c:pt>
                <c:pt idx="158">
                  <c:v>79</c:v>
                </c:pt>
                <c:pt idx="159">
                  <c:v>79.5</c:v>
                </c:pt>
                <c:pt idx="160">
                  <c:v>80</c:v>
                </c:pt>
              </c:numCache>
            </c:numRef>
          </c:xVal>
          <c:yVal>
            <c:numRef>
              <c:f>RackWheelConverter!Ratio4DiagramRW</c:f>
              <c:numCache>
                <c:formatCode>0.000</c:formatCode>
                <c:ptCount val="160"/>
                <c:pt idx="0">
                  <c:v>0.49</c:v>
                </c:pt>
                <c:pt idx="1">
                  <c:v>0.49</c:v>
                </c:pt>
                <c:pt idx="2">
                  <c:v>0.49</c:v>
                </c:pt>
                <c:pt idx="3">
                  <c:v>0.49</c:v>
                </c:pt>
                <c:pt idx="4">
                  <c:v>0.49</c:v>
                </c:pt>
                <c:pt idx="5">
                  <c:v>0.49000000000000021</c:v>
                </c:pt>
                <c:pt idx="6">
                  <c:v>0.49000000000000021</c:v>
                </c:pt>
                <c:pt idx="7">
                  <c:v>0.49000000000000021</c:v>
                </c:pt>
                <c:pt idx="8">
                  <c:v>0.49000000000000021</c:v>
                </c:pt>
                <c:pt idx="9">
                  <c:v>0.49000000000000021</c:v>
                </c:pt>
                <c:pt idx="10">
                  <c:v>0.49000000000000021</c:v>
                </c:pt>
                <c:pt idx="11">
                  <c:v>0.49000000000000021</c:v>
                </c:pt>
                <c:pt idx="12">
                  <c:v>0.49000000000000021</c:v>
                </c:pt>
                <c:pt idx="13">
                  <c:v>0.49000000000000021</c:v>
                </c:pt>
                <c:pt idx="14">
                  <c:v>0.49000000000000021</c:v>
                </c:pt>
                <c:pt idx="15">
                  <c:v>0.49000000000000021</c:v>
                </c:pt>
                <c:pt idx="16">
                  <c:v>0.49000000000000021</c:v>
                </c:pt>
                <c:pt idx="17">
                  <c:v>0.48999999999999755</c:v>
                </c:pt>
                <c:pt idx="18">
                  <c:v>0.49000000000000199</c:v>
                </c:pt>
                <c:pt idx="19">
                  <c:v>0.49000000000000021</c:v>
                </c:pt>
                <c:pt idx="20">
                  <c:v>0.49000000000000021</c:v>
                </c:pt>
                <c:pt idx="21">
                  <c:v>0.49000000000000021</c:v>
                </c:pt>
                <c:pt idx="22">
                  <c:v>0.49000000000000021</c:v>
                </c:pt>
                <c:pt idx="23">
                  <c:v>0.49000000000000021</c:v>
                </c:pt>
                <c:pt idx="24">
                  <c:v>0.49000000000000021</c:v>
                </c:pt>
                <c:pt idx="25">
                  <c:v>0.49000000000000021</c:v>
                </c:pt>
                <c:pt idx="26">
                  <c:v>0.49000000000000021</c:v>
                </c:pt>
                <c:pt idx="27">
                  <c:v>0.49000000000000021</c:v>
                </c:pt>
                <c:pt idx="28">
                  <c:v>0.49000000000000021</c:v>
                </c:pt>
                <c:pt idx="29">
                  <c:v>0.49000000000000021</c:v>
                </c:pt>
                <c:pt idx="30">
                  <c:v>0.49000000000000021</c:v>
                </c:pt>
                <c:pt idx="31">
                  <c:v>0.49000000000000021</c:v>
                </c:pt>
                <c:pt idx="32">
                  <c:v>0.49000000000000021</c:v>
                </c:pt>
                <c:pt idx="33">
                  <c:v>0.49000000000000021</c:v>
                </c:pt>
                <c:pt idx="34">
                  <c:v>0.48999999999999844</c:v>
                </c:pt>
                <c:pt idx="35">
                  <c:v>0.48999999999999844</c:v>
                </c:pt>
                <c:pt idx="36">
                  <c:v>0.48999999999999844</c:v>
                </c:pt>
                <c:pt idx="37">
                  <c:v>0.48999999999999844</c:v>
                </c:pt>
                <c:pt idx="38">
                  <c:v>0.48999999999999844</c:v>
                </c:pt>
                <c:pt idx="39">
                  <c:v>0.48999999999999844</c:v>
                </c:pt>
                <c:pt idx="40">
                  <c:v>0.48999999999999844</c:v>
                </c:pt>
                <c:pt idx="41">
                  <c:v>0.49000989733442069</c:v>
                </c:pt>
                <c:pt idx="42">
                  <c:v>0.490039521301739</c:v>
                </c:pt>
                <c:pt idx="43">
                  <c:v>0.49008884268986463</c:v>
                </c:pt>
                <c:pt idx="44">
                  <c:v>0.49015781282741244</c:v>
                </c:pt>
                <c:pt idx="45">
                  <c:v>0.49024636365319907</c:v>
                </c:pt>
                <c:pt idx="46">
                  <c:v>0.49035440778340345</c:v>
                </c:pt>
                <c:pt idx="47">
                  <c:v>0.49048183859780536</c:v>
                </c:pt>
                <c:pt idx="48">
                  <c:v>0.49062853034498488</c:v>
                </c:pt>
                <c:pt idx="49">
                  <c:v>0.49079433826644348</c:v>
                </c:pt>
                <c:pt idx="50">
                  <c:v>0.49097909873943024</c:v>
                </c:pt>
                <c:pt idx="51">
                  <c:v>0.49118262943841984</c:v>
                </c:pt>
                <c:pt idx="52">
                  <c:v>0.49140472951502545</c:v>
                </c:pt>
                <c:pt idx="53">
                  <c:v>0.49164517979622246</c:v>
                </c:pt>
                <c:pt idx="54">
                  <c:v>0.49190374300060213</c:v>
                </c:pt>
                <c:pt idx="55">
                  <c:v>0.49218016397254871</c:v>
                </c:pt>
                <c:pt idx="56">
                  <c:v>0.49247416993402737</c:v>
                </c:pt>
                <c:pt idx="57">
                  <c:v>0.49278547075376267</c:v>
                </c:pt>
                <c:pt idx="58">
                  <c:v>0.49311375923354817</c:v>
                </c:pt>
                <c:pt idx="59">
                  <c:v>0.49345871141139597</c:v>
                </c:pt>
                <c:pt idx="60">
                  <c:v>0.49381998688123474</c:v>
                </c:pt>
                <c:pt idx="61">
                  <c:v>0.49419722912881525</c:v>
                </c:pt>
                <c:pt idx="62">
                  <c:v>0.49459006588354626</c:v>
                </c:pt>
                <c:pt idx="63">
                  <c:v>0.49499810948584511</c:v>
                </c:pt>
                <c:pt idx="64">
                  <c:v>0.49542095726968682</c:v>
                </c:pt>
                <c:pt idx="65">
                  <c:v>0.49585819195997161</c:v>
                </c:pt>
                <c:pt idx="66">
                  <c:v>0.49630938208430209</c:v>
                </c:pt>
                <c:pt idx="67">
                  <c:v>0.4967740823987512</c:v>
                </c:pt>
                <c:pt idx="68">
                  <c:v>0.49725183432727249</c:v>
                </c:pt>
                <c:pt idx="69">
                  <c:v>0.49774216641419144</c:v>
                </c:pt>
                <c:pt idx="70">
                  <c:v>0.49824459478948313</c:v>
                </c:pt>
                <c:pt idx="71">
                  <c:v>0.49875862364623913</c:v>
                </c:pt>
                <c:pt idx="72">
                  <c:v>0.49928374572996148</c:v>
                </c:pt>
                <c:pt idx="73">
                  <c:v>0.49981944283910451</c:v>
                </c:pt>
                <c:pt idx="74">
                  <c:v>0.50036518633649507</c:v>
                </c:pt>
                <c:pt idx="75">
                  <c:v>0.50092043767094196</c:v>
                </c:pt>
                <c:pt idx="76">
                  <c:v>0.50148464890874322</c:v>
                </c:pt>
                <c:pt idx="77">
                  <c:v>0.5020572632743594</c:v>
                </c:pt>
                <c:pt idx="78">
                  <c:v>0.50263771569986915</c:v>
                </c:pt>
                <c:pt idx="79">
                  <c:v>0.50322543338260317</c:v>
                </c:pt>
                <c:pt idx="80">
                  <c:v>0.50381983635036676</c:v>
                </c:pt>
                <c:pt idx="81">
                  <c:v>0.50442033803378905</c:v>
                </c:pt>
                <c:pt idx="82">
                  <c:v>0.50502634584517381</c:v>
                </c:pt>
                <c:pt idx="83">
                  <c:v>0.50563726176322632</c:v>
                </c:pt>
                <c:pt idx="84">
                  <c:v>0.50625248292327285</c:v>
                </c:pt>
                <c:pt idx="85">
                  <c:v>0.50687140221209859</c:v>
                </c:pt>
                <c:pt idx="86">
                  <c:v>0.50749340886711991</c:v>
                </c:pt>
                <c:pt idx="87">
                  <c:v>0.50811788907907385</c:v>
                </c:pt>
                <c:pt idx="88">
                  <c:v>0.50874422659772023</c:v>
                </c:pt>
                <c:pt idx="89">
                  <c:v>0.50937180334000942</c:v>
                </c:pt>
                <c:pt idx="90">
                  <c:v>0.50999999999999801</c:v>
                </c:pt>
                <c:pt idx="91">
                  <c:v>0.5106281966599866</c:v>
                </c:pt>
                <c:pt idx="92">
                  <c:v>0.5112557734022829</c:v>
                </c:pt>
                <c:pt idx="93">
                  <c:v>0.51188211092092928</c:v>
                </c:pt>
                <c:pt idx="94">
                  <c:v>0.51250659113287611</c:v>
                </c:pt>
                <c:pt idx="95">
                  <c:v>0.51312859778789743</c:v>
                </c:pt>
                <c:pt idx="96">
                  <c:v>0.51374751707673028</c:v>
                </c:pt>
                <c:pt idx="97">
                  <c:v>0.5143627382367697</c:v>
                </c:pt>
                <c:pt idx="98">
                  <c:v>0.51497365415482932</c:v>
                </c:pt>
                <c:pt idx="99">
                  <c:v>0.51557966196620697</c:v>
                </c:pt>
                <c:pt idx="100">
                  <c:v>0.51618016364963637</c:v>
                </c:pt>
                <c:pt idx="101">
                  <c:v>0.51677456661739285</c:v>
                </c:pt>
                <c:pt idx="102">
                  <c:v>0.51736228430012687</c:v>
                </c:pt>
                <c:pt idx="103">
                  <c:v>0.51794273672564373</c:v>
                </c:pt>
                <c:pt idx="104">
                  <c:v>0.5185153510912528</c:v>
                </c:pt>
                <c:pt idx="105">
                  <c:v>0.51907956232905406</c:v>
                </c:pt>
                <c:pt idx="106">
                  <c:v>0.51963481366350806</c:v>
                </c:pt>
                <c:pt idx="107">
                  <c:v>0.52018055716089151</c:v>
                </c:pt>
                <c:pt idx="108">
                  <c:v>0.52071625427004165</c:v>
                </c:pt>
                <c:pt idx="109">
                  <c:v>0.521241376353764</c:v>
                </c:pt>
                <c:pt idx="110">
                  <c:v>0.52175540521051289</c:v>
                </c:pt>
                <c:pt idx="111">
                  <c:v>0.52225783358580458</c:v>
                </c:pt>
                <c:pt idx="112">
                  <c:v>0.52274816567272353</c:v>
                </c:pt>
                <c:pt idx="113">
                  <c:v>0.52322591760124482</c:v>
                </c:pt>
                <c:pt idx="114">
                  <c:v>0.52369061791569749</c:v>
                </c:pt>
                <c:pt idx="115">
                  <c:v>0.52414180804002797</c:v>
                </c:pt>
                <c:pt idx="116">
                  <c:v>0.5245790427303163</c:v>
                </c:pt>
                <c:pt idx="117">
                  <c:v>0.52500189051415447</c:v>
                </c:pt>
                <c:pt idx="118">
                  <c:v>0.52540993411645331</c:v>
                </c:pt>
                <c:pt idx="119">
                  <c:v>0.52580277087118787</c:v>
                </c:pt>
                <c:pt idx="120">
                  <c:v>0.52618001311876839</c:v>
                </c:pt>
                <c:pt idx="121">
                  <c:v>0.52654128858860361</c:v>
                </c:pt>
                <c:pt idx="122">
                  <c:v>0.52688624076645141</c:v>
                </c:pt>
                <c:pt idx="123">
                  <c:v>0.52721452924623691</c:v>
                </c:pt>
                <c:pt idx="124">
                  <c:v>0.52752583006596865</c:v>
                </c:pt>
                <c:pt idx="125">
                  <c:v>0.52781983602744731</c:v>
                </c:pt>
                <c:pt idx="126">
                  <c:v>0.52809625699939744</c:v>
                </c:pt>
                <c:pt idx="127">
                  <c:v>0.52835482020378066</c:v>
                </c:pt>
                <c:pt idx="128">
                  <c:v>0.52859527048497057</c:v>
                </c:pt>
                <c:pt idx="129">
                  <c:v>0.52881737056158329</c:v>
                </c:pt>
                <c:pt idx="130">
                  <c:v>0.52902090126056578</c:v>
                </c:pt>
                <c:pt idx="131">
                  <c:v>0.5292056617335561</c:v>
                </c:pt>
                <c:pt idx="132">
                  <c:v>0.52937146965501825</c:v>
                </c:pt>
                <c:pt idx="133">
                  <c:v>0.52951816140219421</c:v>
                </c:pt>
                <c:pt idx="134">
                  <c:v>0.52964559221659613</c:v>
                </c:pt>
                <c:pt idx="135">
                  <c:v>0.52975363634679695</c:v>
                </c:pt>
                <c:pt idx="136">
                  <c:v>0.52984218717259068</c:v>
                </c:pt>
                <c:pt idx="137">
                  <c:v>0.52991115731013849</c:v>
                </c:pt>
                <c:pt idx="138">
                  <c:v>0.52996047869825702</c:v>
                </c:pt>
                <c:pt idx="139">
                  <c:v>0.52999010266557889</c:v>
                </c:pt>
                <c:pt idx="140">
                  <c:v>0.52999999997854275</c:v>
                </c:pt>
                <c:pt idx="141">
                  <c:v>0.53000000000000114</c:v>
                </c:pt>
                <c:pt idx="142">
                  <c:v>0.53000000000000114</c:v>
                </c:pt>
                <c:pt idx="143">
                  <c:v>0.53000000000000114</c:v>
                </c:pt>
                <c:pt idx="144">
                  <c:v>0.53000000000000114</c:v>
                </c:pt>
                <c:pt idx="145">
                  <c:v>0.53000000000000114</c:v>
                </c:pt>
                <c:pt idx="146">
                  <c:v>0.53000000000000114</c:v>
                </c:pt>
                <c:pt idx="147">
                  <c:v>0.5300000000000864</c:v>
                </c:pt>
                <c:pt idx="148">
                  <c:v>0.52999999999991587</c:v>
                </c:pt>
                <c:pt idx="149">
                  <c:v>0.53000000000000114</c:v>
                </c:pt>
                <c:pt idx="150">
                  <c:v>0.53000000000000114</c:v>
                </c:pt>
                <c:pt idx="151">
                  <c:v>0.53000000000000114</c:v>
                </c:pt>
                <c:pt idx="152">
                  <c:v>0.53000000000000114</c:v>
                </c:pt>
                <c:pt idx="153">
                  <c:v>0.53000000000000114</c:v>
                </c:pt>
                <c:pt idx="154">
                  <c:v>0.53000000000000114</c:v>
                </c:pt>
                <c:pt idx="155">
                  <c:v>0.53000000000000114</c:v>
                </c:pt>
                <c:pt idx="156">
                  <c:v>0.53000000000000114</c:v>
                </c:pt>
                <c:pt idx="157">
                  <c:v>0.53000000000000114</c:v>
                </c:pt>
                <c:pt idx="158">
                  <c:v>0.53000000000000114</c:v>
                </c:pt>
                <c:pt idx="159">
                  <c:v>0.53000000000000114</c:v>
                </c:pt>
              </c:numCache>
            </c:numRef>
          </c:yVal>
          <c:smooth val="0"/>
          <c:extLst>
            <c:ext xmlns:c16="http://schemas.microsoft.com/office/drawing/2014/chart" uri="{C3380CC4-5D6E-409C-BE32-E72D297353CC}">
              <c16:uniqueId val="{00000001-491E-4AF0-9D15-CD48FCD942CF}"/>
            </c:ext>
          </c:extLst>
        </c:ser>
        <c:ser>
          <c:idx val="0"/>
          <c:order val="2"/>
          <c:tx>
            <c:v>Ratio_LuT</c:v>
          </c:tx>
          <c:spPr>
            <a:ln w="19050" cap="rnd">
              <a:solidFill>
                <a:srgbClr val="92D050"/>
              </a:solidFill>
              <a:prstDash val="sysDot"/>
              <a:round/>
            </a:ln>
            <a:effectLst/>
          </c:spPr>
          <c:marker>
            <c:symbol val="circle"/>
            <c:size val="5"/>
            <c:spPr>
              <a:solidFill>
                <a:schemeClr val="accent1"/>
              </a:solidFill>
              <a:ln w="9525">
                <a:solidFill>
                  <a:srgbClr val="92D050"/>
                </a:solidFill>
              </a:ln>
              <a:effectLst/>
            </c:spPr>
          </c:marker>
          <c:dPt>
            <c:idx val="3"/>
            <c:marker>
              <c:symbol val="circle"/>
              <c:size val="5"/>
              <c:spPr>
                <a:solidFill>
                  <a:schemeClr val="accent1"/>
                </a:solidFill>
                <a:ln w="9525">
                  <a:solidFill>
                    <a:srgbClr val="92D050"/>
                  </a:solidFill>
                </a:ln>
                <a:effectLst/>
              </c:spPr>
            </c:marker>
            <c:bubble3D val="0"/>
            <c:extLst>
              <c:ext xmlns:c16="http://schemas.microsoft.com/office/drawing/2014/chart" uri="{C3380CC4-5D6E-409C-BE32-E72D297353CC}">
                <c16:uniqueId val="{00000005-5FC1-4A10-A9B6-AD8CA135DB8C}"/>
              </c:ext>
            </c:extLst>
          </c:dPt>
          <c:xVal>
            <c:numRef>
              <c:f>RackWheelConverter!$F$17:$F$26</c:f>
              <c:numCache>
                <c:formatCode>0.00</c:formatCode>
                <c:ptCount val="10"/>
                <c:pt idx="0">
                  <c:v>0</c:v>
                </c:pt>
                <c:pt idx="1">
                  <c:v>22.5</c:v>
                </c:pt>
                <c:pt idx="2">
                  <c:v>28.5</c:v>
                </c:pt>
                <c:pt idx="3">
                  <c:v>35</c:v>
                </c:pt>
                <c:pt idx="4">
                  <c:v>42</c:v>
                </c:pt>
                <c:pt idx="5">
                  <c:v>49</c:v>
                </c:pt>
                <c:pt idx="6">
                  <c:v>56</c:v>
                </c:pt>
                <c:pt idx="7">
                  <c:v>62.5</c:v>
                </c:pt>
                <c:pt idx="8">
                  <c:v>68.5</c:v>
                </c:pt>
                <c:pt idx="9">
                  <c:v>90.512129380053878</c:v>
                </c:pt>
              </c:numCache>
            </c:numRef>
          </c:xVal>
          <c:yVal>
            <c:numRef>
              <c:f>RackWheelConverter!$H$17:$H$26</c:f>
              <c:numCache>
                <c:formatCode>0.00</c:formatCode>
                <c:ptCount val="10"/>
                <c:pt idx="0">
                  <c:v>0.49</c:v>
                </c:pt>
                <c:pt idx="1">
                  <c:v>0.49024636365319907</c:v>
                </c:pt>
                <c:pt idx="2">
                  <c:v>0.49278547075376267</c:v>
                </c:pt>
                <c:pt idx="3">
                  <c:v>0.49824459478948313</c:v>
                </c:pt>
                <c:pt idx="4">
                  <c:v>0.50625248292327285</c:v>
                </c:pt>
                <c:pt idx="5">
                  <c:v>0.51497365415482932</c:v>
                </c:pt>
                <c:pt idx="6">
                  <c:v>0.52274816567272353</c:v>
                </c:pt>
                <c:pt idx="7">
                  <c:v>0.52781983602744731</c:v>
                </c:pt>
                <c:pt idx="8">
                  <c:v>0.52991115731013849</c:v>
                </c:pt>
                <c:pt idx="9">
                  <c:v>0.53000000000000136</c:v>
                </c:pt>
              </c:numCache>
            </c:numRef>
          </c:yVal>
          <c:smooth val="0"/>
          <c:extLst>
            <c:ext xmlns:c16="http://schemas.microsoft.com/office/drawing/2014/chart" uri="{C3380CC4-5D6E-409C-BE32-E72D297353CC}">
              <c16:uniqueId val="{00000003-5FC1-4A10-A9B6-AD8CA135DB8C}"/>
            </c:ext>
          </c:extLst>
        </c:ser>
        <c:dLbls>
          <c:showLegendKey val="0"/>
          <c:showVal val="0"/>
          <c:showCatName val="0"/>
          <c:showSerName val="0"/>
          <c:showPercent val="0"/>
          <c:showBubbleSize val="0"/>
        </c:dLbls>
        <c:axId val="354830032"/>
        <c:axId val="591988712"/>
      </c:scatterChart>
      <c:valAx>
        <c:axId val="2198269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de-DE" sz="1200" b="0" i="0" baseline="0">
                    <a:effectLst/>
                  </a:rPr>
                  <a:t>rackposition [mm]</a:t>
                </a:r>
                <a:endParaRPr lang="en-US" sz="12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de-DE"/>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9827368"/>
        <c:crosses val="autoZero"/>
        <c:crossBetween val="midCat"/>
      </c:valAx>
      <c:valAx>
        <c:axId val="2198273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0070C0"/>
                    </a:solidFill>
                    <a:latin typeface="+mn-lt"/>
                    <a:ea typeface="+mn-ea"/>
                    <a:cs typeface="+mn-cs"/>
                  </a:defRPr>
                </a:pPr>
                <a:r>
                  <a:rPr lang="de-DE" sz="1200" b="0" i="0" u="none" strike="noStrike" baseline="0">
                    <a:solidFill>
                      <a:srgbClr val="0070C0"/>
                    </a:solidFill>
                    <a:effectLst/>
                  </a:rPr>
                  <a:t>front wheel angle [°]  (-real, ...LuT)</a:t>
                </a:r>
                <a:endParaRPr lang="de-DE" sz="1200" baseline="0">
                  <a:solidFill>
                    <a:srgbClr val="0070C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0070C0"/>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9826976"/>
        <c:crosses val="autoZero"/>
        <c:crossBetween val="midCat"/>
      </c:valAx>
      <c:valAx>
        <c:axId val="591988712"/>
        <c:scaling>
          <c:orientation val="minMax"/>
        </c:scaling>
        <c:delete val="0"/>
        <c:axPos val="r"/>
        <c:title>
          <c:tx>
            <c:rich>
              <a:bodyPr rot="-5400000" spcFirstLastPara="1" vertOverflow="ellipsis" vert="horz" wrap="square" anchor="ctr" anchorCtr="1"/>
              <a:lstStyle/>
              <a:p>
                <a:pPr>
                  <a:defRPr sz="1200" b="0" i="0" u="none" strike="noStrike" kern="1200" baseline="0">
                    <a:solidFill>
                      <a:srgbClr val="00B050"/>
                    </a:solidFill>
                    <a:latin typeface="+mn-lt"/>
                    <a:ea typeface="+mn-ea"/>
                    <a:cs typeface="+mn-cs"/>
                  </a:defRPr>
                </a:pPr>
                <a:r>
                  <a:rPr lang="en-US" sz="1200" baseline="0">
                    <a:solidFill>
                      <a:srgbClr val="00B050"/>
                    </a:solidFill>
                  </a:rPr>
                  <a:t>ratio (-real, ...LuT)</a:t>
                </a:r>
              </a:p>
            </c:rich>
          </c:tx>
          <c:overlay val="0"/>
          <c:spPr>
            <a:noFill/>
            <a:ln>
              <a:noFill/>
            </a:ln>
            <a:effectLst/>
          </c:spPr>
          <c:txPr>
            <a:bodyPr rot="-5400000" spcFirstLastPara="1" vertOverflow="ellipsis" vert="horz" wrap="square" anchor="ctr" anchorCtr="1"/>
            <a:lstStyle/>
            <a:p>
              <a:pPr>
                <a:defRPr sz="1200" b="0" i="0" u="none" strike="noStrike" kern="1200" baseline="0">
                  <a:solidFill>
                    <a:srgbClr val="00B050"/>
                  </a:solidFill>
                  <a:latin typeface="+mn-lt"/>
                  <a:ea typeface="+mn-ea"/>
                  <a:cs typeface="+mn-cs"/>
                </a:defRPr>
              </a:pPr>
              <a:endParaRPr lang="en-US"/>
            </a:p>
          </c:txPr>
        </c:title>
        <c:numFmt formatCode="0.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830032"/>
        <c:crosses val="max"/>
        <c:crossBetween val="midCat"/>
      </c:valAx>
      <c:valAx>
        <c:axId val="354830032"/>
        <c:scaling>
          <c:orientation val="minMax"/>
        </c:scaling>
        <c:delete val="1"/>
        <c:axPos val="b"/>
        <c:numFmt formatCode="0.00" sourceLinked="1"/>
        <c:majorTickMark val="out"/>
        <c:minorTickMark val="none"/>
        <c:tickLblPos val="nextTo"/>
        <c:crossAx val="591988712"/>
        <c:crosses val="autoZero"/>
        <c:crossBetween val="midCat"/>
      </c:valAx>
      <c:spPr>
        <a:noFill/>
        <a:ln>
          <a:noFill/>
        </a:ln>
        <a:effectLst/>
      </c:spPr>
    </c:plotArea>
    <c:plotVisOnly val="1"/>
    <c:dispBlanksAs val="gap"/>
    <c:showDLblsOverMax val="0"/>
  </c:chart>
  <c:spPr>
    <a:solidFill>
      <a:schemeClr val="bg1">
        <a:lumMod val="95000"/>
      </a:schemeClr>
    </a:solidFill>
    <a:ln w="9525" cap="flat" cmpd="sng" algn="ctr">
      <a:solidFill>
        <a:schemeClr val="tx1"/>
      </a:solidFill>
      <a:round/>
    </a:ln>
    <a:effectLst/>
  </c:spPr>
  <c:txPr>
    <a:bodyPr/>
    <a:lstStyle/>
    <a:p>
      <a:pPr>
        <a:defRPr/>
      </a:pPr>
      <a:endParaRPr lang="en-US"/>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9.emf"/><Relationship Id="rId1" Type="http://schemas.openxmlformats.org/officeDocument/2006/relationships/image" Target="../media/image10.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88900</xdr:colOff>
          <xdr:row>10</xdr:row>
          <xdr:rowOff>19050</xdr:rowOff>
        </xdr:from>
        <xdr:to>
          <xdr:col>0</xdr:col>
          <xdr:colOff>1422400</xdr:colOff>
          <xdr:row>11</xdr:row>
          <xdr:rowOff>50800</xdr:rowOff>
        </xdr:to>
        <xdr:sp macro="" textlink="">
          <xdr:nvSpPr>
            <xdr:cNvPr id="22577" name="OptionButton_APA" hidden="1">
              <a:extLst>
                <a:ext uri="{63B3BB69-23CF-44E3-9099-C40C66FF867C}">
                  <a14:compatExt spid="_x0000_s2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11</xdr:row>
          <xdr:rowOff>57150</xdr:rowOff>
        </xdr:from>
        <xdr:to>
          <xdr:col>0</xdr:col>
          <xdr:colOff>1422400</xdr:colOff>
          <xdr:row>11</xdr:row>
          <xdr:rowOff>292100</xdr:rowOff>
        </xdr:to>
        <xdr:sp macro="" textlink="">
          <xdr:nvSpPr>
            <xdr:cNvPr id="22578" name="OptionButton_DP" hidden="1">
              <a:extLst>
                <a:ext uri="{63B3BB69-23CF-44E3-9099-C40C66FF867C}">
                  <a14:compatExt spid="_x0000_s2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2247900</xdr:colOff>
          <xdr:row>11</xdr:row>
          <xdr:rowOff>12700</xdr:rowOff>
        </xdr:from>
        <xdr:to>
          <xdr:col>0</xdr:col>
          <xdr:colOff>3765550</xdr:colOff>
          <xdr:row>11</xdr:row>
          <xdr:rowOff>222250</xdr:rowOff>
        </xdr:to>
        <xdr:sp macro="" textlink="">
          <xdr:nvSpPr>
            <xdr:cNvPr id="22582" name="OptionButton_iconst" hidden="1">
              <a:extLst>
                <a:ext uri="{63B3BB69-23CF-44E3-9099-C40C66FF867C}">
                  <a14:compatExt spid="_x0000_s22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2247900</xdr:colOff>
          <xdr:row>11</xdr:row>
          <xdr:rowOff>209550</xdr:rowOff>
        </xdr:from>
        <xdr:to>
          <xdr:col>0</xdr:col>
          <xdr:colOff>3765550</xdr:colOff>
          <xdr:row>12</xdr:row>
          <xdr:rowOff>76200</xdr:rowOff>
        </xdr:to>
        <xdr:sp macro="" textlink="">
          <xdr:nvSpPr>
            <xdr:cNvPr id="22583" name="OptionButton_ivar" hidden="1">
              <a:extLst>
                <a:ext uri="{63B3BB69-23CF-44E3-9099-C40C66FF867C}">
                  <a14:compatExt spid="_x0000_s225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5880100</xdr:colOff>
          <xdr:row>11</xdr:row>
          <xdr:rowOff>57150</xdr:rowOff>
        </xdr:from>
        <xdr:to>
          <xdr:col>0</xdr:col>
          <xdr:colOff>7327900</xdr:colOff>
          <xdr:row>11</xdr:row>
          <xdr:rowOff>368300</xdr:rowOff>
        </xdr:to>
        <xdr:sp macro="" textlink="">
          <xdr:nvSpPr>
            <xdr:cNvPr id="22797" name="CmdBtn_GenSysKon" hidden="1">
              <a:extLst>
                <a:ext uri="{63B3BB69-23CF-44E3-9099-C40C66FF867C}">
                  <a14:compatExt spid="_x0000_s227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11</xdr:row>
          <xdr:rowOff>298450</xdr:rowOff>
        </xdr:from>
        <xdr:to>
          <xdr:col>0</xdr:col>
          <xdr:colOff>1422400</xdr:colOff>
          <xdr:row>12</xdr:row>
          <xdr:rowOff>133350</xdr:rowOff>
        </xdr:to>
        <xdr:sp macro="" textlink="">
          <xdr:nvSpPr>
            <xdr:cNvPr id="22807" name="OptionButton_EPScSiPi" hidden="1">
              <a:extLst>
                <a:ext uri="{63B3BB69-23CF-44E3-9099-C40C66FF867C}">
                  <a14:compatExt spid="_x0000_s22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152400</xdr:colOff>
          <xdr:row>47</xdr:row>
          <xdr:rowOff>95250</xdr:rowOff>
        </xdr:from>
        <xdr:to>
          <xdr:col>25</xdr:col>
          <xdr:colOff>412750</xdr:colOff>
          <xdr:row>50</xdr:row>
          <xdr:rowOff>57150</xdr:rowOff>
        </xdr:to>
        <xdr:sp macro="" textlink="">
          <xdr:nvSpPr>
            <xdr:cNvPr id="43032" name="CmdBtn_CalcTable" hidden="1">
              <a:extLst>
                <a:ext uri="{63B3BB69-23CF-44E3-9099-C40C66FF867C}">
                  <a14:compatExt spid="_x0000_s43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23</xdr:col>
      <xdr:colOff>60852</xdr:colOff>
      <xdr:row>103</xdr:row>
      <xdr:rowOff>108743</xdr:rowOff>
    </xdr:from>
    <xdr:to>
      <xdr:col>28</xdr:col>
      <xdr:colOff>1549133</xdr:colOff>
      <xdr:row>136</xdr:row>
      <xdr:rowOff>105834</xdr:rowOff>
    </xdr:to>
    <xdr:graphicFrame macro="">
      <xdr:nvGraphicFramePr>
        <xdr:cNvPr id="3" name="Diagramm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5137150</xdr:colOff>
          <xdr:row>1</xdr:row>
          <xdr:rowOff>127000</xdr:rowOff>
        </xdr:from>
        <xdr:to>
          <xdr:col>0</xdr:col>
          <xdr:colOff>7092950</xdr:colOff>
          <xdr:row>3</xdr:row>
          <xdr:rowOff>44450</xdr:rowOff>
        </xdr:to>
        <xdr:sp macro="" textlink="">
          <xdr:nvSpPr>
            <xdr:cNvPr id="27675" name="Generate_ES_kon" hidden="1">
              <a:extLst>
                <a:ext uri="{63B3BB69-23CF-44E3-9099-C40C66FF867C}">
                  <a14:compatExt spid="_x0000_s27675"/>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622300</xdr:colOff>
          <xdr:row>1</xdr:row>
          <xdr:rowOff>12700</xdr:rowOff>
        </xdr:from>
        <xdr:to>
          <xdr:col>0</xdr:col>
          <xdr:colOff>1828800</xdr:colOff>
          <xdr:row>2</xdr:row>
          <xdr:rowOff>76200</xdr:rowOff>
        </xdr:to>
        <xdr:sp macro="" textlink="">
          <xdr:nvSpPr>
            <xdr:cNvPr id="32785" name="OptionButton_ExtSAS" hidden="1">
              <a:extLst>
                <a:ext uri="{63B3BB69-23CF-44E3-9099-C40C66FF867C}">
                  <a14:compatExt spid="_x0000_s327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622300</xdr:colOff>
          <xdr:row>2</xdr:row>
          <xdr:rowOff>88900</xdr:rowOff>
        </xdr:from>
        <xdr:to>
          <xdr:col>0</xdr:col>
          <xdr:colOff>1828800</xdr:colOff>
          <xdr:row>3</xdr:row>
          <xdr:rowOff>152400</xdr:rowOff>
        </xdr:to>
        <xdr:sp macro="" textlink="">
          <xdr:nvSpPr>
            <xdr:cNvPr id="32786" name="OptionButton_Index" hidden="1">
              <a:extLst>
                <a:ext uri="{63B3BB69-23CF-44E3-9099-C40C66FF867C}">
                  <a14:compatExt spid="_x0000_s327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5486400</xdr:colOff>
          <xdr:row>1</xdr:row>
          <xdr:rowOff>95250</xdr:rowOff>
        </xdr:from>
        <xdr:to>
          <xdr:col>0</xdr:col>
          <xdr:colOff>7239000</xdr:colOff>
          <xdr:row>3</xdr:row>
          <xdr:rowOff>38100</xdr:rowOff>
        </xdr:to>
        <xdr:sp macro="" textlink="">
          <xdr:nvSpPr>
            <xdr:cNvPr id="32829" name="generate_RP_kon" hidden="1">
              <a:extLst>
                <a:ext uri="{63B3BB69-23CF-44E3-9099-C40C66FF867C}">
                  <a14:compatExt spid="_x0000_s328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400050</xdr:colOff>
          <xdr:row>41</xdr:row>
          <xdr:rowOff>107950</xdr:rowOff>
        </xdr:from>
        <xdr:to>
          <xdr:col>8</xdr:col>
          <xdr:colOff>158750</xdr:colOff>
          <xdr:row>44</xdr:row>
          <xdr:rowOff>57150</xdr:rowOff>
        </xdr:to>
        <xdr:sp macro="" textlink="">
          <xdr:nvSpPr>
            <xdr:cNvPr id="56321" name="CmdBtn_CalcRwTable" hidden="1">
              <a:extLst>
                <a:ext uri="{63B3BB69-23CF-44E3-9099-C40C66FF867C}">
                  <a14:compatExt spid="_x0000_s56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25134</xdr:colOff>
      <xdr:row>62</xdr:row>
      <xdr:rowOff>73025</xdr:rowOff>
    </xdr:from>
    <xdr:to>
      <xdr:col>11</xdr:col>
      <xdr:colOff>1513415</xdr:colOff>
      <xdr:row>95</xdr:row>
      <xdr:rowOff>70115</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1695450</xdr:colOff>
          <xdr:row>1</xdr:row>
          <xdr:rowOff>107950</xdr:rowOff>
        </xdr:from>
        <xdr:to>
          <xdr:col>6</xdr:col>
          <xdr:colOff>1651000</xdr:colOff>
          <xdr:row>3</xdr:row>
          <xdr:rowOff>50800</xdr:rowOff>
        </xdr:to>
        <xdr:sp macro="" textlink="">
          <xdr:nvSpPr>
            <xdr:cNvPr id="56361" name="CmdBtn_RW" hidden="1">
              <a:extLst>
                <a:ext uri="{63B3BB69-23CF-44E3-9099-C40C66FF867C}">
                  <a14:compatExt spid="_x0000_s56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5842000</xdr:colOff>
          <xdr:row>1</xdr:row>
          <xdr:rowOff>95250</xdr:rowOff>
        </xdr:from>
        <xdr:to>
          <xdr:col>0</xdr:col>
          <xdr:colOff>7308850</xdr:colOff>
          <xdr:row>3</xdr:row>
          <xdr:rowOff>76200</xdr:rowOff>
        </xdr:to>
        <xdr:sp macro="" textlink="">
          <xdr:nvSpPr>
            <xdr:cNvPr id="58369" name="CmdBtn_Generate_LoadTracking_kon"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PL-Software\02_User\Biegert_g51885\DIV\EPS\SDK_3\Mechanikdatenblatt\02_AktuelleEntwicklung\MechanicalDataSheet_template_v11_AltC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cription"/>
      <sheetName val="MechanicalData"/>
      <sheetName val="Steering Ratio"/>
      <sheetName val="SW-Endstop"/>
      <sheetName val="Steering Angle"/>
      <sheetName val="SA_Config"/>
      <sheetName val="RackWheelConverter"/>
      <sheetName val="AlterationCalc"/>
      <sheetName val="other tuning"/>
    </sheetNames>
    <sheetDataSet>
      <sheetData sheetId="0" refreshError="1"/>
      <sheetData sheetId="1">
        <row r="12">
          <cell r="B12" t="str">
            <v>DP</v>
          </cell>
        </row>
      </sheetData>
      <sheetData sheetId="2">
        <row r="2">
          <cell r="H2" t="str">
            <v>i-const selected in MechanicalData</v>
          </cell>
        </row>
        <row r="4">
          <cell r="H4" t="str">
            <v>copy; used for calculation</v>
          </cell>
        </row>
        <row r="6">
          <cell r="H6" t="str">
            <v>pinion angle
[°SA]</v>
          </cell>
        </row>
        <row r="7">
          <cell r="H7">
            <v>0</v>
          </cell>
          <cell r="J7">
            <v>0.16666666666666666</v>
          </cell>
          <cell r="K7">
            <v>0</v>
          </cell>
          <cell r="V7">
            <v>26.808510638297872</v>
          </cell>
        </row>
        <row r="8">
          <cell r="H8">
            <v>1</v>
          </cell>
        </row>
        <row r="9">
          <cell r="H9">
            <v>2</v>
          </cell>
        </row>
        <row r="10">
          <cell r="H10">
            <v>3</v>
          </cell>
        </row>
        <row r="11">
          <cell r="H11">
            <v>4</v>
          </cell>
        </row>
        <row r="12">
          <cell r="H12">
            <v>5</v>
          </cell>
        </row>
        <row r="13">
          <cell r="H13">
            <v>6</v>
          </cell>
        </row>
        <row r="14">
          <cell r="H14">
            <v>7</v>
          </cell>
        </row>
        <row r="15">
          <cell r="H15">
            <v>8</v>
          </cell>
        </row>
        <row r="16">
          <cell r="H16">
            <v>9</v>
          </cell>
        </row>
        <row r="17">
          <cell r="H17">
            <v>10</v>
          </cell>
        </row>
        <row r="18">
          <cell r="H18">
            <v>11</v>
          </cell>
        </row>
        <row r="19">
          <cell r="H19">
            <v>12</v>
          </cell>
        </row>
        <row r="20">
          <cell r="H20">
            <v>13</v>
          </cell>
        </row>
        <row r="21">
          <cell r="H21">
            <v>14</v>
          </cell>
        </row>
        <row r="22">
          <cell r="H22">
            <v>15</v>
          </cell>
        </row>
        <row r="23">
          <cell r="H23">
            <v>16</v>
          </cell>
        </row>
        <row r="24">
          <cell r="H24">
            <v>17</v>
          </cell>
        </row>
        <row r="25">
          <cell r="H25">
            <v>18</v>
          </cell>
        </row>
        <row r="26">
          <cell r="H26">
            <v>19</v>
          </cell>
        </row>
        <row r="27">
          <cell r="H27">
            <v>20</v>
          </cell>
        </row>
        <row r="28">
          <cell r="H28">
            <v>21</v>
          </cell>
        </row>
        <row r="29">
          <cell r="H29">
            <v>22</v>
          </cell>
        </row>
        <row r="30">
          <cell r="H30">
            <v>23</v>
          </cell>
        </row>
        <row r="31">
          <cell r="H31">
            <v>24</v>
          </cell>
        </row>
        <row r="32">
          <cell r="H32">
            <v>25</v>
          </cell>
        </row>
        <row r="33">
          <cell r="H33">
            <v>26</v>
          </cell>
        </row>
        <row r="34">
          <cell r="H34">
            <v>27</v>
          </cell>
        </row>
        <row r="35">
          <cell r="H35">
            <v>28</v>
          </cell>
        </row>
        <row r="36">
          <cell r="H36">
            <v>29</v>
          </cell>
        </row>
        <row r="37">
          <cell r="H37">
            <v>30</v>
          </cell>
        </row>
        <row r="38">
          <cell r="H38">
            <v>31</v>
          </cell>
        </row>
        <row r="39">
          <cell r="H39">
            <v>32</v>
          </cell>
        </row>
        <row r="40">
          <cell r="H40">
            <v>33</v>
          </cell>
        </row>
        <row r="41">
          <cell r="H41">
            <v>34</v>
          </cell>
        </row>
        <row r="42">
          <cell r="H42">
            <v>35</v>
          </cell>
        </row>
        <row r="43">
          <cell r="H43">
            <v>36</v>
          </cell>
        </row>
        <row r="44">
          <cell r="H44">
            <v>37</v>
          </cell>
        </row>
        <row r="45">
          <cell r="H45">
            <v>38</v>
          </cell>
        </row>
        <row r="46">
          <cell r="H46">
            <v>39</v>
          </cell>
        </row>
        <row r="47">
          <cell r="H47">
            <v>40</v>
          </cell>
        </row>
        <row r="48">
          <cell r="H48">
            <v>41</v>
          </cell>
        </row>
        <row r="49">
          <cell r="H49">
            <v>42</v>
          </cell>
        </row>
        <row r="50">
          <cell r="H50">
            <v>43</v>
          </cell>
        </row>
        <row r="51">
          <cell r="H51">
            <v>44</v>
          </cell>
        </row>
        <row r="52">
          <cell r="H52">
            <v>45</v>
          </cell>
        </row>
        <row r="53">
          <cell r="H53">
            <v>46</v>
          </cell>
        </row>
        <row r="54">
          <cell r="H54">
            <v>47</v>
          </cell>
        </row>
        <row r="55">
          <cell r="H55">
            <v>48</v>
          </cell>
        </row>
        <row r="56">
          <cell r="H56">
            <v>49</v>
          </cell>
        </row>
        <row r="57">
          <cell r="H57">
            <v>50</v>
          </cell>
        </row>
        <row r="58">
          <cell r="H58">
            <v>51</v>
          </cell>
        </row>
        <row r="59">
          <cell r="H59">
            <v>52</v>
          </cell>
        </row>
        <row r="60">
          <cell r="H60">
            <v>53</v>
          </cell>
        </row>
        <row r="61">
          <cell r="H61">
            <v>54</v>
          </cell>
        </row>
        <row r="62">
          <cell r="H62">
            <v>55</v>
          </cell>
        </row>
        <row r="63">
          <cell r="H63">
            <v>56</v>
          </cell>
        </row>
        <row r="64">
          <cell r="H64">
            <v>57</v>
          </cell>
        </row>
        <row r="65">
          <cell r="H65">
            <v>58</v>
          </cell>
        </row>
        <row r="66">
          <cell r="H66">
            <v>59</v>
          </cell>
        </row>
        <row r="67">
          <cell r="H67">
            <v>60</v>
          </cell>
        </row>
        <row r="68">
          <cell r="H68">
            <v>61</v>
          </cell>
        </row>
        <row r="69">
          <cell r="H69">
            <v>62</v>
          </cell>
        </row>
        <row r="70">
          <cell r="H70">
            <v>63</v>
          </cell>
        </row>
        <row r="71">
          <cell r="H71">
            <v>64</v>
          </cell>
        </row>
        <row r="72">
          <cell r="H72">
            <v>65</v>
          </cell>
        </row>
        <row r="73">
          <cell r="H73">
            <v>66</v>
          </cell>
        </row>
        <row r="74">
          <cell r="H74">
            <v>67</v>
          </cell>
        </row>
        <row r="75">
          <cell r="H75">
            <v>68</v>
          </cell>
        </row>
        <row r="76">
          <cell r="H76">
            <v>69</v>
          </cell>
        </row>
        <row r="77">
          <cell r="H77">
            <v>70</v>
          </cell>
        </row>
        <row r="78">
          <cell r="H78">
            <v>71</v>
          </cell>
        </row>
        <row r="79">
          <cell r="H79">
            <v>72</v>
          </cell>
        </row>
        <row r="80">
          <cell r="H80">
            <v>73</v>
          </cell>
        </row>
        <row r="81">
          <cell r="H81">
            <v>74</v>
          </cell>
        </row>
        <row r="82">
          <cell r="H82">
            <v>75</v>
          </cell>
        </row>
        <row r="83">
          <cell r="H83">
            <v>76</v>
          </cell>
        </row>
        <row r="84">
          <cell r="H84">
            <v>77</v>
          </cell>
        </row>
        <row r="85">
          <cell r="H85">
            <v>78</v>
          </cell>
        </row>
        <row r="86">
          <cell r="H86">
            <v>79</v>
          </cell>
        </row>
        <row r="87">
          <cell r="H87">
            <v>80</v>
          </cell>
        </row>
        <row r="88">
          <cell r="H88">
            <v>81</v>
          </cell>
        </row>
        <row r="89">
          <cell r="H89">
            <v>82</v>
          </cell>
        </row>
        <row r="90">
          <cell r="H90">
            <v>83</v>
          </cell>
        </row>
        <row r="91">
          <cell r="H91">
            <v>84</v>
          </cell>
        </row>
        <row r="92">
          <cell r="H92">
            <v>85</v>
          </cell>
        </row>
        <row r="93">
          <cell r="H93">
            <v>86</v>
          </cell>
        </row>
        <row r="94">
          <cell r="H94">
            <v>87</v>
          </cell>
        </row>
        <row r="95">
          <cell r="H95">
            <v>88</v>
          </cell>
        </row>
        <row r="96">
          <cell r="H96">
            <v>89</v>
          </cell>
        </row>
        <row r="97">
          <cell r="H97">
            <v>90</v>
          </cell>
        </row>
        <row r="98">
          <cell r="H98">
            <v>91</v>
          </cell>
        </row>
        <row r="99">
          <cell r="H99">
            <v>92</v>
          </cell>
        </row>
        <row r="100">
          <cell r="H100">
            <v>93</v>
          </cell>
        </row>
        <row r="101">
          <cell r="H101">
            <v>94</v>
          </cell>
        </row>
        <row r="102">
          <cell r="H102">
            <v>95</v>
          </cell>
        </row>
        <row r="103">
          <cell r="H103">
            <v>96</v>
          </cell>
        </row>
        <row r="104">
          <cell r="H104">
            <v>97</v>
          </cell>
        </row>
        <row r="105">
          <cell r="H105">
            <v>98</v>
          </cell>
        </row>
        <row r="106">
          <cell r="H106">
            <v>99</v>
          </cell>
        </row>
        <row r="107">
          <cell r="H107">
            <v>100</v>
          </cell>
        </row>
        <row r="108">
          <cell r="H108">
            <v>101</v>
          </cell>
        </row>
        <row r="109">
          <cell r="H109">
            <v>102</v>
          </cell>
        </row>
        <row r="110">
          <cell r="H110">
            <v>103</v>
          </cell>
        </row>
        <row r="111">
          <cell r="H111">
            <v>104</v>
          </cell>
        </row>
        <row r="112">
          <cell r="H112">
            <v>105</v>
          </cell>
        </row>
        <row r="113">
          <cell r="H113">
            <v>106</v>
          </cell>
        </row>
        <row r="114">
          <cell r="H114">
            <v>107</v>
          </cell>
        </row>
        <row r="115">
          <cell r="H115">
            <v>108</v>
          </cell>
        </row>
        <row r="116">
          <cell r="H116">
            <v>109</v>
          </cell>
        </row>
        <row r="117">
          <cell r="H117">
            <v>110</v>
          </cell>
        </row>
        <row r="118">
          <cell r="H118">
            <v>111</v>
          </cell>
        </row>
        <row r="119">
          <cell r="H119">
            <v>112</v>
          </cell>
        </row>
        <row r="120">
          <cell r="H120">
            <v>113</v>
          </cell>
        </row>
        <row r="121">
          <cell r="H121">
            <v>114</v>
          </cell>
        </row>
        <row r="122">
          <cell r="H122">
            <v>115</v>
          </cell>
        </row>
        <row r="123">
          <cell r="H123">
            <v>116</v>
          </cell>
        </row>
        <row r="124">
          <cell r="H124">
            <v>117</v>
          </cell>
        </row>
        <row r="125">
          <cell r="H125">
            <v>118</v>
          </cell>
        </row>
        <row r="126">
          <cell r="H126">
            <v>119</v>
          </cell>
        </row>
        <row r="127">
          <cell r="H127">
            <v>120</v>
          </cell>
        </row>
        <row r="128">
          <cell r="H128">
            <v>121</v>
          </cell>
        </row>
        <row r="129">
          <cell r="H129">
            <v>122</v>
          </cell>
        </row>
        <row r="130">
          <cell r="H130">
            <v>123</v>
          </cell>
        </row>
        <row r="131">
          <cell r="H131">
            <v>124</v>
          </cell>
        </row>
        <row r="132">
          <cell r="H132">
            <v>125</v>
          </cell>
        </row>
        <row r="133">
          <cell r="H133">
            <v>126</v>
          </cell>
        </row>
        <row r="134">
          <cell r="H134">
            <v>127</v>
          </cell>
        </row>
        <row r="135">
          <cell r="H135">
            <v>128</v>
          </cell>
        </row>
        <row r="136">
          <cell r="H136">
            <v>129</v>
          </cell>
        </row>
        <row r="137">
          <cell r="H137">
            <v>130</v>
          </cell>
        </row>
        <row r="138">
          <cell r="H138">
            <v>131</v>
          </cell>
        </row>
        <row r="139">
          <cell r="H139">
            <v>132</v>
          </cell>
        </row>
        <row r="140">
          <cell r="H140">
            <v>133</v>
          </cell>
        </row>
        <row r="141">
          <cell r="H141">
            <v>134</v>
          </cell>
        </row>
        <row r="142">
          <cell r="H142">
            <v>135</v>
          </cell>
        </row>
        <row r="143">
          <cell r="H143">
            <v>136</v>
          </cell>
        </row>
        <row r="144">
          <cell r="H144">
            <v>137</v>
          </cell>
        </row>
        <row r="145">
          <cell r="H145">
            <v>138</v>
          </cell>
        </row>
        <row r="146">
          <cell r="H146">
            <v>139</v>
          </cell>
        </row>
        <row r="147">
          <cell r="H147">
            <v>140</v>
          </cell>
        </row>
        <row r="148">
          <cell r="H148">
            <v>141</v>
          </cell>
        </row>
        <row r="149">
          <cell r="H149">
            <v>142</v>
          </cell>
        </row>
        <row r="150">
          <cell r="H150">
            <v>143</v>
          </cell>
        </row>
        <row r="151">
          <cell r="H151">
            <v>144</v>
          </cell>
        </row>
        <row r="152">
          <cell r="H152">
            <v>145</v>
          </cell>
        </row>
        <row r="153">
          <cell r="H153">
            <v>146</v>
          </cell>
        </row>
        <row r="154">
          <cell r="H154">
            <v>147</v>
          </cell>
        </row>
        <row r="155">
          <cell r="H155">
            <v>148</v>
          </cell>
        </row>
        <row r="156">
          <cell r="H156">
            <v>149</v>
          </cell>
        </row>
        <row r="157">
          <cell r="H157">
            <v>150</v>
          </cell>
        </row>
        <row r="158">
          <cell r="H158">
            <v>151</v>
          </cell>
        </row>
        <row r="159">
          <cell r="H159">
            <v>152</v>
          </cell>
        </row>
        <row r="160">
          <cell r="H160">
            <v>153</v>
          </cell>
        </row>
        <row r="161">
          <cell r="H161">
            <v>154</v>
          </cell>
        </row>
        <row r="162">
          <cell r="H162">
            <v>155</v>
          </cell>
        </row>
        <row r="163">
          <cell r="H163">
            <v>156</v>
          </cell>
        </row>
        <row r="164">
          <cell r="H164">
            <v>157</v>
          </cell>
        </row>
        <row r="165">
          <cell r="H165">
            <v>158</v>
          </cell>
        </row>
        <row r="166">
          <cell r="H166">
            <v>159</v>
          </cell>
        </row>
        <row r="167">
          <cell r="H167">
            <v>160</v>
          </cell>
        </row>
        <row r="168">
          <cell r="H168">
            <v>161</v>
          </cell>
        </row>
        <row r="169">
          <cell r="H169">
            <v>162</v>
          </cell>
        </row>
        <row r="170">
          <cell r="H170">
            <v>163</v>
          </cell>
        </row>
        <row r="171">
          <cell r="H171">
            <v>164</v>
          </cell>
        </row>
        <row r="172">
          <cell r="H172">
            <v>165</v>
          </cell>
        </row>
        <row r="173">
          <cell r="H173">
            <v>166</v>
          </cell>
        </row>
        <row r="174">
          <cell r="H174">
            <v>167</v>
          </cell>
        </row>
        <row r="175">
          <cell r="H175">
            <v>168</v>
          </cell>
        </row>
        <row r="176">
          <cell r="H176">
            <v>169</v>
          </cell>
        </row>
        <row r="177">
          <cell r="H177">
            <v>170</v>
          </cell>
        </row>
        <row r="178">
          <cell r="H178">
            <v>171</v>
          </cell>
        </row>
        <row r="179">
          <cell r="H179">
            <v>172</v>
          </cell>
        </row>
        <row r="180">
          <cell r="H180">
            <v>173</v>
          </cell>
        </row>
        <row r="181">
          <cell r="H181">
            <v>174</v>
          </cell>
        </row>
        <row r="182">
          <cell r="H182">
            <v>175</v>
          </cell>
        </row>
        <row r="183">
          <cell r="H183">
            <v>176</v>
          </cell>
        </row>
        <row r="184">
          <cell r="H184">
            <v>177</v>
          </cell>
        </row>
        <row r="185">
          <cell r="H185">
            <v>178</v>
          </cell>
        </row>
        <row r="186">
          <cell r="H186">
            <v>179</v>
          </cell>
        </row>
        <row r="187">
          <cell r="H187">
            <v>180</v>
          </cell>
        </row>
        <row r="188">
          <cell r="H188">
            <v>181</v>
          </cell>
        </row>
        <row r="189">
          <cell r="H189">
            <v>182</v>
          </cell>
        </row>
        <row r="190">
          <cell r="H190">
            <v>183</v>
          </cell>
        </row>
        <row r="191">
          <cell r="H191">
            <v>184</v>
          </cell>
        </row>
        <row r="192">
          <cell r="H192">
            <v>185</v>
          </cell>
        </row>
        <row r="193">
          <cell r="H193">
            <v>186</v>
          </cell>
        </row>
        <row r="194">
          <cell r="H194">
            <v>187</v>
          </cell>
        </row>
        <row r="195">
          <cell r="H195">
            <v>188</v>
          </cell>
        </row>
        <row r="196">
          <cell r="H196">
            <v>189</v>
          </cell>
        </row>
        <row r="197">
          <cell r="H197">
            <v>190</v>
          </cell>
        </row>
        <row r="198">
          <cell r="H198">
            <v>191</v>
          </cell>
        </row>
        <row r="199">
          <cell r="H199">
            <v>192</v>
          </cell>
        </row>
        <row r="200">
          <cell r="H200">
            <v>193</v>
          </cell>
        </row>
        <row r="201">
          <cell r="H201">
            <v>194</v>
          </cell>
        </row>
        <row r="202">
          <cell r="H202">
            <v>195</v>
          </cell>
        </row>
        <row r="203">
          <cell r="H203">
            <v>196</v>
          </cell>
        </row>
        <row r="204">
          <cell r="H204">
            <v>197</v>
          </cell>
        </row>
        <row r="205">
          <cell r="H205">
            <v>198</v>
          </cell>
        </row>
        <row r="206">
          <cell r="H206">
            <v>199</v>
          </cell>
        </row>
        <row r="207">
          <cell r="H207">
            <v>200</v>
          </cell>
        </row>
        <row r="208">
          <cell r="H208">
            <v>201</v>
          </cell>
        </row>
        <row r="209">
          <cell r="H209">
            <v>202</v>
          </cell>
        </row>
        <row r="210">
          <cell r="H210">
            <v>203</v>
          </cell>
        </row>
        <row r="211">
          <cell r="H211">
            <v>204</v>
          </cell>
        </row>
        <row r="212">
          <cell r="H212">
            <v>205</v>
          </cell>
        </row>
        <row r="213">
          <cell r="H213">
            <v>206</v>
          </cell>
        </row>
        <row r="214">
          <cell r="H214">
            <v>207</v>
          </cell>
        </row>
        <row r="215">
          <cell r="H215">
            <v>208</v>
          </cell>
        </row>
        <row r="216">
          <cell r="H216">
            <v>209</v>
          </cell>
        </row>
        <row r="217">
          <cell r="H217">
            <v>210</v>
          </cell>
        </row>
        <row r="218">
          <cell r="H218">
            <v>211</v>
          </cell>
        </row>
        <row r="219">
          <cell r="H219">
            <v>212</v>
          </cell>
        </row>
        <row r="220">
          <cell r="H220">
            <v>213</v>
          </cell>
        </row>
        <row r="221">
          <cell r="H221">
            <v>214</v>
          </cell>
        </row>
        <row r="222">
          <cell r="H222">
            <v>215</v>
          </cell>
        </row>
        <row r="223">
          <cell r="H223">
            <v>216</v>
          </cell>
        </row>
        <row r="224">
          <cell r="H224">
            <v>217</v>
          </cell>
        </row>
        <row r="225">
          <cell r="H225">
            <v>218</v>
          </cell>
        </row>
        <row r="226">
          <cell r="H226">
            <v>219</v>
          </cell>
        </row>
        <row r="227">
          <cell r="H227">
            <v>220</v>
          </cell>
        </row>
        <row r="228">
          <cell r="H228">
            <v>221</v>
          </cell>
        </row>
        <row r="229">
          <cell r="H229">
            <v>222</v>
          </cell>
        </row>
        <row r="230">
          <cell r="H230">
            <v>223</v>
          </cell>
        </row>
        <row r="231">
          <cell r="H231">
            <v>224</v>
          </cell>
        </row>
        <row r="232">
          <cell r="H232">
            <v>225</v>
          </cell>
        </row>
        <row r="233">
          <cell r="H233">
            <v>226</v>
          </cell>
        </row>
        <row r="234">
          <cell r="H234">
            <v>227</v>
          </cell>
        </row>
        <row r="235">
          <cell r="H235">
            <v>228</v>
          </cell>
        </row>
        <row r="236">
          <cell r="H236">
            <v>229</v>
          </cell>
        </row>
        <row r="237">
          <cell r="H237">
            <v>230</v>
          </cell>
        </row>
        <row r="238">
          <cell r="H238">
            <v>231</v>
          </cell>
        </row>
        <row r="239">
          <cell r="H239">
            <v>232</v>
          </cell>
        </row>
        <row r="240">
          <cell r="H240">
            <v>233</v>
          </cell>
        </row>
        <row r="241">
          <cell r="H241">
            <v>234</v>
          </cell>
        </row>
        <row r="242">
          <cell r="H242">
            <v>235</v>
          </cell>
        </row>
        <row r="243">
          <cell r="H243">
            <v>236</v>
          </cell>
        </row>
        <row r="244">
          <cell r="H244">
            <v>237</v>
          </cell>
        </row>
        <row r="245">
          <cell r="H245">
            <v>238</v>
          </cell>
        </row>
        <row r="246">
          <cell r="H246">
            <v>239</v>
          </cell>
        </row>
        <row r="247">
          <cell r="H247">
            <v>240</v>
          </cell>
        </row>
        <row r="248">
          <cell r="H248">
            <v>241</v>
          </cell>
        </row>
        <row r="249">
          <cell r="H249">
            <v>242</v>
          </cell>
        </row>
        <row r="250">
          <cell r="H250">
            <v>243</v>
          </cell>
        </row>
        <row r="251">
          <cell r="H251">
            <v>244</v>
          </cell>
        </row>
        <row r="252">
          <cell r="H252">
            <v>245</v>
          </cell>
        </row>
        <row r="253">
          <cell r="H253">
            <v>246</v>
          </cell>
        </row>
        <row r="254">
          <cell r="H254">
            <v>247</v>
          </cell>
        </row>
        <row r="255">
          <cell r="H255">
            <v>248</v>
          </cell>
        </row>
        <row r="256">
          <cell r="H256">
            <v>249</v>
          </cell>
        </row>
        <row r="257">
          <cell r="H257">
            <v>250</v>
          </cell>
        </row>
        <row r="258">
          <cell r="H258">
            <v>251</v>
          </cell>
        </row>
        <row r="259">
          <cell r="H259">
            <v>252</v>
          </cell>
        </row>
        <row r="260">
          <cell r="H260">
            <v>253</v>
          </cell>
        </row>
        <row r="261">
          <cell r="H261">
            <v>254</v>
          </cell>
        </row>
        <row r="262">
          <cell r="H262">
            <v>255</v>
          </cell>
        </row>
        <row r="263">
          <cell r="H263">
            <v>256</v>
          </cell>
        </row>
        <row r="264">
          <cell r="H264">
            <v>257</v>
          </cell>
        </row>
        <row r="265">
          <cell r="H265">
            <v>258</v>
          </cell>
        </row>
        <row r="266">
          <cell r="H266">
            <v>259</v>
          </cell>
        </row>
        <row r="267">
          <cell r="H267">
            <v>260</v>
          </cell>
        </row>
        <row r="268">
          <cell r="H268">
            <v>261</v>
          </cell>
        </row>
        <row r="269">
          <cell r="H269">
            <v>262</v>
          </cell>
        </row>
        <row r="270">
          <cell r="H270">
            <v>263</v>
          </cell>
        </row>
        <row r="271">
          <cell r="H271">
            <v>264</v>
          </cell>
        </row>
        <row r="272">
          <cell r="H272">
            <v>265</v>
          </cell>
        </row>
        <row r="273">
          <cell r="H273">
            <v>266</v>
          </cell>
        </row>
        <row r="274">
          <cell r="H274">
            <v>267</v>
          </cell>
        </row>
        <row r="275">
          <cell r="H275">
            <v>268</v>
          </cell>
        </row>
        <row r="276">
          <cell r="H276">
            <v>269</v>
          </cell>
        </row>
        <row r="277">
          <cell r="H277">
            <v>270</v>
          </cell>
        </row>
        <row r="278">
          <cell r="H278">
            <v>271</v>
          </cell>
        </row>
        <row r="279">
          <cell r="H279">
            <v>272</v>
          </cell>
        </row>
        <row r="280">
          <cell r="H280">
            <v>273</v>
          </cell>
        </row>
        <row r="281">
          <cell r="H281">
            <v>274</v>
          </cell>
        </row>
        <row r="282">
          <cell r="H282">
            <v>275</v>
          </cell>
        </row>
        <row r="283">
          <cell r="H283">
            <v>276</v>
          </cell>
        </row>
        <row r="284">
          <cell r="H284">
            <v>277</v>
          </cell>
        </row>
        <row r="285">
          <cell r="H285">
            <v>278</v>
          </cell>
        </row>
        <row r="286">
          <cell r="H286">
            <v>279</v>
          </cell>
        </row>
        <row r="287">
          <cell r="H287">
            <v>280</v>
          </cell>
        </row>
        <row r="288">
          <cell r="H288">
            <v>281</v>
          </cell>
        </row>
        <row r="289">
          <cell r="H289">
            <v>282</v>
          </cell>
        </row>
        <row r="290">
          <cell r="H290">
            <v>283</v>
          </cell>
        </row>
        <row r="291">
          <cell r="H291">
            <v>284</v>
          </cell>
        </row>
        <row r="292">
          <cell r="H292">
            <v>285</v>
          </cell>
        </row>
        <row r="293">
          <cell r="H293">
            <v>286</v>
          </cell>
        </row>
        <row r="294">
          <cell r="H294">
            <v>287</v>
          </cell>
        </row>
        <row r="295">
          <cell r="H295">
            <v>288</v>
          </cell>
        </row>
        <row r="296">
          <cell r="H296">
            <v>289</v>
          </cell>
        </row>
        <row r="297">
          <cell r="H297">
            <v>290</v>
          </cell>
        </row>
        <row r="298">
          <cell r="H298">
            <v>291</v>
          </cell>
        </row>
        <row r="299">
          <cell r="H299">
            <v>292</v>
          </cell>
        </row>
        <row r="300">
          <cell r="H300">
            <v>293</v>
          </cell>
        </row>
        <row r="301">
          <cell r="H301">
            <v>294</v>
          </cell>
        </row>
        <row r="302">
          <cell r="H302">
            <v>295</v>
          </cell>
        </row>
        <row r="303">
          <cell r="H303">
            <v>296</v>
          </cell>
        </row>
        <row r="304">
          <cell r="H304">
            <v>297</v>
          </cell>
        </row>
        <row r="305">
          <cell r="H305">
            <v>298</v>
          </cell>
        </row>
        <row r="306">
          <cell r="H306">
            <v>299</v>
          </cell>
        </row>
        <row r="307">
          <cell r="H307">
            <v>300</v>
          </cell>
        </row>
        <row r="308">
          <cell r="H308">
            <v>301</v>
          </cell>
        </row>
        <row r="309">
          <cell r="H309">
            <v>302</v>
          </cell>
        </row>
        <row r="310">
          <cell r="H310">
            <v>303</v>
          </cell>
        </row>
        <row r="311">
          <cell r="H311">
            <v>304</v>
          </cell>
        </row>
        <row r="312">
          <cell r="H312">
            <v>305</v>
          </cell>
        </row>
        <row r="313">
          <cell r="H313">
            <v>306</v>
          </cell>
        </row>
        <row r="314">
          <cell r="H314">
            <v>307</v>
          </cell>
        </row>
        <row r="315">
          <cell r="H315">
            <v>308</v>
          </cell>
        </row>
        <row r="316">
          <cell r="H316">
            <v>309</v>
          </cell>
        </row>
        <row r="317">
          <cell r="H317">
            <v>310</v>
          </cell>
        </row>
        <row r="318">
          <cell r="H318">
            <v>311</v>
          </cell>
        </row>
        <row r="319">
          <cell r="H319">
            <v>312</v>
          </cell>
        </row>
        <row r="320">
          <cell r="H320">
            <v>313</v>
          </cell>
        </row>
        <row r="321">
          <cell r="H321">
            <v>314</v>
          </cell>
        </row>
        <row r="322">
          <cell r="H322">
            <v>315</v>
          </cell>
        </row>
        <row r="323">
          <cell r="H323">
            <v>316</v>
          </cell>
        </row>
        <row r="324">
          <cell r="H324">
            <v>317</v>
          </cell>
        </row>
        <row r="325">
          <cell r="H325">
            <v>318</v>
          </cell>
        </row>
        <row r="326">
          <cell r="H326">
            <v>319</v>
          </cell>
        </row>
        <row r="327">
          <cell r="H327">
            <v>320</v>
          </cell>
        </row>
        <row r="328">
          <cell r="H328">
            <v>321</v>
          </cell>
        </row>
        <row r="329">
          <cell r="H329">
            <v>322</v>
          </cell>
        </row>
        <row r="330">
          <cell r="H330">
            <v>323</v>
          </cell>
        </row>
        <row r="331">
          <cell r="H331">
            <v>324</v>
          </cell>
        </row>
        <row r="332">
          <cell r="H332">
            <v>325</v>
          </cell>
        </row>
        <row r="333">
          <cell r="H333">
            <v>326</v>
          </cell>
        </row>
        <row r="334">
          <cell r="H334">
            <v>327</v>
          </cell>
        </row>
        <row r="335">
          <cell r="H335">
            <v>328</v>
          </cell>
        </row>
        <row r="336">
          <cell r="H336">
            <v>329</v>
          </cell>
        </row>
        <row r="337">
          <cell r="H337">
            <v>330</v>
          </cell>
        </row>
        <row r="338">
          <cell r="H338">
            <v>331</v>
          </cell>
        </row>
        <row r="339">
          <cell r="H339">
            <v>332</v>
          </cell>
        </row>
        <row r="340">
          <cell r="H340">
            <v>333</v>
          </cell>
        </row>
        <row r="341">
          <cell r="H341">
            <v>334</v>
          </cell>
        </row>
        <row r="342">
          <cell r="H342">
            <v>335</v>
          </cell>
        </row>
        <row r="343">
          <cell r="H343">
            <v>336</v>
          </cell>
        </row>
        <row r="344">
          <cell r="H344">
            <v>337</v>
          </cell>
        </row>
        <row r="345">
          <cell r="H345">
            <v>338</v>
          </cell>
        </row>
        <row r="346">
          <cell r="H346">
            <v>339</v>
          </cell>
        </row>
        <row r="347">
          <cell r="H347">
            <v>340</v>
          </cell>
        </row>
        <row r="348">
          <cell r="H348">
            <v>341</v>
          </cell>
        </row>
        <row r="349">
          <cell r="H349">
            <v>342</v>
          </cell>
        </row>
        <row r="350">
          <cell r="H350">
            <v>343</v>
          </cell>
        </row>
        <row r="351">
          <cell r="H351">
            <v>344</v>
          </cell>
        </row>
        <row r="352">
          <cell r="H352">
            <v>345</v>
          </cell>
        </row>
        <row r="353">
          <cell r="H353">
            <v>346</v>
          </cell>
        </row>
        <row r="354">
          <cell r="H354">
            <v>347</v>
          </cell>
        </row>
        <row r="355">
          <cell r="H355">
            <v>348</v>
          </cell>
        </row>
        <row r="356">
          <cell r="H356">
            <v>349</v>
          </cell>
        </row>
        <row r="357">
          <cell r="H357">
            <v>350</v>
          </cell>
        </row>
        <row r="358">
          <cell r="H358">
            <v>351</v>
          </cell>
        </row>
        <row r="359">
          <cell r="H359">
            <v>352</v>
          </cell>
        </row>
        <row r="360">
          <cell r="H360">
            <v>353</v>
          </cell>
        </row>
        <row r="361">
          <cell r="H361">
            <v>354</v>
          </cell>
        </row>
        <row r="362">
          <cell r="H362">
            <v>355</v>
          </cell>
        </row>
        <row r="363">
          <cell r="H363">
            <v>356</v>
          </cell>
        </row>
        <row r="364">
          <cell r="H364">
            <v>357</v>
          </cell>
        </row>
        <row r="365">
          <cell r="H365">
            <v>358</v>
          </cell>
        </row>
        <row r="366">
          <cell r="H366">
            <v>359</v>
          </cell>
        </row>
        <row r="367">
          <cell r="H367">
            <v>360</v>
          </cell>
        </row>
        <row r="368">
          <cell r="H368">
            <v>361</v>
          </cell>
        </row>
        <row r="369">
          <cell r="H369">
            <v>362</v>
          </cell>
        </row>
        <row r="370">
          <cell r="H370">
            <v>363</v>
          </cell>
        </row>
        <row r="371">
          <cell r="H371">
            <v>364</v>
          </cell>
        </row>
        <row r="372">
          <cell r="H372">
            <v>365</v>
          </cell>
        </row>
        <row r="373">
          <cell r="H373">
            <v>366</v>
          </cell>
        </row>
        <row r="374">
          <cell r="H374">
            <v>367</v>
          </cell>
        </row>
        <row r="375">
          <cell r="H375">
            <v>368</v>
          </cell>
        </row>
        <row r="376">
          <cell r="H376">
            <v>369</v>
          </cell>
        </row>
        <row r="377">
          <cell r="H377">
            <v>370</v>
          </cell>
        </row>
        <row r="378">
          <cell r="H378">
            <v>371</v>
          </cell>
        </row>
        <row r="379">
          <cell r="H379">
            <v>372</v>
          </cell>
        </row>
        <row r="380">
          <cell r="H380">
            <v>373</v>
          </cell>
        </row>
        <row r="381">
          <cell r="H381">
            <v>374</v>
          </cell>
        </row>
        <row r="382">
          <cell r="H382">
            <v>375</v>
          </cell>
        </row>
        <row r="383">
          <cell r="H383">
            <v>376</v>
          </cell>
        </row>
        <row r="384">
          <cell r="H384">
            <v>377</v>
          </cell>
        </row>
        <row r="385">
          <cell r="H385">
            <v>378</v>
          </cell>
        </row>
        <row r="386">
          <cell r="H386">
            <v>379</v>
          </cell>
        </row>
        <row r="387">
          <cell r="H387">
            <v>380</v>
          </cell>
        </row>
        <row r="388">
          <cell r="H388">
            <v>381</v>
          </cell>
        </row>
        <row r="389">
          <cell r="H389">
            <v>382</v>
          </cell>
        </row>
        <row r="390">
          <cell r="H390">
            <v>383</v>
          </cell>
        </row>
        <row r="391">
          <cell r="H391">
            <v>384</v>
          </cell>
        </row>
        <row r="392">
          <cell r="H392">
            <v>385</v>
          </cell>
        </row>
        <row r="393">
          <cell r="H393">
            <v>386</v>
          </cell>
        </row>
        <row r="394">
          <cell r="H394">
            <v>387</v>
          </cell>
        </row>
        <row r="395">
          <cell r="H395">
            <v>388</v>
          </cell>
        </row>
        <row r="396">
          <cell r="H396">
            <v>389</v>
          </cell>
        </row>
        <row r="397">
          <cell r="H397">
            <v>390</v>
          </cell>
        </row>
        <row r="398">
          <cell r="H398">
            <v>391</v>
          </cell>
        </row>
        <row r="399">
          <cell r="H399">
            <v>392</v>
          </cell>
        </row>
        <row r="400">
          <cell r="H400">
            <v>393</v>
          </cell>
        </row>
        <row r="401">
          <cell r="H401">
            <v>394</v>
          </cell>
        </row>
        <row r="402">
          <cell r="H402">
            <v>395</v>
          </cell>
        </row>
        <row r="403">
          <cell r="H403">
            <v>396</v>
          </cell>
        </row>
        <row r="404">
          <cell r="H404">
            <v>397</v>
          </cell>
        </row>
        <row r="405">
          <cell r="H405">
            <v>398</v>
          </cell>
        </row>
        <row r="406">
          <cell r="H406">
            <v>399</v>
          </cell>
        </row>
        <row r="407">
          <cell r="H407">
            <v>400</v>
          </cell>
        </row>
        <row r="408">
          <cell r="H408">
            <v>401</v>
          </cell>
        </row>
        <row r="409">
          <cell r="H409">
            <v>402</v>
          </cell>
        </row>
        <row r="410">
          <cell r="H410">
            <v>403</v>
          </cell>
        </row>
        <row r="411">
          <cell r="H411">
            <v>404</v>
          </cell>
        </row>
        <row r="412">
          <cell r="H412">
            <v>405</v>
          </cell>
        </row>
        <row r="413">
          <cell r="H413">
            <v>406</v>
          </cell>
        </row>
        <row r="414">
          <cell r="H414">
            <v>407</v>
          </cell>
        </row>
        <row r="415">
          <cell r="H415">
            <v>408</v>
          </cell>
        </row>
        <row r="416">
          <cell r="H416">
            <v>409</v>
          </cell>
        </row>
        <row r="417">
          <cell r="H417">
            <v>410</v>
          </cell>
        </row>
        <row r="418">
          <cell r="H418">
            <v>411</v>
          </cell>
        </row>
        <row r="419">
          <cell r="H419">
            <v>412</v>
          </cell>
        </row>
        <row r="420">
          <cell r="H420">
            <v>413</v>
          </cell>
        </row>
        <row r="421">
          <cell r="H421">
            <v>414</v>
          </cell>
        </row>
        <row r="422">
          <cell r="H422">
            <v>415</v>
          </cell>
        </row>
        <row r="423">
          <cell r="H423">
            <v>416</v>
          </cell>
        </row>
        <row r="424">
          <cell r="H424">
            <v>417</v>
          </cell>
        </row>
        <row r="425">
          <cell r="H425">
            <v>418</v>
          </cell>
        </row>
        <row r="426">
          <cell r="H426">
            <v>419</v>
          </cell>
        </row>
        <row r="427">
          <cell r="H427">
            <v>420</v>
          </cell>
        </row>
        <row r="428">
          <cell r="H428">
            <v>421</v>
          </cell>
        </row>
        <row r="429">
          <cell r="H429">
            <v>422</v>
          </cell>
        </row>
        <row r="430">
          <cell r="H430">
            <v>423</v>
          </cell>
        </row>
        <row r="431">
          <cell r="H431">
            <v>424</v>
          </cell>
        </row>
        <row r="432">
          <cell r="H432">
            <v>425</v>
          </cell>
        </row>
        <row r="433">
          <cell r="H433">
            <v>426</v>
          </cell>
        </row>
        <row r="434">
          <cell r="H434">
            <v>427</v>
          </cell>
        </row>
        <row r="435">
          <cell r="H435">
            <v>428</v>
          </cell>
        </row>
        <row r="436">
          <cell r="H436">
            <v>429</v>
          </cell>
        </row>
        <row r="437">
          <cell r="H437">
            <v>430</v>
          </cell>
        </row>
        <row r="438">
          <cell r="H438">
            <v>431</v>
          </cell>
        </row>
        <row r="439">
          <cell r="H439">
            <v>432</v>
          </cell>
        </row>
        <row r="440">
          <cell r="H440">
            <v>433</v>
          </cell>
        </row>
        <row r="441">
          <cell r="H441">
            <v>434</v>
          </cell>
        </row>
        <row r="442">
          <cell r="H442">
            <v>435</v>
          </cell>
        </row>
        <row r="443">
          <cell r="H443">
            <v>436</v>
          </cell>
        </row>
        <row r="444">
          <cell r="H444">
            <v>437</v>
          </cell>
        </row>
        <row r="445">
          <cell r="H445">
            <v>438</v>
          </cell>
        </row>
        <row r="446">
          <cell r="H446">
            <v>439</v>
          </cell>
        </row>
        <row r="447">
          <cell r="H447">
            <v>440</v>
          </cell>
        </row>
        <row r="448">
          <cell r="H448">
            <v>441</v>
          </cell>
        </row>
        <row r="449">
          <cell r="H449">
            <v>442</v>
          </cell>
        </row>
        <row r="450">
          <cell r="H450">
            <v>443</v>
          </cell>
        </row>
        <row r="451">
          <cell r="H451">
            <v>444</v>
          </cell>
        </row>
        <row r="452">
          <cell r="H452">
            <v>445</v>
          </cell>
        </row>
        <row r="453">
          <cell r="H453">
            <v>446</v>
          </cell>
        </row>
        <row r="454">
          <cell r="H454">
            <v>447</v>
          </cell>
        </row>
        <row r="455">
          <cell r="H455">
            <v>448</v>
          </cell>
        </row>
        <row r="456">
          <cell r="H456">
            <v>449</v>
          </cell>
        </row>
        <row r="457">
          <cell r="H457">
            <v>450</v>
          </cell>
        </row>
        <row r="458">
          <cell r="H458">
            <v>451</v>
          </cell>
        </row>
        <row r="459">
          <cell r="H459">
            <v>452</v>
          </cell>
        </row>
        <row r="460">
          <cell r="H460">
            <v>453</v>
          </cell>
        </row>
        <row r="461">
          <cell r="H461">
            <v>454</v>
          </cell>
        </row>
        <row r="462">
          <cell r="H462">
            <v>455</v>
          </cell>
        </row>
        <row r="463">
          <cell r="H463">
            <v>456</v>
          </cell>
        </row>
        <row r="464">
          <cell r="H464">
            <v>457</v>
          </cell>
        </row>
        <row r="465">
          <cell r="H465">
            <v>458</v>
          </cell>
        </row>
        <row r="466">
          <cell r="H466">
            <v>459</v>
          </cell>
        </row>
        <row r="467">
          <cell r="H467">
            <v>460</v>
          </cell>
        </row>
        <row r="468">
          <cell r="H468">
            <v>461</v>
          </cell>
        </row>
        <row r="469">
          <cell r="H469">
            <v>462</v>
          </cell>
        </row>
        <row r="470">
          <cell r="H470">
            <v>463</v>
          </cell>
        </row>
        <row r="471">
          <cell r="H471">
            <v>464</v>
          </cell>
        </row>
        <row r="472">
          <cell r="H472">
            <v>465</v>
          </cell>
        </row>
        <row r="473">
          <cell r="H473">
            <v>466</v>
          </cell>
        </row>
        <row r="474">
          <cell r="H474">
            <v>467</v>
          </cell>
        </row>
        <row r="475">
          <cell r="H475">
            <v>468</v>
          </cell>
        </row>
        <row r="476">
          <cell r="H476">
            <v>469</v>
          </cell>
        </row>
        <row r="477">
          <cell r="H477">
            <v>470</v>
          </cell>
        </row>
        <row r="478">
          <cell r="H478">
            <v>471</v>
          </cell>
        </row>
        <row r="479">
          <cell r="H479">
            <v>472</v>
          </cell>
        </row>
        <row r="480">
          <cell r="H480">
            <v>473</v>
          </cell>
        </row>
        <row r="481">
          <cell r="H481">
            <v>474</v>
          </cell>
        </row>
        <row r="482">
          <cell r="H482">
            <v>475</v>
          </cell>
        </row>
        <row r="483">
          <cell r="H483">
            <v>476</v>
          </cell>
        </row>
        <row r="484">
          <cell r="H484">
            <v>477</v>
          </cell>
        </row>
        <row r="485">
          <cell r="H485">
            <v>478</v>
          </cell>
        </row>
        <row r="486">
          <cell r="H486">
            <v>479</v>
          </cell>
        </row>
        <row r="487">
          <cell r="H487">
            <v>480</v>
          </cell>
        </row>
        <row r="488">
          <cell r="H488">
            <v>481</v>
          </cell>
        </row>
        <row r="489">
          <cell r="H489">
            <v>482</v>
          </cell>
        </row>
        <row r="490">
          <cell r="H490">
            <v>483</v>
          </cell>
        </row>
        <row r="491">
          <cell r="H491">
            <v>484</v>
          </cell>
        </row>
        <row r="492">
          <cell r="H492">
            <v>485</v>
          </cell>
        </row>
        <row r="493">
          <cell r="H493">
            <v>486</v>
          </cell>
        </row>
        <row r="494">
          <cell r="H494">
            <v>487</v>
          </cell>
        </row>
        <row r="495">
          <cell r="H495">
            <v>488</v>
          </cell>
        </row>
        <row r="496">
          <cell r="H496">
            <v>489</v>
          </cell>
        </row>
        <row r="497">
          <cell r="H497">
            <v>490</v>
          </cell>
        </row>
        <row r="498">
          <cell r="H498">
            <v>491</v>
          </cell>
        </row>
        <row r="499">
          <cell r="H499">
            <v>492</v>
          </cell>
        </row>
        <row r="500">
          <cell r="H500">
            <v>493</v>
          </cell>
        </row>
        <row r="501">
          <cell r="H501">
            <v>494</v>
          </cell>
        </row>
        <row r="502">
          <cell r="H502">
            <v>495</v>
          </cell>
        </row>
        <row r="503">
          <cell r="H503">
            <v>496</v>
          </cell>
        </row>
        <row r="504">
          <cell r="H504">
            <v>497</v>
          </cell>
        </row>
        <row r="505">
          <cell r="H505">
            <v>498</v>
          </cell>
        </row>
        <row r="506">
          <cell r="H506">
            <v>499</v>
          </cell>
        </row>
        <row r="507">
          <cell r="H507">
            <v>500</v>
          </cell>
        </row>
        <row r="508">
          <cell r="H508">
            <v>501</v>
          </cell>
        </row>
        <row r="509">
          <cell r="H509">
            <v>502</v>
          </cell>
        </row>
        <row r="510">
          <cell r="H510">
            <v>503</v>
          </cell>
        </row>
        <row r="511">
          <cell r="H511">
            <v>504</v>
          </cell>
        </row>
        <row r="512">
          <cell r="H512">
            <v>505</v>
          </cell>
        </row>
        <row r="513">
          <cell r="H513">
            <v>506</v>
          </cell>
        </row>
        <row r="514">
          <cell r="H514">
            <v>507</v>
          </cell>
        </row>
        <row r="515">
          <cell r="H515">
            <v>508</v>
          </cell>
        </row>
        <row r="516">
          <cell r="H516">
            <v>509</v>
          </cell>
        </row>
        <row r="517">
          <cell r="H517">
            <v>510</v>
          </cell>
        </row>
        <row r="518">
          <cell r="H518">
            <v>511</v>
          </cell>
        </row>
        <row r="519">
          <cell r="H519">
            <v>512</v>
          </cell>
        </row>
        <row r="520">
          <cell r="H520">
            <v>513</v>
          </cell>
        </row>
        <row r="521">
          <cell r="H521">
            <v>514</v>
          </cell>
        </row>
        <row r="522">
          <cell r="H522">
            <v>515</v>
          </cell>
        </row>
        <row r="523">
          <cell r="H523">
            <v>516</v>
          </cell>
        </row>
        <row r="524">
          <cell r="H524">
            <v>517</v>
          </cell>
        </row>
        <row r="525">
          <cell r="H525">
            <v>518</v>
          </cell>
        </row>
        <row r="526">
          <cell r="H526">
            <v>519</v>
          </cell>
        </row>
        <row r="527">
          <cell r="H527">
            <v>520</v>
          </cell>
        </row>
        <row r="528">
          <cell r="H528">
            <v>521</v>
          </cell>
        </row>
        <row r="529">
          <cell r="H529">
            <v>522</v>
          </cell>
        </row>
        <row r="530">
          <cell r="H530">
            <v>523</v>
          </cell>
        </row>
        <row r="531">
          <cell r="H531">
            <v>524</v>
          </cell>
        </row>
        <row r="532">
          <cell r="H532">
            <v>525</v>
          </cell>
        </row>
        <row r="533">
          <cell r="H533">
            <v>526</v>
          </cell>
        </row>
        <row r="534">
          <cell r="H534">
            <v>527</v>
          </cell>
        </row>
        <row r="535">
          <cell r="H535">
            <v>528</v>
          </cell>
        </row>
        <row r="536">
          <cell r="H536">
            <v>529</v>
          </cell>
        </row>
      </sheetData>
      <sheetData sheetId="3" refreshError="1"/>
      <sheetData sheetId="4" refreshError="1"/>
      <sheetData sheetId="5" refreshError="1"/>
      <sheetData sheetId="6" refreshError="1"/>
      <sheetData sheetId="7" refreshError="1"/>
      <sheetData sheetId="8"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2.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7.emf"/><Relationship Id="rId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1.xml"/><Relationship Id="rId3" Type="http://schemas.openxmlformats.org/officeDocument/2006/relationships/vmlDrawing" Target="../drawings/vmlDrawing5.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9.emf"/><Relationship Id="rId10" Type="http://schemas.openxmlformats.org/officeDocument/2006/relationships/comments" Target="../comments5.xml"/><Relationship Id="rId4" Type="http://schemas.openxmlformats.org/officeDocument/2006/relationships/control" Target="../activeX/activeX9.xml"/><Relationship Id="rId9" Type="http://schemas.openxmlformats.org/officeDocument/2006/relationships/image" Target="../media/image11.emf"/></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image" Target="../media/image13.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13.xml"/><Relationship Id="rId5" Type="http://schemas.openxmlformats.org/officeDocument/2006/relationships/image" Target="../media/image12.emf"/><Relationship Id="rId4" Type="http://schemas.openxmlformats.org/officeDocument/2006/relationships/control" Target="../activeX/activeX1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8.xml"/><Relationship Id="rId5" Type="http://schemas.openxmlformats.org/officeDocument/2006/relationships/image" Target="../media/image14.emf"/><Relationship Id="rId4" Type="http://schemas.openxmlformats.org/officeDocument/2006/relationships/control" Target="../activeX/activeX1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B1:M62"/>
  <sheetViews>
    <sheetView topLeftCell="A52" zoomScale="70" zoomScaleNormal="70" workbookViewId="0">
      <selection activeCell="E14" sqref="E14"/>
    </sheetView>
  </sheetViews>
  <sheetFormatPr defaultColWidth="11.453125" defaultRowHeight="13.5" x14ac:dyDescent="0.3"/>
  <cols>
    <col min="1" max="1" width="3.26953125" style="1" customWidth="1"/>
    <col min="2" max="2" width="2.1796875" style="1" customWidth="1"/>
    <col min="3" max="3" width="12" style="1" customWidth="1"/>
    <col min="4" max="4" width="3.54296875" style="1" customWidth="1"/>
    <col min="5" max="5" width="98.1796875" style="1" customWidth="1"/>
    <col min="6" max="6" width="12.81640625" style="1" customWidth="1"/>
    <col min="7" max="7" width="8.453125" style="1" customWidth="1"/>
    <col min="8" max="8" width="6.54296875" style="1" customWidth="1"/>
    <col min="9" max="10" width="3.54296875" style="1" customWidth="1"/>
    <col min="11" max="11" width="84.54296875" style="1" customWidth="1"/>
    <col min="12" max="12" width="5" style="1" customWidth="1"/>
    <col min="13" max="16384" width="11.453125" style="1"/>
  </cols>
  <sheetData>
    <row r="1" spans="2:12" ht="14" thickBot="1" x14ac:dyDescent="0.35"/>
    <row r="2" spans="2:12" x14ac:dyDescent="0.3">
      <c r="B2" s="158"/>
      <c r="C2" s="159"/>
      <c r="D2" s="159"/>
      <c r="E2" s="159"/>
      <c r="F2" s="159"/>
      <c r="G2" s="160"/>
      <c r="I2" s="158"/>
      <c r="J2" s="159"/>
      <c r="K2" s="159"/>
      <c r="L2" s="160"/>
    </row>
    <row r="3" spans="2:12" x14ac:dyDescent="0.3">
      <c r="B3" s="161"/>
      <c r="C3" s="567" t="s">
        <v>505</v>
      </c>
      <c r="D3" s="567"/>
      <c r="E3" s="567"/>
      <c r="F3" s="162"/>
      <c r="G3" s="163"/>
      <c r="I3" s="161"/>
      <c r="J3" s="569" t="s">
        <v>689</v>
      </c>
      <c r="K3" s="569"/>
      <c r="L3" s="163"/>
    </row>
    <row r="4" spans="2:12" x14ac:dyDescent="0.3">
      <c r="B4" s="161"/>
      <c r="C4" s="164"/>
      <c r="D4" s="164"/>
      <c r="E4" s="164"/>
      <c r="F4" s="164"/>
      <c r="G4" s="168"/>
      <c r="I4" s="161"/>
      <c r="J4" s="295"/>
      <c r="K4" s="296"/>
      <c r="L4" s="168"/>
    </row>
    <row r="5" spans="2:12" x14ac:dyDescent="0.3">
      <c r="B5" s="161"/>
      <c r="C5" s="164"/>
      <c r="D5" s="568" t="s">
        <v>617</v>
      </c>
      <c r="E5" s="568"/>
      <c r="F5" s="164"/>
      <c r="G5" s="168"/>
      <c r="I5" s="161"/>
      <c r="J5" s="297" t="s">
        <v>211</v>
      </c>
      <c r="K5" s="296" t="s">
        <v>686</v>
      </c>
      <c r="L5" s="168"/>
    </row>
    <row r="6" spans="2:12" x14ac:dyDescent="0.3">
      <c r="B6" s="161"/>
      <c r="C6" s="164"/>
      <c r="D6" s="171"/>
      <c r="E6" s="164"/>
      <c r="F6" s="164"/>
      <c r="G6" s="168"/>
      <c r="I6" s="161"/>
      <c r="J6" s="297"/>
      <c r="K6" s="298" t="s">
        <v>687</v>
      </c>
      <c r="L6" s="168"/>
    </row>
    <row r="7" spans="2:12" x14ac:dyDescent="0.3">
      <c r="B7" s="161"/>
      <c r="C7" s="164"/>
      <c r="D7" s="171" t="s">
        <v>618</v>
      </c>
      <c r="E7" s="264" t="s">
        <v>622</v>
      </c>
      <c r="F7" s="164"/>
      <c r="G7" s="168"/>
      <c r="I7" s="161"/>
      <c r="J7" s="297"/>
      <c r="K7" s="298" t="s">
        <v>688</v>
      </c>
      <c r="L7" s="168"/>
    </row>
    <row r="8" spans="2:12" x14ac:dyDescent="0.3">
      <c r="B8" s="161"/>
      <c r="C8" s="164"/>
      <c r="D8" s="171"/>
      <c r="E8" s="258" t="s">
        <v>619</v>
      </c>
      <c r="F8" s="164"/>
      <c r="G8" s="168"/>
      <c r="I8" s="161"/>
      <c r="J8" s="295"/>
      <c r="K8" s="299" t="s">
        <v>717</v>
      </c>
      <c r="L8" s="168"/>
    </row>
    <row r="9" spans="2:12" x14ac:dyDescent="0.3">
      <c r="B9" s="161"/>
      <c r="C9" s="164"/>
      <c r="D9" s="171"/>
      <c r="E9" s="258" t="s">
        <v>620</v>
      </c>
      <c r="F9" s="164"/>
      <c r="G9" s="168"/>
      <c r="I9" s="161"/>
      <c r="J9" s="295"/>
      <c r="K9" s="296"/>
      <c r="L9" s="168"/>
    </row>
    <row r="10" spans="2:12" x14ac:dyDescent="0.3">
      <c r="B10" s="161"/>
      <c r="C10" s="164"/>
      <c r="D10" s="171"/>
      <c r="E10" s="258" t="s">
        <v>706</v>
      </c>
      <c r="F10" s="164"/>
      <c r="G10" s="168"/>
      <c r="I10" s="161"/>
      <c r="J10" s="297" t="s">
        <v>211</v>
      </c>
      <c r="K10" s="296" t="s">
        <v>694</v>
      </c>
      <c r="L10" s="168"/>
    </row>
    <row r="11" spans="2:12" x14ac:dyDescent="0.3">
      <c r="B11" s="161"/>
      <c r="C11" s="164"/>
      <c r="D11" s="171"/>
      <c r="E11" s="258" t="s">
        <v>758</v>
      </c>
      <c r="F11" s="164"/>
      <c r="G11" s="168"/>
      <c r="I11" s="161"/>
      <c r="J11" s="297"/>
      <c r="K11" s="298" t="s">
        <v>692</v>
      </c>
      <c r="L11" s="168"/>
    </row>
    <row r="12" spans="2:12" x14ac:dyDescent="0.3">
      <c r="B12" s="161"/>
      <c r="C12" s="164"/>
      <c r="D12" s="171"/>
      <c r="E12" s="164"/>
      <c r="F12" s="164"/>
      <c r="G12" s="168"/>
      <c r="I12" s="161"/>
      <c r="J12" s="297"/>
      <c r="K12" s="298" t="s">
        <v>693</v>
      </c>
      <c r="L12" s="168"/>
    </row>
    <row r="13" spans="2:12" x14ac:dyDescent="0.3">
      <c r="B13" s="161"/>
      <c r="C13" s="164"/>
      <c r="D13" s="171" t="s">
        <v>510</v>
      </c>
      <c r="E13" s="264" t="s">
        <v>621</v>
      </c>
      <c r="F13" s="164"/>
      <c r="G13" s="168"/>
      <c r="I13" s="161"/>
      <c r="J13" s="297"/>
      <c r="K13" s="298"/>
      <c r="L13" s="168"/>
    </row>
    <row r="14" spans="2:12" x14ac:dyDescent="0.3">
      <c r="B14" s="161"/>
      <c r="C14" s="167"/>
      <c r="D14" s="172"/>
      <c r="E14" s="257" t="s">
        <v>623</v>
      </c>
      <c r="F14" s="164"/>
      <c r="G14" s="168"/>
      <c r="I14" s="161"/>
      <c r="J14" s="297" t="s">
        <v>211</v>
      </c>
      <c r="K14" s="296" t="s">
        <v>690</v>
      </c>
      <c r="L14" s="168"/>
    </row>
    <row r="15" spans="2:12" x14ac:dyDescent="0.3">
      <c r="B15" s="161"/>
      <c r="C15" s="167"/>
      <c r="D15" s="172"/>
      <c r="E15" s="259"/>
      <c r="F15" s="164"/>
      <c r="G15" s="168"/>
      <c r="I15" s="161"/>
      <c r="J15" s="297"/>
      <c r="K15" s="298" t="s">
        <v>691</v>
      </c>
      <c r="L15" s="168"/>
    </row>
    <row r="16" spans="2:12" x14ac:dyDescent="0.3">
      <c r="B16" s="161"/>
      <c r="C16" s="167"/>
      <c r="D16" s="172"/>
      <c r="E16" s="259" t="s">
        <v>670</v>
      </c>
      <c r="F16" s="164"/>
      <c r="G16" s="168"/>
      <c r="I16" s="161"/>
      <c r="J16" s="300"/>
      <c r="K16" s="298" t="s">
        <v>695</v>
      </c>
      <c r="L16" s="168"/>
    </row>
    <row r="17" spans="2:13" x14ac:dyDescent="0.3">
      <c r="B17" s="161"/>
      <c r="C17" s="167"/>
      <c r="D17" s="172"/>
      <c r="E17" s="259" t="s">
        <v>748</v>
      </c>
      <c r="F17" s="164"/>
      <c r="G17" s="168"/>
      <c r="I17" s="161"/>
      <c r="J17" s="300"/>
      <c r="K17" s="298"/>
      <c r="L17" s="168"/>
    </row>
    <row r="18" spans="2:13" x14ac:dyDescent="0.3">
      <c r="B18" s="161"/>
      <c r="C18" s="167"/>
      <c r="D18" s="172"/>
      <c r="E18" s="259" t="s">
        <v>624</v>
      </c>
      <c r="F18" s="164"/>
      <c r="G18" s="168"/>
      <c r="I18" s="161"/>
      <c r="J18" s="297" t="s">
        <v>211</v>
      </c>
      <c r="K18" s="299" t="s">
        <v>696</v>
      </c>
      <c r="L18" s="168"/>
    </row>
    <row r="19" spans="2:13" ht="27" x14ac:dyDescent="0.3">
      <c r="B19" s="161"/>
      <c r="C19" s="167"/>
      <c r="D19" s="172"/>
      <c r="E19" s="259" t="s">
        <v>642</v>
      </c>
      <c r="F19" s="164"/>
      <c r="G19" s="168"/>
      <c r="I19" s="161"/>
      <c r="J19" s="297"/>
      <c r="K19" s="299"/>
      <c r="L19" s="168"/>
    </row>
    <row r="20" spans="2:13" ht="27" x14ac:dyDescent="0.3">
      <c r="B20" s="161"/>
      <c r="C20" s="167"/>
      <c r="D20" s="172"/>
      <c r="E20" s="260" t="s">
        <v>749</v>
      </c>
      <c r="F20" s="164"/>
      <c r="G20" s="168"/>
      <c r="I20" s="161"/>
      <c r="J20" s="297"/>
      <c r="K20" s="299"/>
      <c r="L20" s="168"/>
    </row>
    <row r="21" spans="2:13" x14ac:dyDescent="0.3">
      <c r="B21" s="161"/>
      <c r="C21" s="164"/>
      <c r="D21" s="172"/>
      <c r="E21" s="166"/>
      <c r="F21" s="164"/>
      <c r="G21" s="168"/>
      <c r="I21" s="570" t="s">
        <v>723</v>
      </c>
      <c r="J21" s="571"/>
      <c r="K21" s="299" t="s">
        <v>725</v>
      </c>
      <c r="L21" s="168"/>
      <c r="M21" s="301"/>
    </row>
    <row r="22" spans="2:13" x14ac:dyDescent="0.3">
      <c r="B22" s="161"/>
      <c r="C22" s="164"/>
      <c r="D22" s="171"/>
      <c r="E22" s="257" t="s">
        <v>625</v>
      </c>
      <c r="F22" s="164"/>
      <c r="G22" s="168"/>
      <c r="I22" s="161"/>
      <c r="J22" s="297"/>
      <c r="K22" s="299"/>
      <c r="L22" s="168"/>
      <c r="M22" s="301"/>
    </row>
    <row r="23" spans="2:13" x14ac:dyDescent="0.3">
      <c r="B23" s="161"/>
      <c r="C23" s="164"/>
      <c r="D23" s="172"/>
      <c r="E23" s="261" t="s">
        <v>651</v>
      </c>
      <c r="F23" s="164"/>
      <c r="G23" s="168"/>
      <c r="I23" s="572" t="s">
        <v>724</v>
      </c>
      <c r="J23" s="573"/>
      <c r="K23" s="299" t="s">
        <v>726</v>
      </c>
      <c r="L23" s="168"/>
      <c r="M23" s="301"/>
    </row>
    <row r="24" spans="2:13" x14ac:dyDescent="0.3">
      <c r="B24" s="161"/>
      <c r="C24" s="164"/>
      <c r="D24" s="172"/>
      <c r="E24" s="465" t="s">
        <v>759</v>
      </c>
      <c r="F24" s="164"/>
      <c r="G24" s="168"/>
      <c r="I24" s="161"/>
      <c r="J24" s="297"/>
      <c r="K24" s="299"/>
      <c r="L24" s="168"/>
      <c r="M24" s="301"/>
    </row>
    <row r="25" spans="2:13" ht="14" thickBot="1" x14ac:dyDescent="0.35">
      <c r="B25" s="161"/>
      <c r="C25" s="164"/>
      <c r="D25" s="172"/>
      <c r="E25" s="261"/>
      <c r="F25" s="164"/>
      <c r="G25" s="168"/>
      <c r="I25" s="165"/>
      <c r="J25" s="314"/>
      <c r="K25" s="315"/>
      <c r="L25" s="170"/>
      <c r="M25" s="301"/>
    </row>
    <row r="26" spans="2:13" x14ac:dyDescent="0.3">
      <c r="B26" s="161"/>
      <c r="C26" s="164"/>
      <c r="D26" s="172" t="s">
        <v>0</v>
      </c>
      <c r="E26" s="265" t="s">
        <v>627</v>
      </c>
      <c r="F26" s="164"/>
      <c r="G26" s="168"/>
      <c r="I26" s="301"/>
      <c r="J26" s="302"/>
      <c r="K26" s="447"/>
      <c r="L26" s="303"/>
      <c r="M26" s="301"/>
    </row>
    <row r="27" spans="2:13" x14ac:dyDescent="0.3">
      <c r="B27" s="161"/>
      <c r="C27" s="164"/>
      <c r="D27" s="172"/>
      <c r="E27" s="258" t="s">
        <v>620</v>
      </c>
      <c r="F27" s="164"/>
      <c r="G27" s="168"/>
      <c r="I27" s="301"/>
      <c r="J27" s="302"/>
      <c r="K27" s="446"/>
      <c r="L27" s="303"/>
      <c r="M27" s="301"/>
    </row>
    <row r="28" spans="2:13" x14ac:dyDescent="0.3">
      <c r="B28" s="161"/>
      <c r="C28" s="164"/>
      <c r="D28" s="172"/>
      <c r="E28" s="258" t="s">
        <v>707</v>
      </c>
      <c r="F28" s="164"/>
      <c r="G28" s="168"/>
      <c r="I28" s="301"/>
      <c r="J28" s="302"/>
      <c r="K28" s="306"/>
      <c r="L28" s="303"/>
      <c r="M28" s="301"/>
    </row>
    <row r="29" spans="2:13" x14ac:dyDescent="0.3">
      <c r="B29" s="161"/>
      <c r="C29" s="164"/>
      <c r="D29" s="172"/>
      <c r="E29" s="261"/>
      <c r="F29" s="164"/>
      <c r="G29" s="168"/>
      <c r="I29" s="301"/>
      <c r="J29" s="302"/>
      <c r="K29" s="304"/>
      <c r="L29" s="303"/>
      <c r="M29" s="301"/>
    </row>
    <row r="30" spans="2:13" x14ac:dyDescent="0.3">
      <c r="B30" s="161"/>
      <c r="C30" s="164"/>
      <c r="D30" s="172" t="s">
        <v>626</v>
      </c>
      <c r="E30" s="265" t="s">
        <v>628</v>
      </c>
      <c r="F30" s="164"/>
      <c r="G30" s="168"/>
      <c r="I30" s="301"/>
      <c r="J30" s="302"/>
      <c r="K30" s="305"/>
      <c r="L30" s="303"/>
      <c r="M30" s="301"/>
    </row>
    <row r="31" spans="2:13" x14ac:dyDescent="0.3">
      <c r="B31" s="161"/>
      <c r="C31" s="164"/>
      <c r="D31" s="172"/>
      <c r="E31" s="260" t="s">
        <v>632</v>
      </c>
      <c r="F31" s="164"/>
      <c r="G31" s="168"/>
      <c r="I31" s="301"/>
      <c r="J31" s="302"/>
      <c r="K31" s="307"/>
      <c r="L31" s="303"/>
      <c r="M31" s="301"/>
    </row>
    <row r="32" spans="2:13" x14ac:dyDescent="0.3">
      <c r="B32" s="161"/>
      <c r="C32" s="164"/>
      <c r="D32" s="172"/>
      <c r="E32" s="258" t="s">
        <v>620</v>
      </c>
      <c r="F32" s="164"/>
      <c r="G32" s="168"/>
      <c r="I32" s="301"/>
      <c r="J32" s="302"/>
      <c r="K32" s="306"/>
      <c r="L32" s="303"/>
      <c r="M32" s="301"/>
    </row>
    <row r="33" spans="2:13" x14ac:dyDescent="0.3">
      <c r="B33" s="161"/>
      <c r="C33" s="164"/>
      <c r="D33" s="172"/>
      <c r="E33" s="258" t="s">
        <v>633</v>
      </c>
      <c r="F33" s="164"/>
      <c r="G33" s="168"/>
      <c r="I33" s="301"/>
      <c r="J33" s="302"/>
      <c r="K33" s="306"/>
      <c r="L33" s="303"/>
      <c r="M33" s="301"/>
    </row>
    <row r="34" spans="2:13" x14ac:dyDescent="0.3">
      <c r="B34" s="161"/>
      <c r="C34" s="164"/>
      <c r="D34" s="172"/>
      <c r="E34" s="258" t="s">
        <v>708</v>
      </c>
      <c r="F34" s="164"/>
      <c r="G34" s="168"/>
      <c r="I34" s="301"/>
      <c r="J34" s="308"/>
      <c r="K34" s="309"/>
      <c r="L34" s="303"/>
      <c r="M34" s="301"/>
    </row>
    <row r="35" spans="2:13" x14ac:dyDescent="0.3">
      <c r="B35" s="161"/>
      <c r="C35" s="164"/>
      <c r="D35" s="172"/>
      <c r="E35" s="258"/>
      <c r="F35" s="164"/>
      <c r="G35" s="168"/>
      <c r="I35" s="301"/>
      <c r="J35" s="308"/>
      <c r="K35" s="309"/>
      <c r="L35" s="303"/>
      <c r="M35" s="301"/>
    </row>
    <row r="36" spans="2:13" x14ac:dyDescent="0.3">
      <c r="B36" s="161"/>
      <c r="C36" s="164"/>
      <c r="D36" s="172" t="s">
        <v>629</v>
      </c>
      <c r="E36" s="266" t="s">
        <v>697</v>
      </c>
      <c r="F36" s="164"/>
      <c r="G36" s="168"/>
      <c r="I36" s="301"/>
      <c r="J36" s="308"/>
      <c r="K36" s="309"/>
      <c r="L36" s="303"/>
      <c r="M36" s="301"/>
    </row>
    <row r="37" spans="2:13" x14ac:dyDescent="0.3">
      <c r="B37" s="161"/>
      <c r="C37" s="164"/>
      <c r="D37" s="172"/>
      <c r="E37" s="258" t="s">
        <v>698</v>
      </c>
      <c r="F37" s="164"/>
      <c r="G37" s="168"/>
      <c r="I37" s="301"/>
      <c r="J37" s="308"/>
      <c r="K37" s="309"/>
      <c r="L37" s="303"/>
      <c r="M37" s="301"/>
    </row>
    <row r="38" spans="2:13" x14ac:dyDescent="0.3">
      <c r="B38" s="161"/>
      <c r="C38" s="164"/>
      <c r="D38" s="172"/>
      <c r="E38" s="258" t="s">
        <v>631</v>
      </c>
      <c r="F38" s="164"/>
      <c r="G38" s="168"/>
      <c r="I38" s="301"/>
      <c r="J38" s="308"/>
      <c r="K38" s="309"/>
      <c r="L38" s="303"/>
      <c r="M38" s="301"/>
    </row>
    <row r="39" spans="2:13" x14ac:dyDescent="0.3">
      <c r="B39" s="161"/>
      <c r="C39" s="164"/>
      <c r="D39" s="172"/>
      <c r="E39" s="258" t="s">
        <v>699</v>
      </c>
      <c r="F39" s="164"/>
      <c r="G39" s="168"/>
      <c r="I39" s="301"/>
      <c r="J39" s="308"/>
      <c r="K39" s="309"/>
      <c r="L39" s="303"/>
      <c r="M39" s="301"/>
    </row>
    <row r="40" spans="2:13" ht="27" x14ac:dyDescent="0.3">
      <c r="B40" s="161"/>
      <c r="C40" s="164"/>
      <c r="D40" s="172"/>
      <c r="E40" s="260" t="s">
        <v>701</v>
      </c>
      <c r="F40" s="164"/>
      <c r="G40" s="168"/>
      <c r="I40" s="301"/>
      <c r="J40" s="308"/>
      <c r="K40" s="309"/>
      <c r="L40" s="303"/>
      <c r="M40" s="301"/>
    </row>
    <row r="41" spans="2:13" x14ac:dyDescent="0.3">
      <c r="B41" s="161"/>
      <c r="C41" s="164"/>
      <c r="D41" s="172"/>
      <c r="E41" s="258" t="s">
        <v>709</v>
      </c>
      <c r="F41" s="164"/>
      <c r="G41" s="168"/>
      <c r="I41" s="301"/>
      <c r="J41" s="308"/>
      <c r="K41" s="309"/>
      <c r="L41" s="303"/>
      <c r="M41" s="301"/>
    </row>
    <row r="42" spans="2:13" x14ac:dyDescent="0.3">
      <c r="B42" s="161"/>
      <c r="C42" s="164"/>
      <c r="D42" s="172"/>
      <c r="E42" s="258"/>
      <c r="F42" s="164"/>
      <c r="G42" s="168"/>
      <c r="I42" s="301"/>
      <c r="J42" s="308"/>
      <c r="K42" s="309"/>
      <c r="L42" s="303"/>
      <c r="M42" s="301"/>
    </row>
    <row r="43" spans="2:13" x14ac:dyDescent="0.3">
      <c r="B43" s="161"/>
      <c r="C43" s="164"/>
      <c r="D43" s="172" t="s">
        <v>700</v>
      </c>
      <c r="E43" s="266" t="s">
        <v>883</v>
      </c>
      <c r="F43" s="164"/>
      <c r="G43" s="168"/>
      <c r="I43" s="301"/>
      <c r="J43" s="308"/>
      <c r="K43" s="309"/>
      <c r="L43" s="303"/>
      <c r="M43" s="301"/>
    </row>
    <row r="44" spans="2:13" x14ac:dyDescent="0.3">
      <c r="B44" s="161"/>
      <c r="C44" s="164"/>
      <c r="D44" s="172"/>
      <c r="E44" s="258" t="s">
        <v>882</v>
      </c>
      <c r="F44" s="164"/>
      <c r="G44" s="168"/>
      <c r="I44" s="301"/>
      <c r="J44" s="308"/>
      <c r="K44" s="309"/>
      <c r="L44" s="303"/>
      <c r="M44" s="301"/>
    </row>
    <row r="45" spans="2:13" x14ac:dyDescent="0.3">
      <c r="B45" s="161"/>
      <c r="C45" s="164"/>
      <c r="D45" s="172"/>
      <c r="E45" s="258" t="s">
        <v>620</v>
      </c>
      <c r="F45" s="164"/>
      <c r="G45" s="168"/>
      <c r="I45" s="301"/>
      <c r="J45" s="308"/>
      <c r="K45" s="309"/>
      <c r="L45" s="303"/>
      <c r="M45" s="301"/>
    </row>
    <row r="46" spans="2:13" x14ac:dyDescent="0.3">
      <c r="B46" s="161"/>
      <c r="C46" s="164"/>
      <c r="D46" s="172"/>
      <c r="E46" s="258" t="s">
        <v>813</v>
      </c>
      <c r="F46" s="164"/>
      <c r="G46" s="168"/>
      <c r="I46" s="301"/>
      <c r="J46" s="308"/>
      <c r="K46" s="309"/>
      <c r="L46" s="303"/>
      <c r="M46" s="301"/>
    </row>
    <row r="47" spans="2:13" x14ac:dyDescent="0.3">
      <c r="B47" s="161"/>
      <c r="C47" s="164"/>
      <c r="D47" s="172"/>
      <c r="E47" s="258"/>
      <c r="F47" s="164"/>
      <c r="G47" s="168"/>
      <c r="I47" s="301"/>
      <c r="J47" s="308"/>
      <c r="K47" s="309"/>
      <c r="L47" s="303"/>
      <c r="M47" s="301"/>
    </row>
    <row r="48" spans="2:13" x14ac:dyDescent="0.3">
      <c r="B48" s="161"/>
      <c r="C48" s="164"/>
      <c r="D48" s="172" t="s">
        <v>812</v>
      </c>
      <c r="E48" s="266" t="s">
        <v>630</v>
      </c>
      <c r="F48" s="164"/>
      <c r="G48" s="168"/>
      <c r="I48" s="301"/>
      <c r="J48" s="308"/>
      <c r="K48" s="310"/>
      <c r="L48" s="303"/>
      <c r="M48" s="301"/>
    </row>
    <row r="49" spans="2:13" x14ac:dyDescent="0.3">
      <c r="B49" s="161"/>
      <c r="C49" s="164"/>
      <c r="D49" s="172"/>
      <c r="E49" s="258" t="s">
        <v>620</v>
      </c>
      <c r="F49" s="164"/>
      <c r="G49" s="168"/>
      <c r="I49" s="301"/>
      <c r="J49" s="308"/>
      <c r="K49" s="309"/>
      <c r="L49" s="303"/>
      <c r="M49" s="301"/>
    </row>
    <row r="50" spans="2:13" x14ac:dyDescent="0.3">
      <c r="B50" s="161"/>
      <c r="C50" s="164"/>
      <c r="D50" s="172"/>
      <c r="E50" s="258" t="s">
        <v>631</v>
      </c>
      <c r="F50" s="164"/>
      <c r="G50" s="168"/>
      <c r="I50" s="301"/>
      <c r="J50" s="308"/>
      <c r="K50" s="309"/>
      <c r="L50" s="303"/>
      <c r="M50" s="301"/>
    </row>
    <row r="51" spans="2:13" x14ac:dyDescent="0.3">
      <c r="B51" s="161"/>
      <c r="C51" s="164"/>
      <c r="D51" s="172"/>
      <c r="E51" s="258"/>
      <c r="F51" s="164"/>
      <c r="G51" s="168"/>
      <c r="I51" s="301"/>
      <c r="J51" s="308"/>
      <c r="K51" s="309"/>
      <c r="L51" s="303"/>
      <c r="M51" s="301"/>
    </row>
    <row r="52" spans="2:13" x14ac:dyDescent="0.3">
      <c r="B52" s="161"/>
      <c r="C52" s="164"/>
      <c r="D52" s="171"/>
      <c r="E52" s="164"/>
      <c r="F52" s="164"/>
      <c r="G52" s="168"/>
      <c r="I52" s="301"/>
      <c r="J52" s="311"/>
      <c r="K52" s="303"/>
      <c r="L52" s="303"/>
      <c r="M52" s="301"/>
    </row>
    <row r="53" spans="2:13" ht="27" x14ac:dyDescent="0.3">
      <c r="B53" s="161"/>
      <c r="C53" s="262" t="s">
        <v>508</v>
      </c>
      <c r="D53" s="263" t="s">
        <v>211</v>
      </c>
      <c r="E53" s="173" t="s">
        <v>509</v>
      </c>
      <c r="F53" s="164"/>
      <c r="G53" s="168"/>
      <c r="I53" s="301"/>
      <c r="J53" s="312"/>
      <c r="K53" s="313"/>
      <c r="L53" s="303"/>
      <c r="M53" s="301"/>
    </row>
    <row r="54" spans="2:13" ht="61.5" customHeight="1" x14ac:dyDescent="0.3">
      <c r="B54" s="161"/>
      <c r="C54" s="164"/>
      <c r="D54" s="263" t="s">
        <v>211</v>
      </c>
      <c r="E54" s="173" t="s">
        <v>710</v>
      </c>
      <c r="F54" s="164"/>
      <c r="G54" s="168"/>
      <c r="I54" s="301"/>
      <c r="J54" s="312"/>
      <c r="K54" s="313"/>
      <c r="L54" s="303"/>
      <c r="M54" s="301"/>
    </row>
    <row r="55" spans="2:13" ht="40.5" x14ac:dyDescent="0.3">
      <c r="B55" s="161"/>
      <c r="C55" s="164"/>
      <c r="D55" s="263" t="s">
        <v>211</v>
      </c>
      <c r="E55" s="173" t="s">
        <v>712</v>
      </c>
      <c r="F55" s="164"/>
      <c r="G55" s="168"/>
      <c r="I55" s="301"/>
      <c r="J55" s="312"/>
      <c r="K55" s="313"/>
      <c r="L55" s="303"/>
      <c r="M55" s="301"/>
    </row>
    <row r="56" spans="2:13" x14ac:dyDescent="0.3">
      <c r="B56" s="161"/>
      <c r="C56" s="164"/>
      <c r="D56" s="263"/>
      <c r="E56" s="173"/>
      <c r="F56" s="164"/>
      <c r="G56" s="168"/>
      <c r="I56" s="301"/>
      <c r="J56" s="312"/>
      <c r="K56" s="313"/>
      <c r="L56" s="303"/>
      <c r="M56" s="301"/>
    </row>
    <row r="57" spans="2:13" ht="40.5" x14ac:dyDescent="0.3">
      <c r="B57" s="161"/>
      <c r="C57" s="164"/>
      <c r="D57" s="263" t="s">
        <v>211</v>
      </c>
      <c r="E57" s="173" t="s">
        <v>713</v>
      </c>
      <c r="F57" s="164"/>
      <c r="G57" s="168"/>
      <c r="I57" s="301"/>
      <c r="J57" s="312"/>
      <c r="K57" s="313"/>
      <c r="L57" s="303"/>
      <c r="M57" s="301"/>
    </row>
    <row r="58" spans="2:13" x14ac:dyDescent="0.3">
      <c r="B58" s="161"/>
      <c r="C58" s="164"/>
      <c r="D58" s="263"/>
      <c r="E58" s="173"/>
      <c r="F58" s="164"/>
      <c r="G58" s="168"/>
      <c r="I58" s="301"/>
      <c r="J58" s="312"/>
      <c r="K58" s="313"/>
      <c r="L58" s="303"/>
      <c r="M58" s="301"/>
    </row>
    <row r="59" spans="2:13" ht="27" x14ac:dyDescent="0.3">
      <c r="B59" s="161"/>
      <c r="C59" s="164"/>
      <c r="D59" s="263" t="s">
        <v>211</v>
      </c>
      <c r="E59" s="173" t="s">
        <v>760</v>
      </c>
      <c r="F59" s="164"/>
      <c r="G59" s="168"/>
      <c r="I59" s="301"/>
      <c r="J59" s="312"/>
      <c r="K59" s="313"/>
      <c r="L59" s="303"/>
      <c r="M59" s="301"/>
    </row>
    <row r="60" spans="2:13" x14ac:dyDescent="0.3">
      <c r="B60" s="161"/>
      <c r="C60" s="164"/>
      <c r="D60" s="263"/>
      <c r="E60" s="173"/>
      <c r="F60" s="164"/>
      <c r="G60" s="168"/>
      <c r="I60" s="301"/>
      <c r="J60" s="312"/>
      <c r="K60" s="313"/>
      <c r="L60" s="303"/>
      <c r="M60" s="301"/>
    </row>
    <row r="61" spans="2:13" ht="14" thickBot="1" x14ac:dyDescent="0.35">
      <c r="B61" s="165"/>
      <c r="C61" s="169"/>
      <c r="D61" s="169"/>
      <c r="E61" s="169"/>
      <c r="F61" s="169"/>
      <c r="G61" s="170"/>
      <c r="I61" s="301"/>
      <c r="J61" s="303"/>
      <c r="K61" s="303"/>
      <c r="L61" s="303"/>
      <c r="M61" s="301"/>
    </row>
    <row r="62" spans="2:13" x14ac:dyDescent="0.3">
      <c r="I62" s="301"/>
      <c r="J62" s="301"/>
      <c r="K62" s="301"/>
      <c r="L62" s="301"/>
      <c r="M62" s="301"/>
    </row>
  </sheetData>
  <mergeCells count="5">
    <mergeCell ref="C3:E3"/>
    <mergeCell ref="D5:E5"/>
    <mergeCell ref="J3:K3"/>
    <mergeCell ref="I21:J21"/>
    <mergeCell ref="I23:J23"/>
  </mergeCells>
  <phoneticPr fontId="10"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tabColor rgb="FFFFFF00"/>
    <pageSetUpPr fitToPage="1"/>
  </sheetPr>
  <dimension ref="A1:I85"/>
  <sheetViews>
    <sheetView zoomScale="70" zoomScaleNormal="70" workbookViewId="0">
      <pane xSplit="6" ySplit="14" topLeftCell="G79" activePane="bottomRight" state="frozen"/>
      <selection pane="topRight" activeCell="G1" sqref="G1"/>
      <selection pane="bottomLeft" activeCell="A15" sqref="A15"/>
      <selection pane="bottomRight" activeCell="B77" sqref="B77"/>
    </sheetView>
  </sheetViews>
  <sheetFormatPr defaultColWidth="11.453125" defaultRowHeight="13.5" x14ac:dyDescent="0.25"/>
  <cols>
    <col min="1" max="1" width="112.81640625" style="23" customWidth="1"/>
    <col min="2" max="2" width="15.7265625" style="75" bestFit="1" customWidth="1"/>
    <col min="3" max="3" width="16.81640625" style="72" customWidth="1"/>
    <col min="4" max="4" width="32.54296875" style="23" customWidth="1"/>
    <col min="5" max="5" width="39.81640625" style="23" customWidth="1"/>
    <col min="6" max="6" width="8.1796875" style="23" customWidth="1"/>
    <col min="7" max="7" width="23.54296875" style="23" customWidth="1"/>
    <col min="8" max="8" width="6.1796875" style="23" customWidth="1"/>
    <col min="9" max="16384" width="11.453125" style="23"/>
  </cols>
  <sheetData>
    <row r="1" spans="1:9" ht="15" x14ac:dyDescent="0.25">
      <c r="A1" s="574" t="s">
        <v>554</v>
      </c>
      <c r="B1" s="574"/>
      <c r="C1" s="574"/>
      <c r="D1" s="574"/>
      <c r="E1" s="574"/>
      <c r="F1" s="574"/>
    </row>
    <row r="2" spans="1:9" x14ac:dyDescent="0.25">
      <c r="D2" s="156" t="s">
        <v>507</v>
      </c>
      <c r="E2" s="157">
        <v>43873</v>
      </c>
    </row>
    <row r="3" spans="1:9" x14ac:dyDescent="0.25">
      <c r="A3" s="575" t="s">
        <v>132</v>
      </c>
      <c r="B3" s="575"/>
      <c r="C3" s="575"/>
      <c r="D3" s="575"/>
      <c r="E3" s="575"/>
      <c r="F3" s="575"/>
    </row>
    <row r="4" spans="1:9" x14ac:dyDescent="0.25">
      <c r="A4" s="24" t="s">
        <v>133</v>
      </c>
      <c r="B4" s="576"/>
      <c r="C4" s="577"/>
      <c r="D4" s="577"/>
      <c r="E4" s="578"/>
      <c r="F4" s="25"/>
      <c r="G4" s="26"/>
      <c r="H4" s="26"/>
      <c r="I4" s="26"/>
    </row>
    <row r="6" spans="1:9" x14ac:dyDescent="0.25">
      <c r="A6" s="575" t="s">
        <v>134</v>
      </c>
      <c r="B6" s="575"/>
      <c r="C6" s="575"/>
      <c r="D6" s="575"/>
      <c r="E6" s="575"/>
      <c r="F6" s="575"/>
    </row>
    <row r="7" spans="1:9" x14ac:dyDescent="0.25">
      <c r="A7" s="84"/>
      <c r="B7" s="85"/>
      <c r="C7" s="86" t="s">
        <v>734</v>
      </c>
      <c r="D7" s="31"/>
      <c r="E7" s="31"/>
      <c r="F7" s="25"/>
    </row>
    <row r="8" spans="1:9" x14ac:dyDescent="0.25">
      <c r="A8" s="31"/>
      <c r="B8" s="77"/>
      <c r="C8" s="86" t="s">
        <v>312</v>
      </c>
      <c r="D8" s="31"/>
      <c r="E8" s="31"/>
      <c r="F8" s="25"/>
    </row>
    <row r="9" spans="1:9" x14ac:dyDescent="0.25">
      <c r="A9" s="31"/>
      <c r="B9" s="87"/>
      <c r="C9" s="86" t="s">
        <v>905</v>
      </c>
      <c r="D9" s="31"/>
      <c r="E9" s="31"/>
      <c r="F9" s="25"/>
    </row>
    <row r="10" spans="1:9" ht="14" thickBot="1" x14ac:dyDescent="0.3">
      <c r="A10" s="239"/>
      <c r="B10" s="240"/>
      <c r="C10" s="241" t="s">
        <v>572</v>
      </c>
      <c r="D10" s="239"/>
      <c r="E10" s="239"/>
      <c r="F10" s="242"/>
    </row>
    <row r="11" spans="1:9" x14ac:dyDescent="0.25">
      <c r="A11" s="31"/>
      <c r="B11" s="88"/>
      <c r="C11" s="89"/>
      <c r="D11" s="31"/>
      <c r="E11" s="31"/>
    </row>
    <row r="12" spans="1:9" ht="30.75" customHeight="1" x14ac:dyDescent="0.25">
      <c r="A12" s="31"/>
      <c r="B12" s="436" t="s">
        <v>908</v>
      </c>
      <c r="C12" s="400" t="b">
        <v>0</v>
      </c>
      <c r="D12" s="31"/>
      <c r="E12" s="31"/>
    </row>
    <row r="13" spans="1:9" x14ac:dyDescent="0.25">
      <c r="A13" s="31"/>
      <c r="B13" s="88"/>
      <c r="C13" s="89"/>
      <c r="D13" s="31"/>
      <c r="E13" s="31"/>
    </row>
    <row r="14" spans="1:9" ht="14" thickBot="1" x14ac:dyDescent="0.3">
      <c r="A14" s="32" t="s">
        <v>135</v>
      </c>
      <c r="B14" s="65" t="s">
        <v>136</v>
      </c>
      <c r="C14" s="71" t="s">
        <v>137</v>
      </c>
      <c r="D14" s="32" t="s">
        <v>138</v>
      </c>
      <c r="E14" s="32" t="s">
        <v>139</v>
      </c>
      <c r="F14" s="34"/>
    </row>
    <row r="15" spans="1:9" x14ac:dyDescent="0.25">
      <c r="B15" s="435"/>
    </row>
    <row r="16" spans="1:9" x14ac:dyDescent="0.25">
      <c r="A16" s="55" t="s">
        <v>197</v>
      </c>
      <c r="B16" s="361"/>
      <c r="D16" s="401"/>
      <c r="F16" s="55"/>
    </row>
    <row r="17" spans="1:7" x14ac:dyDescent="0.25">
      <c r="A17" s="31" t="s">
        <v>555</v>
      </c>
      <c r="B17" s="431">
        <v>2.85</v>
      </c>
      <c r="C17" s="72" t="s">
        <v>753</v>
      </c>
      <c r="D17" s="401"/>
      <c r="E17" s="401"/>
      <c r="F17" s="55"/>
    </row>
    <row r="18" spans="1:7" x14ac:dyDescent="0.25">
      <c r="A18" s="31" t="s">
        <v>556</v>
      </c>
      <c r="B18" s="431">
        <v>7</v>
      </c>
      <c r="C18" s="73" t="s">
        <v>195</v>
      </c>
      <c r="D18" s="401"/>
      <c r="E18" s="401"/>
      <c r="F18" s="55"/>
    </row>
    <row r="19" spans="1:7" hidden="1" x14ac:dyDescent="0.25">
      <c r="A19" s="31" t="s">
        <v>557</v>
      </c>
      <c r="B19" s="431">
        <v>21</v>
      </c>
      <c r="C19" s="72" t="s">
        <v>303</v>
      </c>
      <c r="D19" s="401"/>
      <c r="E19" s="401">
        <v>1</v>
      </c>
      <c r="F19" s="55"/>
    </row>
    <row r="20" spans="1:7" hidden="1" x14ac:dyDescent="0.25">
      <c r="A20" s="31" t="s">
        <v>558</v>
      </c>
      <c r="B20" s="431">
        <v>46.5</v>
      </c>
      <c r="C20" s="73" t="s">
        <v>195</v>
      </c>
      <c r="D20" s="401"/>
      <c r="E20" s="401">
        <v>1</v>
      </c>
      <c r="F20" s="55"/>
    </row>
    <row r="21" spans="1:7" x14ac:dyDescent="0.25">
      <c r="A21" s="31"/>
      <c r="B21" s="432"/>
      <c r="C21" s="73"/>
      <c r="D21" s="401"/>
      <c r="E21" s="401"/>
      <c r="F21" s="55"/>
    </row>
    <row r="22" spans="1:7" x14ac:dyDescent="0.25">
      <c r="A22" s="31" t="s">
        <v>559</v>
      </c>
      <c r="B22" s="431">
        <v>55</v>
      </c>
      <c r="C22" s="73" t="s">
        <v>140</v>
      </c>
      <c r="D22" s="380"/>
      <c r="E22" s="380">
        <v>1</v>
      </c>
      <c r="F22" s="27"/>
    </row>
    <row r="23" spans="1:7" x14ac:dyDescent="0.25">
      <c r="A23" s="31"/>
      <c r="B23" s="432"/>
      <c r="C23" s="73"/>
      <c r="D23" s="380"/>
      <c r="E23" s="380"/>
      <c r="F23" s="27"/>
    </row>
    <row r="24" spans="1:7" x14ac:dyDescent="0.25">
      <c r="A24" s="31" t="s">
        <v>142</v>
      </c>
      <c r="B24" s="431">
        <v>2.5</v>
      </c>
      <c r="C24" s="73" t="s">
        <v>754</v>
      </c>
      <c r="D24" s="381"/>
      <c r="E24" s="380"/>
      <c r="F24" s="27"/>
    </row>
    <row r="25" spans="1:7" ht="54" x14ac:dyDescent="0.25">
      <c r="A25" s="31" t="s">
        <v>718</v>
      </c>
      <c r="B25" s="433">
        <v>5.4</v>
      </c>
      <c r="C25" s="73" t="s">
        <v>755</v>
      </c>
      <c r="D25" s="381" t="s">
        <v>727</v>
      </c>
      <c r="F25" s="27"/>
      <c r="G25" s="403" t="s">
        <v>902</v>
      </c>
    </row>
    <row r="26" spans="1:7" ht="53.5" x14ac:dyDescent="0.25">
      <c r="A26" s="31" t="s">
        <v>719</v>
      </c>
      <c r="B26" s="558">
        <v>4</v>
      </c>
      <c r="C26" s="73" t="s">
        <v>755</v>
      </c>
      <c r="D26" s="381" t="s">
        <v>652</v>
      </c>
      <c r="E26" s="380"/>
      <c r="F26" s="27"/>
      <c r="G26" s="517" t="s">
        <v>887</v>
      </c>
    </row>
    <row r="27" spans="1:7" x14ac:dyDescent="0.25">
      <c r="A27" s="31" t="s">
        <v>637</v>
      </c>
      <c r="B27" s="433">
        <v>1</v>
      </c>
      <c r="C27" s="155" t="s">
        <v>213</v>
      </c>
      <c r="D27" s="381" t="s">
        <v>906</v>
      </c>
      <c r="E27" s="380"/>
      <c r="F27" s="27"/>
      <c r="G27" s="515" t="s">
        <v>888</v>
      </c>
    </row>
    <row r="28" spans="1:7" x14ac:dyDescent="0.25">
      <c r="A28" s="31" t="s">
        <v>742</v>
      </c>
      <c r="B28" s="434">
        <v>1.26E-4</v>
      </c>
      <c r="C28" s="73" t="s">
        <v>318</v>
      </c>
      <c r="D28" s="381"/>
      <c r="E28" s="380"/>
      <c r="F28" s="27"/>
      <c r="G28" s="515" t="s">
        <v>889</v>
      </c>
    </row>
    <row r="29" spans="1:7" x14ac:dyDescent="0.25">
      <c r="A29" s="31" t="s">
        <v>964</v>
      </c>
      <c r="B29" s="434">
        <v>1.0000000000000001E-5</v>
      </c>
      <c r="C29" s="73" t="s">
        <v>318</v>
      </c>
      <c r="D29" s="381"/>
      <c r="E29" s="380">
        <v>1</v>
      </c>
      <c r="F29" s="27"/>
      <c r="G29" s="515" t="s">
        <v>904</v>
      </c>
    </row>
    <row r="30" spans="1:7" x14ac:dyDescent="0.25">
      <c r="A30" s="31" t="s">
        <v>729</v>
      </c>
      <c r="B30" s="434">
        <v>1E-4</v>
      </c>
      <c r="C30" s="73" t="s">
        <v>318</v>
      </c>
      <c r="D30" s="381"/>
      <c r="E30" s="380"/>
      <c r="F30" s="27"/>
    </row>
    <row r="31" spans="1:7" hidden="1" x14ac:dyDescent="0.25">
      <c r="A31" s="31" t="s">
        <v>728</v>
      </c>
      <c r="B31" s="434">
        <v>0</v>
      </c>
      <c r="C31" s="73" t="s">
        <v>318</v>
      </c>
      <c r="D31" s="381"/>
      <c r="E31" s="380"/>
      <c r="F31" s="27"/>
      <c r="G31" s="23" t="s">
        <v>903</v>
      </c>
    </row>
    <row r="32" spans="1:7" x14ac:dyDescent="0.25">
      <c r="A32" s="31" t="s">
        <v>506</v>
      </c>
      <c r="B32" s="369">
        <v>-1</v>
      </c>
      <c r="C32" s="155" t="s">
        <v>211</v>
      </c>
      <c r="D32" s="381"/>
      <c r="E32" s="23">
        <v>1</v>
      </c>
      <c r="F32" s="27"/>
      <c r="G32" s="449"/>
    </row>
    <row r="33" spans="1:7" x14ac:dyDescent="0.25">
      <c r="A33" s="31" t="s">
        <v>720</v>
      </c>
      <c r="B33" s="431">
        <v>7</v>
      </c>
      <c r="C33" s="155" t="s">
        <v>213</v>
      </c>
      <c r="D33" s="381"/>
      <c r="E33" s="380">
        <v>1</v>
      </c>
      <c r="F33" s="27"/>
      <c r="G33" s="516" t="s">
        <v>886</v>
      </c>
    </row>
    <row r="34" spans="1:7" x14ac:dyDescent="0.25">
      <c r="A34" s="31"/>
      <c r="B34" s="432"/>
      <c r="C34" s="73"/>
      <c r="D34" s="380"/>
      <c r="E34" s="380"/>
      <c r="F34" s="27"/>
    </row>
    <row r="35" spans="1:7" x14ac:dyDescent="0.25">
      <c r="A35" s="98" t="s">
        <v>721</v>
      </c>
      <c r="B35" s="431">
        <v>163</v>
      </c>
      <c r="C35" s="73" t="s">
        <v>215</v>
      </c>
      <c r="D35" s="402" t="s">
        <v>141</v>
      </c>
      <c r="E35" s="403">
        <v>1</v>
      </c>
      <c r="F35" s="27"/>
    </row>
    <row r="36" spans="1:7" x14ac:dyDescent="0.25">
      <c r="A36" s="31" t="s">
        <v>199</v>
      </c>
      <c r="B36" s="431">
        <v>1.5</v>
      </c>
      <c r="C36" s="73" t="s">
        <v>215</v>
      </c>
      <c r="D36" s="381" t="s">
        <v>652</v>
      </c>
      <c r="E36" s="23">
        <v>1</v>
      </c>
      <c r="F36" s="27"/>
      <c r="G36" s="450"/>
    </row>
    <row r="37" spans="1:7" x14ac:dyDescent="0.25">
      <c r="A37" s="31" t="s">
        <v>200</v>
      </c>
      <c r="B37" s="431">
        <v>-1.5</v>
      </c>
      <c r="C37" s="73" t="s">
        <v>215</v>
      </c>
      <c r="D37" s="381" t="s">
        <v>652</v>
      </c>
      <c r="E37" s="23">
        <v>1</v>
      </c>
      <c r="F37" s="27"/>
      <c r="G37" s="450"/>
    </row>
    <row r="38" spans="1:7" x14ac:dyDescent="0.25">
      <c r="A38" s="31" t="s">
        <v>722</v>
      </c>
      <c r="B38" s="431">
        <v>3.3</v>
      </c>
      <c r="C38" s="73" t="s">
        <v>215</v>
      </c>
      <c r="D38" s="380"/>
      <c r="E38" s="380">
        <v>1</v>
      </c>
      <c r="F38" s="27"/>
    </row>
    <row r="39" spans="1:7" ht="129" customHeight="1" x14ac:dyDescent="0.25">
      <c r="A39" s="97" t="s">
        <v>201</v>
      </c>
      <c r="B39" s="370">
        <v>15</v>
      </c>
      <c r="C39" s="73" t="s">
        <v>323</v>
      </c>
      <c r="D39" s="381" t="s">
        <v>730</v>
      </c>
      <c r="E39" s="380"/>
      <c r="F39" s="25"/>
      <c r="G39" s="516" t="s">
        <v>890</v>
      </c>
    </row>
    <row r="40" spans="1:7" ht="162" x14ac:dyDescent="0.25">
      <c r="A40" s="97" t="s">
        <v>907</v>
      </c>
      <c r="B40" s="370">
        <v>7</v>
      </c>
      <c r="C40" s="73" t="s">
        <v>323</v>
      </c>
      <c r="D40" s="381" t="s">
        <v>731</v>
      </c>
      <c r="E40" s="380"/>
      <c r="F40" s="25"/>
      <c r="G40" s="517" t="s">
        <v>891</v>
      </c>
    </row>
    <row r="41" spans="1:7" ht="65" hidden="1" x14ac:dyDescent="0.25">
      <c r="A41" s="97" t="s">
        <v>810</v>
      </c>
      <c r="B41" s="368">
        <v>0.89</v>
      </c>
      <c r="C41" s="73"/>
      <c r="D41" s="381" t="s">
        <v>652</v>
      </c>
      <c r="E41" s="380">
        <v>1</v>
      </c>
      <c r="F41" s="25"/>
      <c r="G41" s="516" t="s">
        <v>892</v>
      </c>
    </row>
    <row r="42" spans="1:7" ht="27" hidden="1" x14ac:dyDescent="0.25">
      <c r="A42" s="97" t="s">
        <v>811</v>
      </c>
      <c r="B42" s="368">
        <v>0.86</v>
      </c>
      <c r="C42" s="73"/>
      <c r="D42" s="381" t="s">
        <v>652</v>
      </c>
      <c r="E42" s="380">
        <v>1</v>
      </c>
      <c r="F42" s="25"/>
      <c r="G42" s="517" t="s">
        <v>893</v>
      </c>
    </row>
    <row r="43" spans="1:7" ht="39.5" x14ac:dyDescent="0.25">
      <c r="A43" s="31" t="s">
        <v>315</v>
      </c>
      <c r="B43" s="368">
        <v>0.85</v>
      </c>
      <c r="D43" s="381" t="s">
        <v>652</v>
      </c>
      <c r="E43" s="380">
        <v>1</v>
      </c>
      <c r="F43" s="25"/>
      <c r="G43" s="517" t="s">
        <v>894</v>
      </c>
    </row>
    <row r="44" spans="1:7" x14ac:dyDescent="0.25">
      <c r="A44" s="31" t="s">
        <v>317</v>
      </c>
      <c r="B44" s="368">
        <v>0.93</v>
      </c>
      <c r="D44" s="381" t="s">
        <v>652</v>
      </c>
      <c r="E44" s="380">
        <v>1</v>
      </c>
      <c r="F44" s="25"/>
      <c r="G44" s="515" t="s">
        <v>895</v>
      </c>
    </row>
    <row r="45" spans="1:7" ht="39" x14ac:dyDescent="0.25">
      <c r="A45" s="31" t="s">
        <v>316</v>
      </c>
      <c r="B45" s="368">
        <v>100</v>
      </c>
      <c r="C45" s="89" t="s">
        <v>434</v>
      </c>
      <c r="D45" s="381" t="s">
        <v>652</v>
      </c>
      <c r="E45" s="380"/>
      <c r="F45" s="25"/>
      <c r="G45" s="516" t="s">
        <v>896</v>
      </c>
    </row>
    <row r="46" spans="1:7" x14ac:dyDescent="0.25">
      <c r="B46" s="435"/>
      <c r="D46" s="401"/>
      <c r="E46" s="401"/>
    </row>
    <row r="47" spans="1:7" x14ac:dyDescent="0.25">
      <c r="A47" s="55" t="s">
        <v>143</v>
      </c>
      <c r="B47" s="268" t="s">
        <v>638</v>
      </c>
      <c r="E47" s="401"/>
      <c r="F47" s="55"/>
    </row>
    <row r="48" spans="1:7" x14ac:dyDescent="0.25">
      <c r="A48" s="31" t="s">
        <v>198</v>
      </c>
      <c r="B48" s="354">
        <f>B18/B17</f>
        <v>2.4561403508771931</v>
      </c>
      <c r="C48" s="73" t="s">
        <v>195</v>
      </c>
      <c r="D48" s="23" t="s">
        <v>908</v>
      </c>
      <c r="E48" s="380"/>
      <c r="F48" s="27"/>
    </row>
    <row r="49" spans="1:7" x14ac:dyDescent="0.25">
      <c r="A49" s="31" t="s">
        <v>202</v>
      </c>
      <c r="B49" s="355">
        <f>B22/B48</f>
        <v>22.392857142857142</v>
      </c>
      <c r="C49" s="89" t="s">
        <v>303</v>
      </c>
      <c r="D49" s="23" t="s">
        <v>885</v>
      </c>
      <c r="E49" s="380"/>
      <c r="F49" s="27"/>
    </row>
    <row r="50" spans="1:7" x14ac:dyDescent="0.25">
      <c r="A50" s="31" t="s">
        <v>752</v>
      </c>
      <c r="B50" s="355">
        <f>B49</f>
        <v>22.392857142857142</v>
      </c>
      <c r="C50" s="89" t="s">
        <v>303</v>
      </c>
      <c r="D50" s="23" t="s">
        <v>885</v>
      </c>
      <c r="E50" s="380"/>
      <c r="F50" s="27"/>
    </row>
    <row r="51" spans="1:7" x14ac:dyDescent="0.25">
      <c r="A51" s="31" t="s">
        <v>144</v>
      </c>
      <c r="B51" s="354">
        <f>B22</f>
        <v>55</v>
      </c>
      <c r="C51" s="89" t="s">
        <v>756</v>
      </c>
      <c r="D51" s="23" t="s">
        <v>885</v>
      </c>
      <c r="E51" s="380"/>
      <c r="F51" s="27"/>
    </row>
    <row r="52" spans="1:7" ht="12" customHeight="1" x14ac:dyDescent="0.25">
      <c r="A52" s="31" t="s">
        <v>203</v>
      </c>
      <c r="B52" s="355">
        <f>(B35+B36+(2*B38))</f>
        <v>171.1</v>
      </c>
      <c r="C52" s="89" t="s">
        <v>215</v>
      </c>
      <c r="E52" s="380"/>
      <c r="F52" s="25"/>
    </row>
    <row r="53" spans="1:7" x14ac:dyDescent="0.25">
      <c r="A53" s="31" t="s">
        <v>205</v>
      </c>
      <c r="B53" s="355">
        <f>B52/B51*360</f>
        <v>1119.9272727272728</v>
      </c>
      <c r="C53" s="89" t="s">
        <v>323</v>
      </c>
      <c r="D53" s="23" t="s">
        <v>885</v>
      </c>
      <c r="E53" s="380"/>
      <c r="F53" s="25"/>
    </row>
    <row r="54" spans="1:7" x14ac:dyDescent="0.25">
      <c r="A54" s="31" t="s">
        <v>204</v>
      </c>
      <c r="B54" s="355">
        <f>(B35+B37)</f>
        <v>161.5</v>
      </c>
      <c r="C54" s="89" t="s">
        <v>215</v>
      </c>
      <c r="E54" s="380"/>
      <c r="F54" s="25"/>
    </row>
    <row r="55" spans="1:7" x14ac:dyDescent="0.25">
      <c r="A55" s="31" t="s">
        <v>206</v>
      </c>
      <c r="B55" s="355">
        <f>B54/B51*360</f>
        <v>1057.0909090909092</v>
      </c>
      <c r="C55" s="89" t="s">
        <v>323</v>
      </c>
      <c r="D55" s="23" t="s">
        <v>885</v>
      </c>
      <c r="E55" s="380"/>
      <c r="F55" s="25"/>
    </row>
    <row r="56" spans="1:7" x14ac:dyDescent="0.25">
      <c r="A56" s="31" t="s">
        <v>207</v>
      </c>
      <c r="B56" s="355">
        <f>B35/B51*360</f>
        <v>1066.909090909091</v>
      </c>
      <c r="C56" s="89" t="s">
        <v>323</v>
      </c>
      <c r="D56" s="23" t="s">
        <v>885</v>
      </c>
      <c r="E56" s="401"/>
      <c r="F56" s="25"/>
    </row>
    <row r="57" spans="1:7" x14ac:dyDescent="0.25">
      <c r="A57" s="31" t="s">
        <v>208</v>
      </c>
      <c r="B57" s="355">
        <f>B39*B51/360</f>
        <v>2.2916666666666665</v>
      </c>
      <c r="C57" s="89" t="s">
        <v>215</v>
      </c>
      <c r="E57" s="401"/>
      <c r="F57" s="25"/>
    </row>
    <row r="58" spans="1:7" x14ac:dyDescent="0.25">
      <c r="A58" s="31" t="s">
        <v>209</v>
      </c>
      <c r="B58" s="355">
        <f>B45/360*B48</f>
        <v>0.68226120857699812</v>
      </c>
      <c r="C58" s="89" t="s">
        <v>215</v>
      </c>
      <c r="E58" s="401"/>
      <c r="F58" s="25"/>
    </row>
    <row r="59" spans="1:7" x14ac:dyDescent="0.25">
      <c r="A59" s="31" t="s">
        <v>742</v>
      </c>
      <c r="B59" s="448">
        <f>B28</f>
        <v>1.26E-4</v>
      </c>
      <c r="C59" s="73" t="s">
        <v>318</v>
      </c>
      <c r="E59" s="401"/>
      <c r="F59" s="25"/>
    </row>
    <row r="60" spans="1:7" x14ac:dyDescent="0.25">
      <c r="A60" s="31" t="s">
        <v>743</v>
      </c>
      <c r="B60" s="448">
        <f>B29</f>
        <v>1.0000000000000001E-5</v>
      </c>
      <c r="C60" s="73" t="s">
        <v>318</v>
      </c>
      <c r="E60" s="401"/>
      <c r="F60" s="25"/>
    </row>
    <row r="61" spans="1:7" x14ac:dyDescent="0.25">
      <c r="A61" s="31" t="s">
        <v>909</v>
      </c>
      <c r="B61" s="448">
        <f>B30/(B17^2)</f>
        <v>1.2311480455524777E-5</v>
      </c>
      <c r="C61" s="73" t="s">
        <v>318</v>
      </c>
      <c r="D61" s="23" t="s">
        <v>908</v>
      </c>
      <c r="E61" s="401"/>
      <c r="F61" s="25"/>
    </row>
    <row r="62" spans="1:7" x14ac:dyDescent="0.25">
      <c r="A62" s="31"/>
      <c r="B62" s="88"/>
      <c r="C62" s="89"/>
      <c r="E62" s="401"/>
      <c r="F62" s="25"/>
    </row>
    <row r="63" spans="1:7" s="28" customFormat="1" x14ac:dyDescent="0.25">
      <c r="B63" s="76"/>
      <c r="C63" s="73"/>
      <c r="D63" s="23"/>
      <c r="E63" s="401"/>
      <c r="G63" s="23"/>
    </row>
    <row r="64" spans="1:7" x14ac:dyDescent="0.25">
      <c r="A64" s="55" t="s">
        <v>301</v>
      </c>
      <c r="B64" s="48"/>
      <c r="E64" s="401"/>
      <c r="F64" s="25"/>
    </row>
    <row r="65" spans="1:7" x14ac:dyDescent="0.25">
      <c r="A65" s="23" t="s">
        <v>302</v>
      </c>
      <c r="B65" s="78">
        <f>B48</f>
        <v>2.4561403508771931</v>
      </c>
      <c r="C65" s="72" t="s">
        <v>195</v>
      </c>
      <c r="D65" s="23" t="s">
        <v>4</v>
      </c>
      <c r="E65" s="401"/>
      <c r="F65" s="25"/>
    </row>
    <row r="66" spans="1:7" x14ac:dyDescent="0.25">
      <c r="A66" s="23" t="s">
        <v>571</v>
      </c>
      <c r="B66" s="90">
        <f>ROUND(2^15/B49, 0)</f>
        <v>1463</v>
      </c>
      <c r="C66" s="72" t="s">
        <v>303</v>
      </c>
      <c r="D66" s="23" t="s">
        <v>7</v>
      </c>
      <c r="E66" s="401"/>
      <c r="F66" s="25"/>
    </row>
    <row r="67" spans="1:7" x14ac:dyDescent="0.25">
      <c r="A67" s="23" t="s">
        <v>751</v>
      </c>
      <c r="B67" s="90">
        <f>ROUND(2^15/B50, 0)</f>
        <v>1463</v>
      </c>
      <c r="C67" s="72" t="s">
        <v>303</v>
      </c>
      <c r="D67" s="532" t="s">
        <v>750</v>
      </c>
      <c r="E67" s="531" t="s">
        <v>977</v>
      </c>
      <c r="F67" s="549" t="s">
        <v>959</v>
      </c>
    </row>
    <row r="68" spans="1:7" x14ac:dyDescent="0.25">
      <c r="A68" s="23" t="s">
        <v>304</v>
      </c>
      <c r="B68" s="90">
        <f>ROUND(1/$B$24*2^16*10/2^10, 0)</f>
        <v>256</v>
      </c>
      <c r="C68" s="72" t="s">
        <v>305</v>
      </c>
      <c r="D68" s="23" t="s">
        <v>8</v>
      </c>
      <c r="E68" s="401"/>
      <c r="F68" s="25"/>
    </row>
    <row r="69" spans="1:7" x14ac:dyDescent="0.25">
      <c r="A69" s="23" t="s">
        <v>313</v>
      </c>
      <c r="B69" s="91">
        <f>1/B49*B43</f>
        <v>3.7958532695374803E-2</v>
      </c>
      <c r="C69" s="72" t="s">
        <v>306</v>
      </c>
      <c r="D69" s="23" t="s">
        <v>1</v>
      </c>
      <c r="E69" s="401"/>
      <c r="F69" s="25"/>
    </row>
    <row r="70" spans="1:7" x14ac:dyDescent="0.25">
      <c r="A70" s="23" t="s">
        <v>193</v>
      </c>
      <c r="B70" s="90">
        <f>ROUND(2*PI()/(B48/1000), 0)</f>
        <v>2558</v>
      </c>
      <c r="C70" s="93" t="s">
        <v>211</v>
      </c>
      <c r="D70" s="23" t="s">
        <v>2</v>
      </c>
      <c r="E70" s="401"/>
      <c r="F70" s="25"/>
    </row>
    <row r="71" spans="1:7" x14ac:dyDescent="0.25">
      <c r="A71" s="23" t="s">
        <v>314</v>
      </c>
      <c r="B71" s="90">
        <f>ROUND(2*PI()/(B48/1000)*B44, 0)</f>
        <v>2379</v>
      </c>
      <c r="C71" s="93" t="s">
        <v>211</v>
      </c>
      <c r="D71" s="23" t="s">
        <v>3</v>
      </c>
      <c r="E71" s="401"/>
      <c r="F71" s="25"/>
    </row>
    <row r="72" spans="1:7" x14ac:dyDescent="0.25">
      <c r="A72" s="23" t="s">
        <v>194</v>
      </c>
      <c r="B72" s="92">
        <f>(B48/1000)/(2*PI())</f>
        <v>3.9090687776956754E-4</v>
      </c>
      <c r="C72" s="93" t="s">
        <v>211</v>
      </c>
      <c r="D72" s="23" t="s">
        <v>5</v>
      </c>
      <c r="E72" s="401"/>
      <c r="F72" s="25"/>
    </row>
    <row r="73" spans="1:7" x14ac:dyDescent="0.25">
      <c r="A73" s="23" t="s">
        <v>307</v>
      </c>
      <c r="B73" s="78">
        <f>MIN(MAX(B26*B24-B27,8), 10)</f>
        <v>9</v>
      </c>
      <c r="C73" s="72" t="s">
        <v>213</v>
      </c>
      <c r="D73" s="23" t="s">
        <v>102</v>
      </c>
      <c r="E73" s="404" t="s">
        <v>236</v>
      </c>
      <c r="F73" s="25"/>
    </row>
    <row r="74" spans="1:7" x14ac:dyDescent="0.25">
      <c r="A74" s="23" t="s">
        <v>963</v>
      </c>
      <c r="B74" s="92">
        <f>B59</f>
        <v>1.26E-4</v>
      </c>
      <c r="C74" s="72" t="s">
        <v>318</v>
      </c>
      <c r="D74" s="23" t="s">
        <v>705</v>
      </c>
      <c r="E74" s="405"/>
      <c r="F74" s="25"/>
    </row>
    <row r="75" spans="1:7" x14ac:dyDescent="0.25">
      <c r="A75" s="23" t="s">
        <v>744</v>
      </c>
      <c r="B75" s="92">
        <f>B59+B60</f>
        <v>1.36E-4</v>
      </c>
      <c r="C75" s="72" t="s">
        <v>318</v>
      </c>
      <c r="D75" s="520" t="s">
        <v>1008</v>
      </c>
      <c r="E75" s="531" t="s">
        <v>960</v>
      </c>
      <c r="F75" s="549" t="s">
        <v>959</v>
      </c>
    </row>
    <row r="76" spans="1:7" s="26" customFormat="1" ht="27" x14ac:dyDescent="0.25">
      <c r="A76" s="462" t="s">
        <v>745</v>
      </c>
      <c r="B76" s="92">
        <f>B59+B60+B61</f>
        <v>1.4831148045552477E-4</v>
      </c>
      <c r="C76" s="72" t="s">
        <v>318</v>
      </c>
      <c r="D76" s="461" t="s">
        <v>739</v>
      </c>
      <c r="E76" s="406"/>
      <c r="F76" s="25"/>
      <c r="G76" s="23"/>
    </row>
    <row r="77" spans="1:7" s="26" customFormat="1" x14ac:dyDescent="0.25">
      <c r="A77" s="464" t="s">
        <v>757</v>
      </c>
      <c r="B77" s="463">
        <f>B33</f>
        <v>7</v>
      </c>
      <c r="C77" s="72" t="s">
        <v>213</v>
      </c>
      <c r="D77" s="520" t="s">
        <v>974</v>
      </c>
      <c r="E77" s="531" t="s">
        <v>975</v>
      </c>
      <c r="F77" s="25" t="s">
        <v>961</v>
      </c>
      <c r="G77" s="23"/>
    </row>
    <row r="78" spans="1:7" x14ac:dyDescent="0.25">
      <c r="B78" s="72"/>
      <c r="E78" s="401"/>
      <c r="F78" s="28"/>
    </row>
    <row r="79" spans="1:7" x14ac:dyDescent="0.25">
      <c r="A79" s="55" t="s">
        <v>634</v>
      </c>
      <c r="B79" s="72"/>
      <c r="E79" s="401"/>
      <c r="F79" s="25"/>
    </row>
    <row r="80" spans="1:7" ht="20" x14ac:dyDescent="0.25">
      <c r="A80" s="23" t="s">
        <v>636</v>
      </c>
      <c r="B80" s="90" t="str">
        <f>IF(ROUND(B24,1)=2.5,"2","0 / 1 / 3 / 4")</f>
        <v>2</v>
      </c>
      <c r="C80" s="93" t="s">
        <v>211</v>
      </c>
      <c r="D80" s="520" t="s">
        <v>635</v>
      </c>
      <c r="E80" s="533" t="s">
        <v>958</v>
      </c>
      <c r="F80" s="25"/>
    </row>
    <row r="81" spans="1:6" x14ac:dyDescent="0.25">
      <c r="A81" s="23" t="s">
        <v>746</v>
      </c>
      <c r="B81" s="463">
        <f>B33</f>
        <v>7</v>
      </c>
      <c r="C81" s="72" t="s">
        <v>213</v>
      </c>
      <c r="D81" s="26" t="s">
        <v>956</v>
      </c>
      <c r="E81" s="533"/>
      <c r="F81" s="25"/>
    </row>
    <row r="82" spans="1:6" x14ac:dyDescent="0.25">
      <c r="B82" s="72"/>
      <c r="D82" s="518" t="s">
        <v>910</v>
      </c>
      <c r="E82" s="534" t="s">
        <v>913</v>
      </c>
      <c r="F82" s="549" t="s">
        <v>962</v>
      </c>
    </row>
    <row r="83" spans="1:6" x14ac:dyDescent="0.25">
      <c r="B83" s="72"/>
      <c r="D83" s="518" t="s">
        <v>911</v>
      </c>
      <c r="E83" s="534" t="s">
        <v>913</v>
      </c>
      <c r="F83" s="549" t="s">
        <v>962</v>
      </c>
    </row>
    <row r="84" spans="1:6" x14ac:dyDescent="0.25">
      <c r="D84" s="26"/>
      <c r="E84" s="26"/>
    </row>
    <row r="85" spans="1:6" x14ac:dyDescent="0.25">
      <c r="D85" s="26"/>
      <c r="E85" s="535"/>
    </row>
  </sheetData>
  <protectedRanges>
    <protectedRange sqref="B4:E4 B76:B77 B49:B51 B35:B40 B63 B19:B20 B22" name="Bereich1"/>
    <protectedRange sqref="B17" name="Bereich1_1"/>
    <protectedRange sqref="B18" name="Bereich1_1_1"/>
  </protectedRanges>
  <mergeCells count="4">
    <mergeCell ref="A1:F1"/>
    <mergeCell ref="A3:F3"/>
    <mergeCell ref="B4:E4"/>
    <mergeCell ref="A6:F6"/>
  </mergeCells>
  <phoneticPr fontId="122" type="noConversion"/>
  <dataValidations count="1">
    <dataValidation type="list" allowBlank="1" showInputMessage="1" showErrorMessage="1" sqref="B32">
      <formula1>"-1,1"</formula1>
    </dataValidation>
  </dataValidations>
  <pageMargins left="0.78740157499999996" right="0.78740157499999996" top="0.984251969" bottom="0.984251969" header="0.4921259845" footer="0.4921259845"/>
  <pageSetup paperSize="9" scale="55" orientation="landscape" r:id="rId1"/>
  <headerFooter alignWithMargins="0"/>
  <drawing r:id="rId2"/>
  <legacyDrawing r:id="rId3"/>
  <controls>
    <mc:AlternateContent xmlns:mc="http://schemas.openxmlformats.org/markup-compatibility/2006">
      <mc:Choice Requires="x14">
        <control shapeId="22807" r:id="rId4" name="OptionButton_EPScSiPi">
          <controlPr locked="0" defaultSize="0" autoLine="0" r:id="rId5">
            <anchor moveWithCells="1">
              <from>
                <xdr:col>0</xdr:col>
                <xdr:colOff>88900</xdr:colOff>
                <xdr:row>11</xdr:row>
                <xdr:rowOff>298450</xdr:rowOff>
              </from>
              <to>
                <xdr:col>0</xdr:col>
                <xdr:colOff>1422400</xdr:colOff>
                <xdr:row>12</xdr:row>
                <xdr:rowOff>133350</xdr:rowOff>
              </to>
            </anchor>
          </controlPr>
        </control>
      </mc:Choice>
      <mc:Fallback>
        <control shapeId="22807" r:id="rId4" name="OptionButton_EPScSiPi"/>
      </mc:Fallback>
    </mc:AlternateContent>
    <mc:AlternateContent xmlns:mc="http://schemas.openxmlformats.org/markup-compatibility/2006">
      <mc:Choice Requires="x14">
        <control shapeId="22797" r:id="rId6" name="CmdBtn_GenSysKon">
          <controlPr defaultSize="0" autoLine="0" r:id="rId7">
            <anchor moveWithCells="1">
              <from>
                <xdr:col>0</xdr:col>
                <xdr:colOff>5880100</xdr:colOff>
                <xdr:row>11</xdr:row>
                <xdr:rowOff>57150</xdr:rowOff>
              </from>
              <to>
                <xdr:col>0</xdr:col>
                <xdr:colOff>7327900</xdr:colOff>
                <xdr:row>11</xdr:row>
                <xdr:rowOff>368300</xdr:rowOff>
              </to>
            </anchor>
          </controlPr>
        </control>
      </mc:Choice>
      <mc:Fallback>
        <control shapeId="22797" r:id="rId6" name="CmdBtn_GenSysKon"/>
      </mc:Fallback>
    </mc:AlternateContent>
    <mc:AlternateContent xmlns:mc="http://schemas.openxmlformats.org/markup-compatibility/2006">
      <mc:Choice Requires="x14">
        <control shapeId="22583" r:id="rId8" name="OptionButton_ivar">
          <controlPr locked="0" defaultSize="0" autoLine="0" linkedCell="C12" r:id="rId9">
            <anchor moveWithCells="1">
              <from>
                <xdr:col>0</xdr:col>
                <xdr:colOff>2247900</xdr:colOff>
                <xdr:row>11</xdr:row>
                <xdr:rowOff>209550</xdr:rowOff>
              </from>
              <to>
                <xdr:col>0</xdr:col>
                <xdr:colOff>3765550</xdr:colOff>
                <xdr:row>12</xdr:row>
                <xdr:rowOff>76200</xdr:rowOff>
              </to>
            </anchor>
          </controlPr>
        </control>
      </mc:Choice>
      <mc:Fallback>
        <control shapeId="22583" r:id="rId8" name="OptionButton_ivar"/>
      </mc:Fallback>
    </mc:AlternateContent>
    <mc:AlternateContent xmlns:mc="http://schemas.openxmlformats.org/markup-compatibility/2006">
      <mc:Choice Requires="x14">
        <control shapeId="22582" r:id="rId10" name="OptionButton_iconst">
          <controlPr locked="0" defaultSize="0" autoLine="0" r:id="rId11">
            <anchor moveWithCells="1">
              <from>
                <xdr:col>0</xdr:col>
                <xdr:colOff>2247900</xdr:colOff>
                <xdr:row>11</xdr:row>
                <xdr:rowOff>12700</xdr:rowOff>
              </from>
              <to>
                <xdr:col>0</xdr:col>
                <xdr:colOff>3765550</xdr:colOff>
                <xdr:row>11</xdr:row>
                <xdr:rowOff>222250</xdr:rowOff>
              </to>
            </anchor>
          </controlPr>
        </control>
      </mc:Choice>
      <mc:Fallback>
        <control shapeId="22582" r:id="rId10" name="OptionButton_iconst"/>
      </mc:Fallback>
    </mc:AlternateContent>
    <mc:AlternateContent xmlns:mc="http://schemas.openxmlformats.org/markup-compatibility/2006">
      <mc:Choice Requires="x14">
        <control shapeId="22578" r:id="rId12" name="OptionButton_DP">
          <controlPr locked="0" defaultSize="0" autoLine="0" r:id="rId13">
            <anchor moveWithCells="1">
              <from>
                <xdr:col>0</xdr:col>
                <xdr:colOff>88900</xdr:colOff>
                <xdr:row>11</xdr:row>
                <xdr:rowOff>57150</xdr:rowOff>
              </from>
              <to>
                <xdr:col>0</xdr:col>
                <xdr:colOff>1422400</xdr:colOff>
                <xdr:row>11</xdr:row>
                <xdr:rowOff>292100</xdr:rowOff>
              </to>
            </anchor>
          </controlPr>
        </control>
      </mc:Choice>
      <mc:Fallback>
        <control shapeId="22578" r:id="rId12" name="OptionButton_DP"/>
      </mc:Fallback>
    </mc:AlternateContent>
    <mc:AlternateContent xmlns:mc="http://schemas.openxmlformats.org/markup-compatibility/2006">
      <mc:Choice Requires="x14">
        <control shapeId="22577" r:id="rId14" name="OptionButton_APA">
          <controlPr locked="0" defaultSize="0" autoLine="0" r:id="rId15">
            <anchor moveWithCells="1">
              <from>
                <xdr:col>0</xdr:col>
                <xdr:colOff>88900</xdr:colOff>
                <xdr:row>10</xdr:row>
                <xdr:rowOff>19050</xdr:rowOff>
              </from>
              <to>
                <xdr:col>0</xdr:col>
                <xdr:colOff>1422400</xdr:colOff>
                <xdr:row>11</xdr:row>
                <xdr:rowOff>50800</xdr:rowOff>
              </to>
            </anchor>
          </controlPr>
        </control>
      </mc:Choice>
      <mc:Fallback>
        <control shapeId="22577" r:id="rId14" name="OptionButton_APA"/>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
    <tabColor rgb="FFFFFF00"/>
  </sheetPr>
  <dimension ref="A1:AE999"/>
  <sheetViews>
    <sheetView zoomScale="70" zoomScaleNormal="70" workbookViewId="0">
      <pane ySplit="6" topLeftCell="A43" activePane="bottomLeft" state="frozen"/>
      <selection pane="bottomLeft" activeCell="X56" sqref="X56"/>
    </sheetView>
  </sheetViews>
  <sheetFormatPr defaultColWidth="11.453125" defaultRowHeight="13.5" x14ac:dyDescent="0.3"/>
  <cols>
    <col min="1" max="1" width="3" style="176" customWidth="1"/>
    <col min="2" max="3" width="10.7265625" style="176" customWidth="1"/>
    <col min="4" max="4" width="11.26953125" style="176" customWidth="1"/>
    <col min="5" max="6" width="10.7265625" style="176" hidden="1" customWidth="1"/>
    <col min="7" max="7" width="11.26953125" style="176" hidden="1" customWidth="1"/>
    <col min="8" max="8" width="11" style="187" bestFit="1" customWidth="1"/>
    <col min="9" max="9" width="11.26953125" style="180" customWidth="1"/>
    <col min="10" max="10" width="9.26953125" style="180" customWidth="1"/>
    <col min="11" max="11" width="10.1796875" style="181" bestFit="1" customWidth="1"/>
    <col min="12" max="12" width="11.81640625" style="176" bestFit="1" customWidth="1"/>
    <col min="13" max="13" width="10.54296875" style="176" bestFit="1" customWidth="1"/>
    <col min="14" max="14" width="11.453125" style="176" bestFit="1" customWidth="1"/>
    <col min="15" max="15" width="10.453125" style="176" bestFit="1" customWidth="1"/>
    <col min="16" max="16" width="9.1796875" style="176" bestFit="1" customWidth="1"/>
    <col min="17" max="17" width="10.81640625" style="176" bestFit="1" customWidth="1"/>
    <col min="18" max="19" width="10.1796875" style="176" bestFit="1" customWidth="1"/>
    <col min="20" max="20" width="9.1796875" style="176" bestFit="1" customWidth="1"/>
    <col min="21" max="21" width="11.1796875" style="176" customWidth="1"/>
    <col min="22" max="22" width="12" style="176" bestFit="1" customWidth="1"/>
    <col min="23" max="23" width="4.7265625" style="176" customWidth="1"/>
    <col min="24" max="24" width="24.453125" style="176" customWidth="1"/>
    <col min="25" max="25" width="37" style="176" customWidth="1"/>
    <col min="26" max="26" width="11.26953125" style="176" customWidth="1"/>
    <col min="27" max="27" width="10.7265625" style="176" customWidth="1"/>
    <col min="28" max="28" width="19.453125" style="176" customWidth="1"/>
    <col min="29" max="29" width="34" style="176" bestFit="1" customWidth="1"/>
    <col min="30" max="30" width="26.1796875" style="176" customWidth="1"/>
    <col min="31" max="31" width="11.453125" style="176"/>
    <col min="32" max="32" width="19.7265625" style="176" customWidth="1"/>
    <col min="33" max="16384" width="11.453125" style="176"/>
  </cols>
  <sheetData>
    <row r="1" spans="1:29" x14ac:dyDescent="0.3">
      <c r="A1" s="579" t="s">
        <v>515</v>
      </c>
      <c r="B1" s="579"/>
      <c r="C1" s="579"/>
      <c r="D1" s="579"/>
      <c r="E1" s="579"/>
      <c r="F1" s="579"/>
      <c r="G1" s="579"/>
      <c r="H1" s="579"/>
      <c r="I1" s="579"/>
      <c r="J1" s="579"/>
      <c r="K1" s="579"/>
      <c r="L1" s="579"/>
      <c r="M1" s="579"/>
      <c r="N1" s="579"/>
      <c r="O1" s="579"/>
      <c r="P1" s="579"/>
      <c r="Q1" s="579"/>
      <c r="R1" s="579"/>
      <c r="S1" s="579"/>
      <c r="T1" s="579"/>
      <c r="U1" s="579"/>
      <c r="V1" s="579"/>
      <c r="W1" s="579"/>
      <c r="X1" s="579"/>
      <c r="Y1" s="579"/>
      <c r="Z1" s="579"/>
      <c r="AA1" s="579"/>
      <c r="AB1" s="174" t="s">
        <v>531</v>
      </c>
      <c r="AC1" s="175"/>
    </row>
    <row r="2" spans="1:29" x14ac:dyDescent="0.3">
      <c r="A2" s="177"/>
      <c r="B2" s="177"/>
      <c r="C2" s="177"/>
      <c r="D2" s="177"/>
      <c r="E2" s="177"/>
      <c r="F2" s="177"/>
      <c r="G2" s="177"/>
      <c r="H2" s="243" t="s">
        <v>884</v>
      </c>
      <c r="I2" s="231"/>
      <c r="J2" s="235"/>
      <c r="K2" s="235"/>
      <c r="L2" s="235"/>
      <c r="M2" s="235"/>
      <c r="N2" s="235"/>
      <c r="O2" s="235"/>
      <c r="P2" s="235"/>
      <c r="Q2" s="235"/>
      <c r="R2" s="235"/>
      <c r="S2" s="235"/>
      <c r="T2" s="235"/>
      <c r="U2" s="235"/>
      <c r="V2" s="235"/>
      <c r="X2" s="231"/>
      <c r="Y2" s="231"/>
      <c r="Z2" s="231"/>
      <c r="AA2" s="178"/>
      <c r="AB2" s="179" t="s">
        <v>532</v>
      </c>
      <c r="AC2" s="253">
        <f>6+COUNTA(H7:H897)</f>
        <v>542</v>
      </c>
    </row>
    <row r="3" spans="1:29" x14ac:dyDescent="0.3">
      <c r="A3" s="177"/>
      <c r="B3" s="177"/>
      <c r="C3" s="177"/>
      <c r="D3" s="177"/>
      <c r="E3" s="177"/>
      <c r="F3" s="177"/>
      <c r="G3" s="177"/>
      <c r="H3" s="232"/>
      <c r="I3" s="232"/>
      <c r="J3" s="233"/>
      <c r="K3" s="233"/>
      <c r="L3" s="233"/>
      <c r="M3" s="233"/>
      <c r="N3" s="233"/>
      <c r="O3" s="233"/>
      <c r="P3" s="233"/>
      <c r="Q3" s="233"/>
      <c r="R3" s="233"/>
      <c r="S3" s="233"/>
      <c r="T3" s="233"/>
      <c r="U3" s="233"/>
      <c r="V3" s="233"/>
      <c r="X3" s="232"/>
      <c r="Y3" s="232"/>
      <c r="Z3" s="232"/>
      <c r="AA3" s="178"/>
    </row>
    <row r="4" spans="1:29" x14ac:dyDescent="0.3">
      <c r="A4" s="177"/>
      <c r="B4" s="581" t="s">
        <v>560</v>
      </c>
      <c r="C4" s="582"/>
      <c r="D4" s="583"/>
      <c r="E4" s="581" t="s">
        <v>561</v>
      </c>
      <c r="F4" s="582"/>
      <c r="G4" s="583"/>
      <c r="H4" s="584" t="s">
        <v>577</v>
      </c>
      <c r="I4" s="585"/>
      <c r="J4" s="585"/>
      <c r="K4" s="585"/>
      <c r="L4" s="586"/>
      <c r="M4" s="233"/>
      <c r="N4" s="233"/>
      <c r="O4" s="233"/>
      <c r="P4" s="233"/>
      <c r="Q4" s="233"/>
      <c r="R4" s="233"/>
      <c r="S4" s="233"/>
      <c r="T4" s="233"/>
      <c r="U4" s="233"/>
      <c r="V4" s="233"/>
      <c r="X4" s="232"/>
      <c r="Y4" s="232"/>
      <c r="Z4" s="232"/>
      <c r="AA4" s="178"/>
    </row>
    <row r="5" spans="1:29" ht="14" thickBot="1" x14ac:dyDescent="0.35">
      <c r="H5" s="178"/>
      <c r="M5" s="580" t="s">
        <v>536</v>
      </c>
      <c r="N5" s="580"/>
      <c r="O5" s="580"/>
      <c r="P5" s="580"/>
      <c r="R5" s="580" t="s">
        <v>537</v>
      </c>
      <c r="S5" s="580"/>
      <c r="T5" s="580"/>
      <c r="U5" s="233"/>
      <c r="V5" s="233"/>
      <c r="AA5" s="178"/>
    </row>
    <row r="6" spans="1:29" ht="41" thickBot="1" x14ac:dyDescent="0.35">
      <c r="B6" s="182" t="s">
        <v>539</v>
      </c>
      <c r="C6" s="184" t="s">
        <v>533</v>
      </c>
      <c r="D6" s="184" t="s">
        <v>538</v>
      </c>
      <c r="E6" s="182" t="s">
        <v>539</v>
      </c>
      <c r="F6" s="184" t="s">
        <v>533</v>
      </c>
      <c r="G6" s="184" t="s">
        <v>538</v>
      </c>
      <c r="H6" s="182" t="s">
        <v>539</v>
      </c>
      <c r="I6" s="183" t="s">
        <v>538</v>
      </c>
      <c r="J6" s="183" t="s">
        <v>534</v>
      </c>
      <c r="K6" s="184" t="s">
        <v>533</v>
      </c>
      <c r="L6" s="182" t="s">
        <v>535</v>
      </c>
      <c r="M6" s="182" t="s">
        <v>546</v>
      </c>
      <c r="N6" s="182" t="s">
        <v>540</v>
      </c>
      <c r="O6" s="182"/>
      <c r="P6" s="182" t="s">
        <v>541</v>
      </c>
      <c r="Q6" s="182"/>
      <c r="R6" s="182" t="s">
        <v>544</v>
      </c>
      <c r="S6" s="185" t="s">
        <v>545</v>
      </c>
      <c r="T6" s="185"/>
      <c r="U6" s="185" t="s">
        <v>564</v>
      </c>
      <c r="V6" s="185" t="s">
        <v>641</v>
      </c>
      <c r="X6" s="597" t="s">
        <v>529</v>
      </c>
      <c r="Y6" s="598"/>
      <c r="Z6" s="599"/>
      <c r="AB6" s="587" t="s">
        <v>530</v>
      </c>
      <c r="AC6" s="588"/>
    </row>
    <row r="7" spans="1:29" x14ac:dyDescent="0.3">
      <c r="B7" s="246">
        <v>0</v>
      </c>
      <c r="C7" s="437">
        <f>B7*MechanicalData!$B$22/360</f>
        <v>0</v>
      </c>
      <c r="D7" s="437">
        <f>MechanicalData!$B$22</f>
        <v>55</v>
      </c>
      <c r="E7" s="507">
        <v>0</v>
      </c>
      <c r="F7" s="452">
        <v>0</v>
      </c>
      <c r="G7" s="508">
        <v>58.31</v>
      </c>
      <c r="H7" s="339">
        <f>B7</f>
        <v>0</v>
      </c>
      <c r="I7" s="451">
        <f>D7</f>
        <v>55</v>
      </c>
      <c r="J7" s="340">
        <f>I7/360</f>
        <v>0.15277777777777779</v>
      </c>
      <c r="K7" s="341">
        <f>C7</f>
        <v>0</v>
      </c>
      <c r="L7" s="333">
        <f>K7/$Z$7*360</f>
        <v>0</v>
      </c>
      <c r="M7" s="342">
        <f>ROUND(L7, 0)</f>
        <v>0</v>
      </c>
      <c r="N7" s="343">
        <f>InterpolXY(L7,$Y$22:$Y$31,$X$22:$X$31)</f>
        <v>0</v>
      </c>
      <c r="O7" s="343"/>
      <c r="P7" s="343">
        <f>K7-N7</f>
        <v>0</v>
      </c>
      <c r="Q7" s="344"/>
      <c r="R7" s="343">
        <f>InterpolXY(L7,$Y$22:$Y$31,$AC$22:$AC$31)</f>
        <v>0</v>
      </c>
      <c r="S7" s="343">
        <f>H7-R7</f>
        <v>0</v>
      </c>
      <c r="T7" s="343"/>
      <c r="U7" s="343">
        <f ca="1">$V7/$Z$9</f>
        <v>1.0000000000000002</v>
      </c>
      <c r="V7" s="345">
        <f>$I7/$Z$7</f>
        <v>22.392857142857142</v>
      </c>
      <c r="W7" s="186"/>
      <c r="X7" s="589" t="s">
        <v>547</v>
      </c>
      <c r="Y7" s="589"/>
      <c r="Z7" s="334">
        <f>MechanicalData!B48</f>
        <v>2.4561403508771931</v>
      </c>
    </row>
    <row r="8" spans="1:29" x14ac:dyDescent="0.3">
      <c r="B8" s="246">
        <v>1</v>
      </c>
      <c r="C8" s="437">
        <f>B8*MechanicalData!$B$22/360</f>
        <v>0.15277777777777779</v>
      </c>
      <c r="D8" s="437">
        <f>MechanicalData!$B$22</f>
        <v>55</v>
      </c>
      <c r="E8" s="245">
        <v>1</v>
      </c>
      <c r="F8" s="453">
        <v>0.16200000000000001</v>
      </c>
      <c r="G8" s="437">
        <v>58.31</v>
      </c>
      <c r="H8" s="339">
        <f>B8</f>
        <v>1</v>
      </c>
      <c r="I8" s="451">
        <f>D8</f>
        <v>55</v>
      </c>
      <c r="J8" s="340">
        <f>I8/360</f>
        <v>0.15277777777777779</v>
      </c>
      <c r="K8" s="341">
        <f>C8</f>
        <v>0.15277777777777779</v>
      </c>
      <c r="L8" s="333">
        <f>K8/$Z$7*360</f>
        <v>22.392857142857142</v>
      </c>
      <c r="M8" s="342">
        <f>ROUND(L8, 0)</f>
        <v>22</v>
      </c>
      <c r="N8" s="343">
        <f>InterpolXY(L8,$Y$22:$Y$31,$X$22:$X$31)</f>
        <v>0.15277777777777779</v>
      </c>
      <c r="O8" s="343"/>
      <c r="P8" s="343">
        <f>K8-N8</f>
        <v>0</v>
      </c>
      <c r="Q8" s="344"/>
      <c r="R8" s="343">
        <f>InterpolXY(L8,$Y$22:$Y$31,$AC$22:$AC$31)</f>
        <v>1.0000000000000011</v>
      </c>
      <c r="S8" s="343">
        <f>H8-R8</f>
        <v>0</v>
      </c>
      <c r="T8" s="343"/>
      <c r="U8" s="343">
        <f t="shared" ref="U8:U71" ca="1" si="0">$V8/$Z$9</f>
        <v>1.0000000000000002</v>
      </c>
      <c r="V8" s="345">
        <f>$I8/$Z$7</f>
        <v>22.392857142857142</v>
      </c>
      <c r="W8" s="186"/>
      <c r="X8" s="590"/>
      <c r="Y8" s="590"/>
      <c r="Z8" s="188"/>
    </row>
    <row r="9" spans="1:29" x14ac:dyDescent="0.3">
      <c r="B9" s="246">
        <v>2</v>
      </c>
      <c r="C9" s="437">
        <f>B9*MechanicalData!$B$22/360</f>
        <v>0.30555555555555558</v>
      </c>
      <c r="D9" s="437">
        <f>MechanicalData!$B$22</f>
        <v>55</v>
      </c>
      <c r="E9" s="245">
        <v>2</v>
      </c>
      <c r="F9" s="453">
        <v>0.32400000000000001</v>
      </c>
      <c r="G9" s="437">
        <v>58.31</v>
      </c>
      <c r="H9" s="339">
        <f t="shared" ref="H9:H72" si="1">B9</f>
        <v>2</v>
      </c>
      <c r="I9" s="451">
        <f>MechanicalData!$B$22</f>
        <v>55</v>
      </c>
      <c r="J9" s="340">
        <f t="shared" ref="J9:J72" si="2">I9/360</f>
        <v>0.15277777777777779</v>
      </c>
      <c r="K9" s="341">
        <f t="shared" ref="K9:K72" si="3">C9</f>
        <v>0.30555555555555558</v>
      </c>
      <c r="L9" s="333">
        <f t="shared" ref="L9:L72" si="4">K9/$Z$7*360</f>
        <v>44.785714285714285</v>
      </c>
      <c r="M9" s="342">
        <f t="shared" ref="M9:M72" si="5">ROUND(L9, 0)</f>
        <v>45</v>
      </c>
      <c r="N9" s="343">
        <f t="shared" ref="N9:N72" si="6">InterpolXY(L9,$Y$22:$Y$31,$X$22:$X$31)</f>
        <v>0.30555555555555558</v>
      </c>
      <c r="O9" s="343"/>
      <c r="P9" s="343">
        <f t="shared" ref="P9:P72" si="7">K9-N9</f>
        <v>0</v>
      </c>
      <c r="Q9" s="344"/>
      <c r="R9" s="343">
        <f t="shared" ref="R9:R72" si="8">InterpolXY(L9,$Y$22:$Y$31,$AC$22:$AC$31)</f>
        <v>2.0000000000000022</v>
      </c>
      <c r="S9" s="343">
        <f t="shared" ref="S9:S72" si="9">H9-R9</f>
        <v>0</v>
      </c>
      <c r="T9" s="343"/>
      <c r="U9" s="343">
        <f t="shared" ca="1" si="0"/>
        <v>1.0000000000000002</v>
      </c>
      <c r="V9" s="345">
        <f t="shared" ref="V9:V72" si="10">$I9/$Z$7</f>
        <v>22.392857142857142</v>
      </c>
      <c r="W9" s="186"/>
      <c r="X9" s="590" t="s">
        <v>550</v>
      </c>
      <c r="Y9" s="590"/>
      <c r="Z9" s="338">
        <f ca="1">LINEST($L$7:INDIRECT("$L$"&amp;AC2),$H$7:INDIRECT("$H$"&amp;AC2),0)</f>
        <v>22.392857142857139</v>
      </c>
      <c r="AB9" s="249"/>
    </row>
    <row r="10" spans="1:29" x14ac:dyDescent="0.3">
      <c r="B10" s="246">
        <v>3</v>
      </c>
      <c r="C10" s="437">
        <f>B10*MechanicalData!$B$22/360</f>
        <v>0.45833333333333331</v>
      </c>
      <c r="D10" s="437">
        <f>MechanicalData!$B$22</f>
        <v>55</v>
      </c>
      <c r="E10" s="245">
        <v>3</v>
      </c>
      <c r="F10" s="453">
        <v>0.48599999999999999</v>
      </c>
      <c r="G10" s="437">
        <v>58.31</v>
      </c>
      <c r="H10" s="339">
        <f t="shared" si="1"/>
        <v>3</v>
      </c>
      <c r="I10" s="451">
        <f t="shared" ref="I10:I72" si="11">D10</f>
        <v>55</v>
      </c>
      <c r="J10" s="340">
        <f t="shared" si="2"/>
        <v>0.15277777777777779</v>
      </c>
      <c r="K10" s="341">
        <f t="shared" si="3"/>
        <v>0.45833333333333331</v>
      </c>
      <c r="L10" s="333">
        <f t="shared" si="4"/>
        <v>67.178571428571416</v>
      </c>
      <c r="M10" s="342">
        <f t="shared" si="5"/>
        <v>67</v>
      </c>
      <c r="N10" s="343">
        <f t="shared" si="6"/>
        <v>0.4583333333333332</v>
      </c>
      <c r="O10" s="343"/>
      <c r="P10" s="343">
        <f t="shared" si="7"/>
        <v>0</v>
      </c>
      <c r="Q10" s="344"/>
      <c r="R10" s="343">
        <f t="shared" si="8"/>
        <v>3.0000000000000036</v>
      </c>
      <c r="S10" s="343">
        <f t="shared" si="9"/>
        <v>-3.5527136788005009E-15</v>
      </c>
      <c r="T10" s="343"/>
      <c r="U10" s="343">
        <f t="shared" ca="1" si="0"/>
        <v>1.0000000000000002</v>
      </c>
      <c r="V10" s="345">
        <f t="shared" si="10"/>
        <v>22.392857142857142</v>
      </c>
      <c r="W10" s="186"/>
      <c r="X10" s="590" t="s">
        <v>548</v>
      </c>
      <c r="Y10" s="590"/>
      <c r="Z10" s="335">
        <f ca="1">1/$Z$9</f>
        <v>4.4657097288676242E-2</v>
      </c>
      <c r="AC10" s="238"/>
    </row>
    <row r="11" spans="1:29" x14ac:dyDescent="0.3">
      <c r="B11" s="246">
        <v>4</v>
      </c>
      <c r="C11" s="437">
        <f>B11*MechanicalData!$B$22/360</f>
        <v>0.61111111111111116</v>
      </c>
      <c r="D11" s="437">
        <f>MechanicalData!$B$22</f>
        <v>55</v>
      </c>
      <c r="E11" s="245">
        <v>4</v>
      </c>
      <c r="F11" s="453">
        <v>0.64800000000000002</v>
      </c>
      <c r="G11" s="437">
        <v>58.31</v>
      </c>
      <c r="H11" s="339">
        <f t="shared" si="1"/>
        <v>4</v>
      </c>
      <c r="I11" s="451">
        <f t="shared" si="11"/>
        <v>55</v>
      </c>
      <c r="J11" s="340">
        <f t="shared" si="2"/>
        <v>0.15277777777777779</v>
      </c>
      <c r="K11" s="341">
        <f t="shared" si="3"/>
        <v>0.61111111111111116</v>
      </c>
      <c r="L11" s="333">
        <f t="shared" si="4"/>
        <v>89.571428571428569</v>
      </c>
      <c r="M11" s="342">
        <f t="shared" si="5"/>
        <v>90</v>
      </c>
      <c r="N11" s="343">
        <f t="shared" si="6"/>
        <v>0.61111111111111116</v>
      </c>
      <c r="O11" s="343"/>
      <c r="P11" s="343">
        <f t="shared" si="7"/>
        <v>0</v>
      </c>
      <c r="Q11" s="344"/>
      <c r="R11" s="343">
        <f t="shared" si="8"/>
        <v>4.0000000000000044</v>
      </c>
      <c r="S11" s="343">
        <f t="shared" si="9"/>
        <v>0</v>
      </c>
      <c r="T11" s="343"/>
      <c r="U11" s="343">
        <f t="shared" ca="1" si="0"/>
        <v>1.0000000000000002</v>
      </c>
      <c r="V11" s="345">
        <f t="shared" si="10"/>
        <v>22.392857142857142</v>
      </c>
      <c r="W11" s="186"/>
      <c r="X11" s="595"/>
      <c r="Y11" s="595"/>
      <c r="Z11" s="205"/>
    </row>
    <row r="12" spans="1:29" x14ac:dyDescent="0.3">
      <c r="B12" s="246">
        <v>5</v>
      </c>
      <c r="C12" s="437">
        <f>B12*MechanicalData!$B$22/360</f>
        <v>0.76388888888888884</v>
      </c>
      <c r="D12" s="437">
        <f>MechanicalData!$B$22</f>
        <v>55</v>
      </c>
      <c r="E12" s="245">
        <v>5</v>
      </c>
      <c r="F12" s="453">
        <v>0.81</v>
      </c>
      <c r="G12" s="437">
        <v>58.31</v>
      </c>
      <c r="H12" s="339">
        <f t="shared" si="1"/>
        <v>5</v>
      </c>
      <c r="I12" s="451">
        <f t="shared" si="11"/>
        <v>55</v>
      </c>
      <c r="J12" s="340">
        <f t="shared" si="2"/>
        <v>0.15277777777777779</v>
      </c>
      <c r="K12" s="341">
        <f t="shared" si="3"/>
        <v>0.76388888888888884</v>
      </c>
      <c r="L12" s="333">
        <f t="shared" si="4"/>
        <v>111.96428571428569</v>
      </c>
      <c r="M12" s="342">
        <f t="shared" si="5"/>
        <v>112</v>
      </c>
      <c r="N12" s="343">
        <f t="shared" si="6"/>
        <v>0.76388888888888873</v>
      </c>
      <c r="O12" s="343"/>
      <c r="P12" s="343">
        <f t="shared" si="7"/>
        <v>0</v>
      </c>
      <c r="Q12" s="344"/>
      <c r="R12" s="343">
        <f t="shared" si="8"/>
        <v>5.0000000000000062</v>
      </c>
      <c r="S12" s="343">
        <f t="shared" si="9"/>
        <v>0</v>
      </c>
      <c r="T12" s="343"/>
      <c r="U12" s="343">
        <f t="shared" ca="1" si="0"/>
        <v>1.0000000000000002</v>
      </c>
      <c r="V12" s="345">
        <f t="shared" si="10"/>
        <v>22.392857142857142</v>
      </c>
      <c r="W12" s="186"/>
      <c r="X12" s="596" t="s">
        <v>570</v>
      </c>
      <c r="Y12" s="596"/>
      <c r="Z12" s="188"/>
    </row>
    <row r="13" spans="1:29" x14ac:dyDescent="0.3">
      <c r="B13" s="246">
        <v>6</v>
      </c>
      <c r="C13" s="437">
        <f>B13*MechanicalData!$B$22/360</f>
        <v>0.91666666666666663</v>
      </c>
      <c r="D13" s="437">
        <f>MechanicalData!$B$22</f>
        <v>55</v>
      </c>
      <c r="E13" s="245">
        <v>6</v>
      </c>
      <c r="F13" s="453">
        <v>0.97199999999999998</v>
      </c>
      <c r="G13" s="437">
        <v>58.31</v>
      </c>
      <c r="H13" s="339">
        <f t="shared" si="1"/>
        <v>6</v>
      </c>
      <c r="I13" s="451">
        <f t="shared" si="11"/>
        <v>55</v>
      </c>
      <c r="J13" s="340">
        <f t="shared" si="2"/>
        <v>0.15277777777777779</v>
      </c>
      <c r="K13" s="341">
        <f t="shared" si="3"/>
        <v>0.91666666666666663</v>
      </c>
      <c r="L13" s="333">
        <f t="shared" si="4"/>
        <v>134.35714285714283</v>
      </c>
      <c r="M13" s="342">
        <f t="shared" si="5"/>
        <v>134</v>
      </c>
      <c r="N13" s="343">
        <f t="shared" si="6"/>
        <v>0.91666666666666641</v>
      </c>
      <c r="O13" s="343"/>
      <c r="P13" s="343">
        <f t="shared" si="7"/>
        <v>0</v>
      </c>
      <c r="Q13" s="344"/>
      <c r="R13" s="343">
        <f t="shared" si="8"/>
        <v>6.0000000000000071</v>
      </c>
      <c r="S13" s="343">
        <f t="shared" si="9"/>
        <v>-7.1054273576010019E-15</v>
      </c>
      <c r="T13" s="343"/>
      <c r="U13" s="343">
        <f t="shared" ca="1" si="0"/>
        <v>1.0000000000000002</v>
      </c>
      <c r="V13" s="345">
        <f t="shared" si="10"/>
        <v>22.392857142857142</v>
      </c>
      <c r="W13" s="186"/>
      <c r="X13" s="590" t="s">
        <v>549</v>
      </c>
      <c r="Y13" s="590"/>
      <c r="Z13" s="336">
        <f ca="1">INDIRECT("$L$"&amp;AC2)/INDIRECT("$H$"&amp;AC2)</f>
        <v>22.392857142857114</v>
      </c>
      <c r="AA13" s="178"/>
      <c r="AB13" s="189"/>
    </row>
    <row r="14" spans="1:29" x14ac:dyDescent="0.3">
      <c r="B14" s="246">
        <v>7</v>
      </c>
      <c r="C14" s="437">
        <f>B14*MechanicalData!$B$22/360</f>
        <v>1.0694444444444444</v>
      </c>
      <c r="D14" s="437">
        <f>MechanicalData!$B$22</f>
        <v>55</v>
      </c>
      <c r="E14" s="245">
        <v>7</v>
      </c>
      <c r="F14" s="453">
        <v>1.1339999999999999</v>
      </c>
      <c r="G14" s="437">
        <v>58.31</v>
      </c>
      <c r="H14" s="339">
        <f t="shared" si="1"/>
        <v>7</v>
      </c>
      <c r="I14" s="451">
        <f t="shared" si="11"/>
        <v>55</v>
      </c>
      <c r="J14" s="340">
        <f t="shared" si="2"/>
        <v>0.15277777777777779</v>
      </c>
      <c r="K14" s="341">
        <f t="shared" si="3"/>
        <v>1.0694444444444444</v>
      </c>
      <c r="L14" s="333">
        <f t="shared" si="4"/>
        <v>156.74999999999997</v>
      </c>
      <c r="M14" s="342">
        <f t="shared" si="5"/>
        <v>157</v>
      </c>
      <c r="N14" s="343">
        <f t="shared" si="6"/>
        <v>1.0694444444444442</v>
      </c>
      <c r="O14" s="343"/>
      <c r="P14" s="343">
        <f t="shared" si="7"/>
        <v>0</v>
      </c>
      <c r="Q14" s="344"/>
      <c r="R14" s="343">
        <f t="shared" si="8"/>
        <v>7.000000000000008</v>
      </c>
      <c r="S14" s="343">
        <f t="shared" si="9"/>
        <v>-7.9936057773011271E-15</v>
      </c>
      <c r="T14" s="343"/>
      <c r="U14" s="343">
        <f t="shared" ca="1" si="0"/>
        <v>1.0000000000000002</v>
      </c>
      <c r="V14" s="345">
        <f t="shared" si="10"/>
        <v>22.392857142857142</v>
      </c>
      <c r="W14" s="186"/>
      <c r="X14" s="590" t="s">
        <v>551</v>
      </c>
      <c r="Y14" s="590"/>
      <c r="Z14" s="336">
        <f ca="1">INDIRECT("$H$"&amp;AC2-1)/INDIRECT("$K$"&amp;AC2-1)</f>
        <v>6.5454545454545459</v>
      </c>
      <c r="AA14" s="178"/>
      <c r="AB14" s="190"/>
    </row>
    <row r="15" spans="1:29" x14ac:dyDescent="0.3">
      <c r="B15" s="246">
        <v>8</v>
      </c>
      <c r="C15" s="437">
        <f>B15*MechanicalData!$B$22/360</f>
        <v>1.2222222222222223</v>
      </c>
      <c r="D15" s="437">
        <f>MechanicalData!$B$22</f>
        <v>55</v>
      </c>
      <c r="E15" s="245">
        <v>8</v>
      </c>
      <c r="F15" s="453">
        <v>1.296</v>
      </c>
      <c r="G15" s="437">
        <v>58.31</v>
      </c>
      <c r="H15" s="339">
        <f t="shared" si="1"/>
        <v>8</v>
      </c>
      <c r="I15" s="451">
        <f t="shared" si="11"/>
        <v>55</v>
      </c>
      <c r="J15" s="340">
        <f t="shared" si="2"/>
        <v>0.15277777777777779</v>
      </c>
      <c r="K15" s="341">
        <f t="shared" si="3"/>
        <v>1.2222222222222223</v>
      </c>
      <c r="L15" s="333">
        <f t="shared" si="4"/>
        <v>179.14285714285714</v>
      </c>
      <c r="M15" s="342">
        <f t="shared" si="5"/>
        <v>179</v>
      </c>
      <c r="N15" s="343">
        <f t="shared" si="6"/>
        <v>1.2222222222222223</v>
      </c>
      <c r="O15" s="343"/>
      <c r="P15" s="343">
        <f t="shared" si="7"/>
        <v>0</v>
      </c>
      <c r="Q15" s="344"/>
      <c r="R15" s="343">
        <f t="shared" si="8"/>
        <v>8.0000000000000089</v>
      </c>
      <c r="S15" s="343">
        <f t="shared" si="9"/>
        <v>0</v>
      </c>
      <c r="T15" s="343"/>
      <c r="U15" s="343">
        <f t="shared" ca="1" si="0"/>
        <v>1.0000000000000002</v>
      </c>
      <c r="V15" s="345">
        <f t="shared" si="10"/>
        <v>22.392857142857142</v>
      </c>
      <c r="W15" s="186"/>
      <c r="X15" s="590" t="s">
        <v>552</v>
      </c>
      <c r="Y15" s="594"/>
      <c r="Z15" s="337">
        <f>1/$Z$7*360</f>
        <v>146.57142857142858</v>
      </c>
      <c r="AA15" s="178"/>
      <c r="AB15" s="191"/>
    </row>
    <row r="16" spans="1:29" x14ac:dyDescent="0.3">
      <c r="B16" s="246">
        <v>9</v>
      </c>
      <c r="C16" s="437">
        <f>B16*MechanicalData!$B$22/360</f>
        <v>1.375</v>
      </c>
      <c r="D16" s="437">
        <f>MechanicalData!$B$22</f>
        <v>55</v>
      </c>
      <c r="E16" s="245">
        <v>9</v>
      </c>
      <c r="F16" s="453">
        <v>1.458</v>
      </c>
      <c r="G16" s="437">
        <v>58.31</v>
      </c>
      <c r="H16" s="339">
        <f t="shared" si="1"/>
        <v>9</v>
      </c>
      <c r="I16" s="451">
        <f t="shared" si="11"/>
        <v>55</v>
      </c>
      <c r="J16" s="340">
        <f t="shared" si="2"/>
        <v>0.15277777777777779</v>
      </c>
      <c r="K16" s="341">
        <f t="shared" si="3"/>
        <v>1.375</v>
      </c>
      <c r="L16" s="333">
        <f t="shared" si="4"/>
        <v>201.53571428571428</v>
      </c>
      <c r="M16" s="342">
        <f t="shared" si="5"/>
        <v>202</v>
      </c>
      <c r="N16" s="343">
        <f t="shared" si="6"/>
        <v>1.375</v>
      </c>
      <c r="O16" s="343"/>
      <c r="P16" s="343">
        <f t="shared" si="7"/>
        <v>0</v>
      </c>
      <c r="Q16" s="344"/>
      <c r="R16" s="343">
        <f t="shared" si="8"/>
        <v>9.0000000000000107</v>
      </c>
      <c r="S16" s="343">
        <f t="shared" si="9"/>
        <v>0</v>
      </c>
      <c r="T16" s="343"/>
      <c r="U16" s="343">
        <f t="shared" ca="1" si="0"/>
        <v>1.0000000000000002</v>
      </c>
      <c r="V16" s="345">
        <f t="shared" si="10"/>
        <v>22.392857142857142</v>
      </c>
      <c r="W16" s="186"/>
      <c r="X16" s="590" t="s">
        <v>553</v>
      </c>
      <c r="Y16" s="590"/>
      <c r="Z16" s="338">
        <f ca="1">1/$Z$14*360</f>
        <v>54.999999999999993</v>
      </c>
      <c r="AA16" s="178"/>
    </row>
    <row r="17" spans="2:31" x14ac:dyDescent="0.3">
      <c r="B17" s="246">
        <v>10</v>
      </c>
      <c r="C17" s="437">
        <f>B17*MechanicalData!$B$22/360</f>
        <v>1.5277777777777777</v>
      </c>
      <c r="D17" s="437">
        <f>MechanicalData!$B$22</f>
        <v>55</v>
      </c>
      <c r="E17" s="245">
        <v>10</v>
      </c>
      <c r="F17" s="453">
        <v>1.62</v>
      </c>
      <c r="G17" s="437">
        <v>58.31</v>
      </c>
      <c r="H17" s="339">
        <f t="shared" si="1"/>
        <v>10</v>
      </c>
      <c r="I17" s="451">
        <f t="shared" si="11"/>
        <v>55</v>
      </c>
      <c r="J17" s="340">
        <f t="shared" si="2"/>
        <v>0.15277777777777779</v>
      </c>
      <c r="K17" s="341">
        <f t="shared" si="3"/>
        <v>1.5277777777777777</v>
      </c>
      <c r="L17" s="333">
        <f t="shared" si="4"/>
        <v>223.92857142857139</v>
      </c>
      <c r="M17" s="342">
        <f t="shared" si="5"/>
        <v>224</v>
      </c>
      <c r="N17" s="343">
        <f t="shared" si="6"/>
        <v>1.5277777777777775</v>
      </c>
      <c r="O17" s="343"/>
      <c r="P17" s="343">
        <f t="shared" si="7"/>
        <v>0</v>
      </c>
      <c r="Q17" s="344"/>
      <c r="R17" s="343">
        <f t="shared" si="8"/>
        <v>10.000000000000012</v>
      </c>
      <c r="S17" s="343">
        <f t="shared" si="9"/>
        <v>0</v>
      </c>
      <c r="T17" s="343"/>
      <c r="U17" s="343">
        <f t="shared" ca="1" si="0"/>
        <v>1.0000000000000002</v>
      </c>
      <c r="V17" s="345">
        <f t="shared" si="10"/>
        <v>22.392857142857142</v>
      </c>
      <c r="W17" s="186"/>
      <c r="X17" s="190"/>
      <c r="Y17" s="190"/>
      <c r="Z17" s="199"/>
      <c r="AA17" s="178"/>
    </row>
    <row r="18" spans="2:31" ht="12.75" customHeight="1" x14ac:dyDescent="0.3">
      <c r="B18" s="246">
        <v>11</v>
      </c>
      <c r="C18" s="437">
        <f>B18*MechanicalData!$B$22/360</f>
        <v>1.6805555555555556</v>
      </c>
      <c r="D18" s="437">
        <f>MechanicalData!$B$22</f>
        <v>55</v>
      </c>
      <c r="E18" s="245">
        <v>11</v>
      </c>
      <c r="F18" s="453">
        <v>1.782</v>
      </c>
      <c r="G18" s="437">
        <v>58.31</v>
      </c>
      <c r="H18" s="339">
        <f t="shared" si="1"/>
        <v>11</v>
      </c>
      <c r="I18" s="451">
        <f t="shared" si="11"/>
        <v>55</v>
      </c>
      <c r="J18" s="340">
        <f t="shared" si="2"/>
        <v>0.15277777777777779</v>
      </c>
      <c r="K18" s="341">
        <f t="shared" si="3"/>
        <v>1.6805555555555556</v>
      </c>
      <c r="L18" s="333">
        <f t="shared" si="4"/>
        <v>246.32142857142858</v>
      </c>
      <c r="M18" s="342">
        <f t="shared" si="5"/>
        <v>246</v>
      </c>
      <c r="N18" s="343">
        <f t="shared" si="6"/>
        <v>1.6805555555555556</v>
      </c>
      <c r="O18" s="343"/>
      <c r="P18" s="343">
        <f t="shared" si="7"/>
        <v>0</v>
      </c>
      <c r="Q18" s="344"/>
      <c r="R18" s="343">
        <f t="shared" si="8"/>
        <v>11.000000000000014</v>
      </c>
      <c r="S18" s="343">
        <f t="shared" si="9"/>
        <v>-1.4210854715202004E-14</v>
      </c>
      <c r="T18" s="343"/>
      <c r="U18" s="343">
        <f t="shared" ca="1" si="0"/>
        <v>1.0000000000000002</v>
      </c>
      <c r="V18" s="345">
        <f t="shared" si="10"/>
        <v>22.392857142857142</v>
      </c>
      <c r="W18" s="186"/>
      <c r="AA18" s="178"/>
      <c r="AD18" s="192"/>
      <c r="AE18" s="193"/>
    </row>
    <row r="19" spans="2:31" x14ac:dyDescent="0.3">
      <c r="B19" s="246">
        <v>12</v>
      </c>
      <c r="C19" s="437">
        <f>B19*MechanicalData!$B$22/360</f>
        <v>1.8333333333333333</v>
      </c>
      <c r="D19" s="437">
        <f>MechanicalData!$B$22</f>
        <v>55</v>
      </c>
      <c r="E19" s="248">
        <v>12</v>
      </c>
      <c r="F19" s="453">
        <v>1.944</v>
      </c>
      <c r="G19" s="437">
        <v>58.31</v>
      </c>
      <c r="H19" s="339">
        <f t="shared" si="1"/>
        <v>12</v>
      </c>
      <c r="I19" s="451">
        <f t="shared" si="11"/>
        <v>55</v>
      </c>
      <c r="J19" s="340">
        <f t="shared" si="2"/>
        <v>0.15277777777777779</v>
      </c>
      <c r="K19" s="341">
        <f t="shared" si="3"/>
        <v>1.8333333333333333</v>
      </c>
      <c r="L19" s="333">
        <f t="shared" si="4"/>
        <v>268.71428571428567</v>
      </c>
      <c r="M19" s="342">
        <f t="shared" si="5"/>
        <v>269</v>
      </c>
      <c r="N19" s="343">
        <f t="shared" si="6"/>
        <v>1.8333333333333328</v>
      </c>
      <c r="O19" s="343"/>
      <c r="P19" s="343">
        <f t="shared" si="7"/>
        <v>0</v>
      </c>
      <c r="Q19" s="344"/>
      <c r="R19" s="343">
        <f t="shared" si="8"/>
        <v>12.000000000000014</v>
      </c>
      <c r="S19" s="343">
        <f t="shared" si="9"/>
        <v>-1.4210854715202004E-14</v>
      </c>
      <c r="T19" s="343"/>
      <c r="U19" s="343">
        <f t="shared" ca="1" si="0"/>
        <v>1.0000000000000002</v>
      </c>
      <c r="V19" s="345">
        <f t="shared" si="10"/>
        <v>22.392857142857142</v>
      </c>
      <c r="W19" s="186"/>
      <c r="Z19" s="178"/>
      <c r="AA19" s="178"/>
      <c r="AD19" s="193"/>
      <c r="AE19" s="193"/>
    </row>
    <row r="20" spans="2:31" ht="14" thickBot="1" x14ac:dyDescent="0.35">
      <c r="B20" s="246">
        <v>13</v>
      </c>
      <c r="C20" s="437">
        <f>B20*MechanicalData!$B$22/360</f>
        <v>1.9861111111111112</v>
      </c>
      <c r="D20" s="437">
        <f>MechanicalData!$B$22</f>
        <v>55</v>
      </c>
      <c r="E20" s="248">
        <v>13</v>
      </c>
      <c r="F20" s="453">
        <v>2.1059999999999999</v>
      </c>
      <c r="G20" s="437">
        <v>58.31</v>
      </c>
      <c r="H20" s="339">
        <f t="shared" si="1"/>
        <v>13</v>
      </c>
      <c r="I20" s="451">
        <f t="shared" si="11"/>
        <v>55</v>
      </c>
      <c r="J20" s="340">
        <f t="shared" si="2"/>
        <v>0.15277777777777779</v>
      </c>
      <c r="K20" s="341">
        <f t="shared" si="3"/>
        <v>1.9861111111111112</v>
      </c>
      <c r="L20" s="333">
        <f t="shared" si="4"/>
        <v>291.10714285714289</v>
      </c>
      <c r="M20" s="342">
        <f t="shared" si="5"/>
        <v>291</v>
      </c>
      <c r="N20" s="343">
        <f t="shared" si="6"/>
        <v>1.9861111111111114</v>
      </c>
      <c r="O20" s="343"/>
      <c r="P20" s="343">
        <f t="shared" si="7"/>
        <v>0</v>
      </c>
      <c r="Q20" s="344"/>
      <c r="R20" s="343">
        <f t="shared" si="8"/>
        <v>13.00000000000002</v>
      </c>
      <c r="S20" s="343">
        <f t="shared" si="9"/>
        <v>-1.9539925233402755E-14</v>
      </c>
      <c r="T20" s="343"/>
      <c r="U20" s="343">
        <f t="shared" ca="1" si="0"/>
        <v>1.0000000000000002</v>
      </c>
      <c r="V20" s="345">
        <f t="shared" si="10"/>
        <v>22.392857142857142</v>
      </c>
      <c r="W20" s="186"/>
      <c r="X20" s="603" t="s">
        <v>523</v>
      </c>
      <c r="Y20" s="603"/>
      <c r="Z20" s="205"/>
      <c r="AA20" s="244"/>
      <c r="AB20" s="603" t="s">
        <v>524</v>
      </c>
      <c r="AC20" s="603"/>
      <c r="AD20" s="193"/>
      <c r="AE20" s="193"/>
    </row>
    <row r="21" spans="2:31" x14ac:dyDescent="0.3">
      <c r="B21" s="246">
        <v>14</v>
      </c>
      <c r="C21" s="437">
        <f>B21*MechanicalData!$B$22/360</f>
        <v>2.1388888888888888</v>
      </c>
      <c r="D21" s="437">
        <f>MechanicalData!$B$22</f>
        <v>55</v>
      </c>
      <c r="E21" s="248">
        <v>14</v>
      </c>
      <c r="F21" s="453">
        <v>2.2679999999999998</v>
      </c>
      <c r="G21" s="437">
        <v>58.31</v>
      </c>
      <c r="H21" s="339">
        <f t="shared" si="1"/>
        <v>14</v>
      </c>
      <c r="I21" s="451">
        <f t="shared" si="11"/>
        <v>55</v>
      </c>
      <c r="J21" s="340">
        <f t="shared" si="2"/>
        <v>0.15277777777777779</v>
      </c>
      <c r="K21" s="341">
        <f t="shared" si="3"/>
        <v>2.1388888888888888</v>
      </c>
      <c r="L21" s="333">
        <f t="shared" si="4"/>
        <v>313.49999999999994</v>
      </c>
      <c r="M21" s="342">
        <f t="shared" si="5"/>
        <v>314</v>
      </c>
      <c r="N21" s="343">
        <f t="shared" si="6"/>
        <v>2.1388888888888884</v>
      </c>
      <c r="O21" s="343"/>
      <c r="P21" s="343">
        <f t="shared" si="7"/>
        <v>0</v>
      </c>
      <c r="Q21" s="344"/>
      <c r="R21" s="343">
        <f t="shared" si="8"/>
        <v>14.000000000000016</v>
      </c>
      <c r="S21" s="343">
        <f t="shared" si="9"/>
        <v>-1.5987211554602254E-14</v>
      </c>
      <c r="T21" s="343"/>
      <c r="U21" s="343">
        <f t="shared" ca="1" si="0"/>
        <v>1.0000000000000002</v>
      </c>
      <c r="V21" s="345">
        <f t="shared" si="10"/>
        <v>22.392857142857142</v>
      </c>
      <c r="W21" s="194"/>
      <c r="X21" s="195" t="s">
        <v>525</v>
      </c>
      <c r="Y21" s="196" t="s">
        <v>526</v>
      </c>
      <c r="Z21" s="191"/>
      <c r="AA21" s="191"/>
      <c r="AB21" s="195" t="s">
        <v>525</v>
      </c>
      <c r="AC21" s="196" t="s">
        <v>527</v>
      </c>
      <c r="AD21" s="193"/>
      <c r="AE21" s="193"/>
    </row>
    <row r="22" spans="2:31" x14ac:dyDescent="0.3">
      <c r="B22" s="246">
        <v>15</v>
      </c>
      <c r="C22" s="437">
        <f>B22*MechanicalData!$B$22/360</f>
        <v>2.2916666666666665</v>
      </c>
      <c r="D22" s="437">
        <f>MechanicalData!$B$22</f>
        <v>55</v>
      </c>
      <c r="E22" s="248">
        <v>15</v>
      </c>
      <c r="F22" s="453">
        <v>2.4300000000000002</v>
      </c>
      <c r="G22" s="437">
        <v>58.31</v>
      </c>
      <c r="H22" s="339">
        <f t="shared" si="1"/>
        <v>15</v>
      </c>
      <c r="I22" s="451">
        <f t="shared" si="11"/>
        <v>55</v>
      </c>
      <c r="J22" s="340">
        <f t="shared" si="2"/>
        <v>0.15277777777777779</v>
      </c>
      <c r="K22" s="341">
        <f t="shared" si="3"/>
        <v>2.2916666666666665</v>
      </c>
      <c r="L22" s="333">
        <f t="shared" si="4"/>
        <v>335.89285714285711</v>
      </c>
      <c r="M22" s="342">
        <f t="shared" si="5"/>
        <v>336</v>
      </c>
      <c r="N22" s="343">
        <f t="shared" si="6"/>
        <v>2.2916666666666661</v>
      </c>
      <c r="O22" s="343"/>
      <c r="P22" s="343">
        <f t="shared" si="7"/>
        <v>0</v>
      </c>
      <c r="Q22" s="344"/>
      <c r="R22" s="343">
        <f t="shared" si="8"/>
        <v>15.000000000000016</v>
      </c>
      <c r="S22" s="343">
        <f t="shared" si="9"/>
        <v>-1.5987211554602254E-14</v>
      </c>
      <c r="T22" s="343"/>
      <c r="U22" s="343">
        <f t="shared" ca="1" si="0"/>
        <v>1.0000000000000002</v>
      </c>
      <c r="V22" s="345">
        <f t="shared" si="10"/>
        <v>22.392857142857142</v>
      </c>
      <c r="W22" s="194"/>
      <c r="X22" s="197">
        <v>0</v>
      </c>
      <c r="Y22" s="198">
        <v>0</v>
      </c>
      <c r="Z22" s="199"/>
      <c r="AA22" s="190"/>
      <c r="AB22" s="197">
        <v>0</v>
      </c>
      <c r="AC22" s="198">
        <v>0</v>
      </c>
      <c r="AD22" s="193"/>
    </row>
    <row r="23" spans="2:31" x14ac:dyDescent="0.3">
      <c r="B23" s="246">
        <v>16</v>
      </c>
      <c r="C23" s="437">
        <f>B23*MechanicalData!$B$22/360</f>
        <v>2.4444444444444446</v>
      </c>
      <c r="D23" s="437">
        <f>MechanicalData!$B$22</f>
        <v>55</v>
      </c>
      <c r="E23" s="248">
        <v>16</v>
      </c>
      <c r="F23" s="453">
        <v>2.5920000000000001</v>
      </c>
      <c r="G23" s="437">
        <v>58.313000000000002</v>
      </c>
      <c r="H23" s="339">
        <f t="shared" si="1"/>
        <v>16</v>
      </c>
      <c r="I23" s="451">
        <f t="shared" si="11"/>
        <v>55</v>
      </c>
      <c r="J23" s="340">
        <f t="shared" si="2"/>
        <v>0.15277777777777779</v>
      </c>
      <c r="K23" s="341">
        <f t="shared" si="3"/>
        <v>2.4444444444444446</v>
      </c>
      <c r="L23" s="333">
        <f t="shared" si="4"/>
        <v>358.28571428571428</v>
      </c>
      <c r="M23" s="342">
        <f t="shared" si="5"/>
        <v>358</v>
      </c>
      <c r="N23" s="343">
        <f t="shared" si="6"/>
        <v>2.4444444444444446</v>
      </c>
      <c r="O23" s="343"/>
      <c r="P23" s="343">
        <f t="shared" si="7"/>
        <v>0</v>
      </c>
      <c r="Q23" s="344"/>
      <c r="R23" s="343">
        <f t="shared" si="8"/>
        <v>16.000000000000018</v>
      </c>
      <c r="S23" s="343">
        <f t="shared" si="9"/>
        <v>0</v>
      </c>
      <c r="T23" s="343"/>
      <c r="U23" s="343">
        <f t="shared" ca="1" si="0"/>
        <v>1.0000000000000002</v>
      </c>
      <c r="V23" s="345">
        <f t="shared" si="10"/>
        <v>22.392857142857142</v>
      </c>
      <c r="W23" s="194"/>
      <c r="X23" s="200">
        <v>92.277777777777658</v>
      </c>
      <c r="Y23" s="201">
        <v>13525.285714285697</v>
      </c>
      <c r="Z23" s="199"/>
      <c r="AA23" s="190"/>
      <c r="AB23" s="200">
        <v>92.277777777777658</v>
      </c>
      <c r="AC23" s="201">
        <v>604</v>
      </c>
      <c r="AD23" s="193"/>
    </row>
    <row r="24" spans="2:31" x14ac:dyDescent="0.3">
      <c r="B24" s="246">
        <v>17</v>
      </c>
      <c r="C24" s="437">
        <f>B24*MechanicalData!$B$22/360</f>
        <v>2.5972222222222223</v>
      </c>
      <c r="D24" s="437">
        <f>MechanicalData!$B$22</f>
        <v>55</v>
      </c>
      <c r="E24" s="248">
        <v>17</v>
      </c>
      <c r="F24" s="453">
        <v>2.754</v>
      </c>
      <c r="G24" s="437">
        <v>58.322000000000003</v>
      </c>
      <c r="H24" s="339">
        <f t="shared" si="1"/>
        <v>17</v>
      </c>
      <c r="I24" s="451">
        <f t="shared" si="11"/>
        <v>55</v>
      </c>
      <c r="J24" s="340">
        <f t="shared" si="2"/>
        <v>0.15277777777777779</v>
      </c>
      <c r="K24" s="341">
        <f t="shared" si="3"/>
        <v>2.5972222222222223</v>
      </c>
      <c r="L24" s="333">
        <f t="shared" si="4"/>
        <v>380.67857142857139</v>
      </c>
      <c r="M24" s="342">
        <f t="shared" si="5"/>
        <v>381</v>
      </c>
      <c r="N24" s="343">
        <f t="shared" si="6"/>
        <v>2.5972222222222214</v>
      </c>
      <c r="O24" s="343"/>
      <c r="P24" s="343">
        <f t="shared" si="7"/>
        <v>0</v>
      </c>
      <c r="Q24" s="344"/>
      <c r="R24" s="343">
        <f t="shared" si="8"/>
        <v>17.000000000000021</v>
      </c>
      <c r="S24" s="343">
        <f t="shared" si="9"/>
        <v>0</v>
      </c>
      <c r="T24" s="343"/>
      <c r="U24" s="343">
        <f t="shared" ca="1" si="0"/>
        <v>1.0000000000000002</v>
      </c>
      <c r="V24" s="345">
        <f t="shared" si="10"/>
        <v>22.392857142857142</v>
      </c>
      <c r="W24" s="194"/>
      <c r="X24" s="200">
        <v>92.287777777777663</v>
      </c>
      <c r="Y24" s="201">
        <v>13526.285714285697</v>
      </c>
      <c r="Z24" s="199"/>
      <c r="AA24" s="190"/>
      <c r="AB24" s="200">
        <v>92.287777777777663</v>
      </c>
      <c r="AC24" s="201">
        <v>604.1</v>
      </c>
      <c r="AD24" s="193"/>
    </row>
    <row r="25" spans="2:31" ht="14.25" customHeight="1" x14ac:dyDescent="0.3">
      <c r="B25" s="246">
        <v>18</v>
      </c>
      <c r="C25" s="437">
        <f>B25*MechanicalData!$B$22/360</f>
        <v>2.75</v>
      </c>
      <c r="D25" s="437">
        <f>MechanicalData!$B$22</f>
        <v>55</v>
      </c>
      <c r="E25" s="248">
        <v>18</v>
      </c>
      <c r="F25" s="453">
        <v>2.9159999999999999</v>
      </c>
      <c r="G25" s="437">
        <v>58.337000000000003</v>
      </c>
      <c r="H25" s="339">
        <f t="shared" si="1"/>
        <v>18</v>
      </c>
      <c r="I25" s="451">
        <f t="shared" si="11"/>
        <v>55</v>
      </c>
      <c r="J25" s="340">
        <f t="shared" si="2"/>
        <v>0.15277777777777779</v>
      </c>
      <c r="K25" s="341">
        <f t="shared" si="3"/>
        <v>2.75</v>
      </c>
      <c r="L25" s="333">
        <f t="shared" si="4"/>
        <v>403.07142857142856</v>
      </c>
      <c r="M25" s="342">
        <f t="shared" si="5"/>
        <v>403</v>
      </c>
      <c r="N25" s="343">
        <f t="shared" si="6"/>
        <v>2.75</v>
      </c>
      <c r="O25" s="343"/>
      <c r="P25" s="343">
        <f t="shared" si="7"/>
        <v>0</v>
      </c>
      <c r="Q25" s="344"/>
      <c r="R25" s="343">
        <f t="shared" si="8"/>
        <v>18.000000000000021</v>
      </c>
      <c r="S25" s="343">
        <f t="shared" si="9"/>
        <v>0</v>
      </c>
      <c r="T25" s="343"/>
      <c r="U25" s="343">
        <f t="shared" ca="1" si="0"/>
        <v>1.0000000000000002</v>
      </c>
      <c r="V25" s="345">
        <f t="shared" si="10"/>
        <v>22.392857142857142</v>
      </c>
      <c r="W25" s="194"/>
      <c r="X25" s="200">
        <v>92.297777777777654</v>
      </c>
      <c r="Y25" s="201">
        <v>13527.285714285697</v>
      </c>
      <c r="Z25" s="199"/>
      <c r="AA25" s="190"/>
      <c r="AB25" s="200">
        <v>92.297777777777654</v>
      </c>
      <c r="AC25" s="201">
        <v>604.20000000000005</v>
      </c>
      <c r="AD25" s="193"/>
    </row>
    <row r="26" spans="2:31" x14ac:dyDescent="0.3">
      <c r="B26" s="246">
        <v>19</v>
      </c>
      <c r="C26" s="437">
        <f>B26*MechanicalData!$B$22/360</f>
        <v>2.9027777777777777</v>
      </c>
      <c r="D26" s="437">
        <f>MechanicalData!$B$22</f>
        <v>55</v>
      </c>
      <c r="E26" s="248">
        <v>19</v>
      </c>
      <c r="F26" s="453">
        <v>3.0779999999999998</v>
      </c>
      <c r="G26" s="437">
        <v>58.359000000000002</v>
      </c>
      <c r="H26" s="339">
        <f t="shared" si="1"/>
        <v>19</v>
      </c>
      <c r="I26" s="451">
        <f t="shared" si="11"/>
        <v>55</v>
      </c>
      <c r="J26" s="340">
        <f t="shared" si="2"/>
        <v>0.15277777777777779</v>
      </c>
      <c r="K26" s="341">
        <f t="shared" si="3"/>
        <v>2.9027777777777777</v>
      </c>
      <c r="L26" s="333">
        <f t="shared" si="4"/>
        <v>425.46428571428567</v>
      </c>
      <c r="M26" s="342">
        <f t="shared" si="5"/>
        <v>425</v>
      </c>
      <c r="N26" s="343">
        <f t="shared" si="6"/>
        <v>2.9027777777777772</v>
      </c>
      <c r="O26" s="343"/>
      <c r="P26" s="343">
        <f t="shared" si="7"/>
        <v>0</v>
      </c>
      <c r="Q26" s="344"/>
      <c r="R26" s="343">
        <f t="shared" si="8"/>
        <v>19.000000000000021</v>
      </c>
      <c r="S26" s="343">
        <f t="shared" si="9"/>
        <v>0</v>
      </c>
      <c r="T26" s="343"/>
      <c r="U26" s="343">
        <f t="shared" ca="1" si="0"/>
        <v>1.0000000000000002</v>
      </c>
      <c r="V26" s="345">
        <f t="shared" si="10"/>
        <v>22.392857142857142</v>
      </c>
      <c r="W26" s="194"/>
      <c r="X26" s="200">
        <v>92.307777777777659</v>
      </c>
      <c r="Y26" s="201">
        <v>13528.285714285697</v>
      </c>
      <c r="Z26" s="199"/>
      <c r="AA26" s="190"/>
      <c r="AB26" s="200">
        <v>92.307777777777659</v>
      </c>
      <c r="AC26" s="201">
        <v>604.29999999999995</v>
      </c>
      <c r="AD26" s="193"/>
    </row>
    <row r="27" spans="2:31" x14ac:dyDescent="0.3">
      <c r="B27" s="246">
        <v>20</v>
      </c>
      <c r="C27" s="437">
        <f>B27*MechanicalData!$B$22/360</f>
        <v>3.0555555555555554</v>
      </c>
      <c r="D27" s="437">
        <f>MechanicalData!$B$22</f>
        <v>55</v>
      </c>
      <c r="E27" s="248">
        <v>20</v>
      </c>
      <c r="F27" s="453">
        <v>3.24</v>
      </c>
      <c r="G27" s="437">
        <v>58.386000000000003</v>
      </c>
      <c r="H27" s="339">
        <f t="shared" si="1"/>
        <v>20</v>
      </c>
      <c r="I27" s="451">
        <f t="shared" si="11"/>
        <v>55</v>
      </c>
      <c r="J27" s="340">
        <f t="shared" si="2"/>
        <v>0.15277777777777779</v>
      </c>
      <c r="K27" s="341">
        <f t="shared" si="3"/>
        <v>3.0555555555555554</v>
      </c>
      <c r="L27" s="333">
        <f t="shared" si="4"/>
        <v>447.85714285714278</v>
      </c>
      <c r="M27" s="342">
        <f t="shared" si="5"/>
        <v>448</v>
      </c>
      <c r="N27" s="343">
        <f t="shared" si="6"/>
        <v>3.0555555555555549</v>
      </c>
      <c r="O27" s="343"/>
      <c r="P27" s="343">
        <f t="shared" si="7"/>
        <v>0</v>
      </c>
      <c r="Q27" s="344"/>
      <c r="R27" s="343">
        <f t="shared" si="8"/>
        <v>20.000000000000025</v>
      </c>
      <c r="S27" s="343">
        <f t="shared" si="9"/>
        <v>0</v>
      </c>
      <c r="T27" s="343"/>
      <c r="U27" s="343">
        <f t="shared" ca="1" si="0"/>
        <v>1.0000000000000002</v>
      </c>
      <c r="V27" s="345">
        <f t="shared" si="10"/>
        <v>22.392857142857142</v>
      </c>
      <c r="W27" s="194"/>
      <c r="X27" s="200">
        <v>92.317777777777664</v>
      </c>
      <c r="Y27" s="201">
        <v>13529.285714285697</v>
      </c>
      <c r="Z27" s="199"/>
      <c r="AA27" s="190"/>
      <c r="AB27" s="200">
        <v>92.317777777777664</v>
      </c>
      <c r="AC27" s="201">
        <v>604.4</v>
      </c>
      <c r="AD27" s="193"/>
    </row>
    <row r="28" spans="2:31" x14ac:dyDescent="0.3">
      <c r="B28" s="246">
        <v>21</v>
      </c>
      <c r="C28" s="437">
        <f>B28*MechanicalData!$B$22/360</f>
        <v>3.2083333333333335</v>
      </c>
      <c r="D28" s="437">
        <f>MechanicalData!$B$22</f>
        <v>55</v>
      </c>
      <c r="E28" s="248">
        <v>21</v>
      </c>
      <c r="F28" s="453">
        <v>3.4020000000000001</v>
      </c>
      <c r="G28" s="437">
        <v>58.418999999999997</v>
      </c>
      <c r="H28" s="339">
        <f t="shared" si="1"/>
        <v>21</v>
      </c>
      <c r="I28" s="451">
        <f t="shared" si="11"/>
        <v>55</v>
      </c>
      <c r="J28" s="340">
        <f t="shared" si="2"/>
        <v>0.15277777777777779</v>
      </c>
      <c r="K28" s="341">
        <f t="shared" si="3"/>
        <v>3.2083333333333335</v>
      </c>
      <c r="L28" s="333">
        <f t="shared" si="4"/>
        <v>470.24999999999994</v>
      </c>
      <c r="M28" s="342">
        <f t="shared" si="5"/>
        <v>470</v>
      </c>
      <c r="N28" s="343">
        <f t="shared" si="6"/>
        <v>3.208333333333333</v>
      </c>
      <c r="O28" s="343"/>
      <c r="P28" s="343">
        <f t="shared" si="7"/>
        <v>0</v>
      </c>
      <c r="Q28" s="344"/>
      <c r="R28" s="343">
        <f t="shared" si="8"/>
        <v>21.000000000000021</v>
      </c>
      <c r="S28" s="343">
        <f t="shared" si="9"/>
        <v>0</v>
      </c>
      <c r="T28" s="343"/>
      <c r="U28" s="343">
        <f t="shared" ca="1" si="0"/>
        <v>1.0000000000000002</v>
      </c>
      <c r="V28" s="345">
        <f t="shared" si="10"/>
        <v>22.392857142857142</v>
      </c>
      <c r="W28" s="194"/>
      <c r="X28" s="200">
        <v>92.327777777777655</v>
      </c>
      <c r="Y28" s="201">
        <v>13530.285714285697</v>
      </c>
      <c r="Z28" s="199"/>
      <c r="AA28" s="190"/>
      <c r="AB28" s="200">
        <v>92.327777777777655</v>
      </c>
      <c r="AC28" s="201">
        <v>604.5</v>
      </c>
      <c r="AD28" s="193"/>
    </row>
    <row r="29" spans="2:31" x14ac:dyDescent="0.3">
      <c r="B29" s="246">
        <v>22</v>
      </c>
      <c r="C29" s="437">
        <f>B29*MechanicalData!$B$22/360</f>
        <v>3.3611111111111112</v>
      </c>
      <c r="D29" s="437">
        <f>MechanicalData!$B$22</f>
        <v>55</v>
      </c>
      <c r="E29" s="248">
        <v>22</v>
      </c>
      <c r="F29" s="453">
        <v>3.5640000000000001</v>
      </c>
      <c r="G29" s="437">
        <v>58.459000000000003</v>
      </c>
      <c r="H29" s="339">
        <f t="shared" si="1"/>
        <v>22</v>
      </c>
      <c r="I29" s="451">
        <f t="shared" si="11"/>
        <v>55</v>
      </c>
      <c r="J29" s="340">
        <f t="shared" si="2"/>
        <v>0.15277777777777779</v>
      </c>
      <c r="K29" s="341">
        <f t="shared" si="3"/>
        <v>3.3611111111111112</v>
      </c>
      <c r="L29" s="333">
        <f t="shared" si="4"/>
        <v>492.64285714285717</v>
      </c>
      <c r="M29" s="342">
        <f t="shared" si="5"/>
        <v>493</v>
      </c>
      <c r="N29" s="343">
        <f t="shared" si="6"/>
        <v>3.3611111111111112</v>
      </c>
      <c r="O29" s="343"/>
      <c r="P29" s="343">
        <f t="shared" si="7"/>
        <v>0</v>
      </c>
      <c r="Q29" s="344"/>
      <c r="R29" s="343">
        <f t="shared" si="8"/>
        <v>22.000000000000028</v>
      </c>
      <c r="S29" s="343">
        <f t="shared" si="9"/>
        <v>-2.8421709430404007E-14</v>
      </c>
      <c r="T29" s="343"/>
      <c r="U29" s="343">
        <f t="shared" ca="1" si="0"/>
        <v>1.0000000000000002</v>
      </c>
      <c r="V29" s="345">
        <f t="shared" si="10"/>
        <v>22.392857142857142</v>
      </c>
      <c r="W29" s="194"/>
      <c r="X29" s="200">
        <v>92.33777777777766</v>
      </c>
      <c r="Y29" s="201">
        <v>13531.285714285697</v>
      </c>
      <c r="Z29" s="199"/>
      <c r="AA29" s="190"/>
      <c r="AB29" s="200">
        <v>92.33777777777766</v>
      </c>
      <c r="AC29" s="201">
        <v>604.6</v>
      </c>
      <c r="AD29" s="193"/>
    </row>
    <row r="30" spans="2:31" ht="13.5" customHeight="1" x14ac:dyDescent="0.3">
      <c r="B30" s="246">
        <v>23</v>
      </c>
      <c r="C30" s="437">
        <f>B30*MechanicalData!$B$22/360</f>
        <v>3.5138888888888888</v>
      </c>
      <c r="D30" s="437">
        <f>MechanicalData!$B$22</f>
        <v>55</v>
      </c>
      <c r="E30" s="248">
        <v>23</v>
      </c>
      <c r="F30" s="453">
        <v>3.7269999999999999</v>
      </c>
      <c r="G30" s="437">
        <v>58.503999999999998</v>
      </c>
      <c r="H30" s="339">
        <f t="shared" si="1"/>
        <v>23</v>
      </c>
      <c r="I30" s="451">
        <f t="shared" si="11"/>
        <v>55</v>
      </c>
      <c r="J30" s="340">
        <f t="shared" si="2"/>
        <v>0.15277777777777779</v>
      </c>
      <c r="K30" s="341">
        <f t="shared" si="3"/>
        <v>3.5138888888888888</v>
      </c>
      <c r="L30" s="333">
        <f t="shared" si="4"/>
        <v>515.03571428571422</v>
      </c>
      <c r="M30" s="342">
        <f t="shared" si="5"/>
        <v>515</v>
      </c>
      <c r="N30" s="343">
        <f t="shared" si="6"/>
        <v>3.5138888888888884</v>
      </c>
      <c r="O30" s="343"/>
      <c r="P30" s="343">
        <f t="shared" si="7"/>
        <v>0</v>
      </c>
      <c r="Q30" s="344"/>
      <c r="R30" s="343">
        <f t="shared" si="8"/>
        <v>23.000000000000025</v>
      </c>
      <c r="S30" s="343">
        <f t="shared" si="9"/>
        <v>0</v>
      </c>
      <c r="T30" s="343"/>
      <c r="U30" s="343">
        <f t="shared" ca="1" si="0"/>
        <v>1.0000000000000002</v>
      </c>
      <c r="V30" s="345">
        <f t="shared" si="10"/>
        <v>22.392857142857142</v>
      </c>
      <c r="W30" s="194"/>
      <c r="X30" s="200">
        <v>92.347777777777651</v>
      </c>
      <c r="Y30" s="201">
        <v>13532.285714285697</v>
      </c>
      <c r="Z30" s="199"/>
      <c r="AA30" s="190"/>
      <c r="AB30" s="200">
        <v>92.347777777777651</v>
      </c>
      <c r="AC30" s="201">
        <v>604.70000000000005</v>
      </c>
      <c r="AD30" s="193"/>
    </row>
    <row r="31" spans="2:31" ht="14" thickBot="1" x14ac:dyDescent="0.35">
      <c r="B31" s="246">
        <v>24</v>
      </c>
      <c r="C31" s="437">
        <f>B31*MechanicalData!$B$22/360</f>
        <v>3.6666666666666665</v>
      </c>
      <c r="D31" s="437">
        <f>MechanicalData!$B$22</f>
        <v>55</v>
      </c>
      <c r="E31" s="248">
        <v>24</v>
      </c>
      <c r="F31" s="453">
        <v>3.8889999999999998</v>
      </c>
      <c r="G31" s="437">
        <v>58.555999999999997</v>
      </c>
      <c r="H31" s="339">
        <f t="shared" si="1"/>
        <v>24</v>
      </c>
      <c r="I31" s="451">
        <f t="shared" si="11"/>
        <v>55</v>
      </c>
      <c r="J31" s="340">
        <f t="shared" si="2"/>
        <v>0.15277777777777779</v>
      </c>
      <c r="K31" s="341">
        <f t="shared" si="3"/>
        <v>3.6666666666666665</v>
      </c>
      <c r="L31" s="333">
        <f t="shared" si="4"/>
        <v>537.42857142857133</v>
      </c>
      <c r="M31" s="342">
        <f t="shared" si="5"/>
        <v>537</v>
      </c>
      <c r="N31" s="343">
        <f t="shared" si="6"/>
        <v>3.6666666666666656</v>
      </c>
      <c r="O31" s="343"/>
      <c r="P31" s="343">
        <f t="shared" si="7"/>
        <v>0</v>
      </c>
      <c r="Q31" s="344"/>
      <c r="R31" s="343">
        <f t="shared" si="8"/>
        <v>24.000000000000028</v>
      </c>
      <c r="S31" s="343">
        <f t="shared" si="9"/>
        <v>-2.8421709430404007E-14</v>
      </c>
      <c r="T31" s="343"/>
      <c r="U31" s="343">
        <f t="shared" ca="1" si="0"/>
        <v>1.0000000000000002</v>
      </c>
      <c r="V31" s="345">
        <f t="shared" si="10"/>
        <v>22.392857142857142</v>
      </c>
      <c r="W31" s="194"/>
      <c r="X31" s="202">
        <v>92.357777777777656</v>
      </c>
      <c r="Y31" s="203">
        <v>13533.285714285697</v>
      </c>
      <c r="Z31" s="199"/>
      <c r="AA31" s="190"/>
      <c r="AB31" s="202">
        <v>92.357777777777656</v>
      </c>
      <c r="AC31" s="203">
        <v>604.79999999999995</v>
      </c>
      <c r="AD31" s="193"/>
    </row>
    <row r="32" spans="2:31" ht="14" thickBot="1" x14ac:dyDescent="0.35">
      <c r="B32" s="246">
        <v>25</v>
      </c>
      <c r="C32" s="437">
        <f>B32*MechanicalData!$B$22/360</f>
        <v>3.8194444444444446</v>
      </c>
      <c r="D32" s="437">
        <f>MechanicalData!$B$22</f>
        <v>55</v>
      </c>
      <c r="E32" s="248">
        <v>25</v>
      </c>
      <c r="F32" s="453">
        <v>4.0519999999999996</v>
      </c>
      <c r="G32" s="437">
        <v>58.613</v>
      </c>
      <c r="H32" s="339">
        <f t="shared" si="1"/>
        <v>25</v>
      </c>
      <c r="I32" s="451">
        <f t="shared" si="11"/>
        <v>55</v>
      </c>
      <c r="J32" s="340">
        <f t="shared" si="2"/>
        <v>0.15277777777777779</v>
      </c>
      <c r="K32" s="341">
        <f t="shared" si="3"/>
        <v>3.8194444444444446</v>
      </c>
      <c r="L32" s="333">
        <f t="shared" si="4"/>
        <v>559.82142857142856</v>
      </c>
      <c r="M32" s="342">
        <f t="shared" si="5"/>
        <v>560</v>
      </c>
      <c r="N32" s="343">
        <f t="shared" si="6"/>
        <v>3.8194444444444438</v>
      </c>
      <c r="O32" s="343"/>
      <c r="P32" s="343">
        <f t="shared" si="7"/>
        <v>0</v>
      </c>
      <c r="Q32" s="344"/>
      <c r="R32" s="343">
        <f t="shared" si="8"/>
        <v>25.000000000000028</v>
      </c>
      <c r="S32" s="343">
        <f t="shared" si="9"/>
        <v>-2.8421709430404007E-14</v>
      </c>
      <c r="T32" s="343"/>
      <c r="U32" s="343">
        <f t="shared" ca="1" si="0"/>
        <v>1.0000000000000002</v>
      </c>
      <c r="V32" s="345">
        <f t="shared" si="10"/>
        <v>22.392857142857142</v>
      </c>
      <c r="W32" s="194"/>
      <c r="X32" s="604" t="s">
        <v>528</v>
      </c>
      <c r="Y32" s="605"/>
      <c r="Z32" s="199"/>
      <c r="AA32" s="190"/>
      <c r="AB32" s="604" t="s">
        <v>528</v>
      </c>
      <c r="AC32" s="605"/>
      <c r="AD32" s="193"/>
    </row>
    <row r="33" spans="2:30" x14ac:dyDescent="0.3">
      <c r="B33" s="246">
        <v>26</v>
      </c>
      <c r="C33" s="437">
        <f>B33*MechanicalData!$B$22/360</f>
        <v>3.9722222222222223</v>
      </c>
      <c r="D33" s="437">
        <f>MechanicalData!$B$22</f>
        <v>55</v>
      </c>
      <c r="E33" s="248">
        <v>26</v>
      </c>
      <c r="F33" s="453">
        <v>4.2149999999999999</v>
      </c>
      <c r="G33" s="437">
        <v>58.676000000000002</v>
      </c>
      <c r="H33" s="339">
        <f t="shared" si="1"/>
        <v>26</v>
      </c>
      <c r="I33" s="451">
        <f t="shared" si="11"/>
        <v>55</v>
      </c>
      <c r="J33" s="340">
        <f t="shared" si="2"/>
        <v>0.15277777777777779</v>
      </c>
      <c r="K33" s="341">
        <f t="shared" si="3"/>
        <v>3.9722222222222223</v>
      </c>
      <c r="L33" s="333">
        <f t="shared" si="4"/>
        <v>582.21428571428578</v>
      </c>
      <c r="M33" s="342">
        <f t="shared" si="5"/>
        <v>582</v>
      </c>
      <c r="N33" s="343">
        <f t="shared" si="6"/>
        <v>3.9722222222222228</v>
      </c>
      <c r="O33" s="343"/>
      <c r="P33" s="343">
        <f t="shared" si="7"/>
        <v>0</v>
      </c>
      <c r="Q33" s="344"/>
      <c r="R33" s="343">
        <f t="shared" si="8"/>
        <v>26.000000000000039</v>
      </c>
      <c r="S33" s="343">
        <f t="shared" si="9"/>
        <v>-3.907985046680551E-14</v>
      </c>
      <c r="T33" s="343"/>
      <c r="U33" s="343">
        <f t="shared" ca="1" si="0"/>
        <v>1.0000000000000002</v>
      </c>
      <c r="V33" s="345">
        <f t="shared" si="10"/>
        <v>22.392857142857142</v>
      </c>
      <c r="W33" s="194"/>
      <c r="X33" s="190"/>
      <c r="Y33" s="190"/>
      <c r="Z33" s="199"/>
      <c r="AA33" s="190"/>
      <c r="AB33" s="190"/>
      <c r="AC33" s="190"/>
      <c r="AD33" s="204"/>
    </row>
    <row r="34" spans="2:30" x14ac:dyDescent="0.3">
      <c r="B34" s="246">
        <v>27</v>
      </c>
      <c r="C34" s="437">
        <f>B34*MechanicalData!$B$22/360</f>
        <v>4.125</v>
      </c>
      <c r="D34" s="437">
        <f>MechanicalData!$B$22</f>
        <v>55</v>
      </c>
      <c r="E34" s="248">
        <v>27</v>
      </c>
      <c r="F34" s="453">
        <v>4.3780000000000001</v>
      </c>
      <c r="G34" s="437">
        <v>58.744999999999997</v>
      </c>
      <c r="H34" s="339">
        <f t="shared" si="1"/>
        <v>27</v>
      </c>
      <c r="I34" s="451">
        <f t="shared" si="11"/>
        <v>55</v>
      </c>
      <c r="J34" s="340">
        <f t="shared" si="2"/>
        <v>0.15277777777777779</v>
      </c>
      <c r="K34" s="341">
        <f t="shared" si="3"/>
        <v>4.125</v>
      </c>
      <c r="L34" s="333">
        <f t="shared" si="4"/>
        <v>604.60714285714278</v>
      </c>
      <c r="M34" s="342">
        <f t="shared" si="5"/>
        <v>605</v>
      </c>
      <c r="N34" s="343">
        <f t="shared" si="6"/>
        <v>4.1249999999999991</v>
      </c>
      <c r="O34" s="343"/>
      <c r="P34" s="343">
        <f t="shared" si="7"/>
        <v>0</v>
      </c>
      <c r="Q34" s="344"/>
      <c r="R34" s="343">
        <f t="shared" si="8"/>
        <v>27.000000000000032</v>
      </c>
      <c r="S34" s="343">
        <f t="shared" si="9"/>
        <v>-3.1974423109204508E-14</v>
      </c>
      <c r="T34" s="343"/>
      <c r="U34" s="343">
        <f t="shared" ca="1" si="0"/>
        <v>1.0000000000000002</v>
      </c>
      <c r="V34" s="345">
        <f t="shared" si="10"/>
        <v>22.392857142857142</v>
      </c>
      <c r="W34" s="194"/>
      <c r="X34" s="190"/>
      <c r="Y34" s="190"/>
      <c r="Z34" s="199"/>
      <c r="AA34" s="190"/>
      <c r="AB34" s="190"/>
      <c r="AC34" s="190"/>
      <c r="AD34" s="204"/>
    </row>
    <row r="35" spans="2:30" x14ac:dyDescent="0.3">
      <c r="B35" s="246">
        <v>28</v>
      </c>
      <c r="C35" s="437">
        <f>B35*MechanicalData!$B$22/360</f>
        <v>4.2777777777777777</v>
      </c>
      <c r="D35" s="437">
        <f>MechanicalData!$B$22</f>
        <v>55</v>
      </c>
      <c r="E35" s="248">
        <v>28</v>
      </c>
      <c r="F35" s="453">
        <v>4.5410000000000004</v>
      </c>
      <c r="G35" s="437">
        <v>58.82</v>
      </c>
      <c r="H35" s="339">
        <f t="shared" si="1"/>
        <v>28</v>
      </c>
      <c r="I35" s="451">
        <f t="shared" si="11"/>
        <v>55</v>
      </c>
      <c r="J35" s="340">
        <f t="shared" si="2"/>
        <v>0.15277777777777779</v>
      </c>
      <c r="K35" s="341">
        <f t="shared" si="3"/>
        <v>4.2777777777777777</v>
      </c>
      <c r="L35" s="333">
        <f t="shared" si="4"/>
        <v>626.99999999999989</v>
      </c>
      <c r="M35" s="342">
        <f t="shared" si="5"/>
        <v>627</v>
      </c>
      <c r="N35" s="343">
        <f t="shared" si="6"/>
        <v>4.2777777777777768</v>
      </c>
      <c r="O35" s="343"/>
      <c r="P35" s="343">
        <f t="shared" si="7"/>
        <v>0</v>
      </c>
      <c r="Q35" s="344"/>
      <c r="R35" s="343">
        <f t="shared" si="8"/>
        <v>28.000000000000032</v>
      </c>
      <c r="S35" s="343">
        <f t="shared" si="9"/>
        <v>-3.1974423109204508E-14</v>
      </c>
      <c r="T35" s="343"/>
      <c r="U35" s="343">
        <f t="shared" ca="1" si="0"/>
        <v>1.0000000000000002</v>
      </c>
      <c r="V35" s="345">
        <f t="shared" si="10"/>
        <v>22.392857142857142</v>
      </c>
      <c r="W35" s="186"/>
      <c r="X35" s="205"/>
      <c r="Y35" s="205"/>
      <c r="Z35" s="205"/>
      <c r="AA35" s="205"/>
      <c r="AB35" s="606"/>
      <c r="AC35" s="606"/>
      <c r="AD35" s="206"/>
    </row>
    <row r="36" spans="2:30" x14ac:dyDescent="0.3">
      <c r="B36" s="246">
        <v>29</v>
      </c>
      <c r="C36" s="437">
        <f>B36*MechanicalData!$B$22/360</f>
        <v>4.4305555555555554</v>
      </c>
      <c r="D36" s="437">
        <f>MechanicalData!$B$22</f>
        <v>55</v>
      </c>
      <c r="E36" s="248">
        <v>29</v>
      </c>
      <c r="F36" s="453">
        <v>4.7050000000000001</v>
      </c>
      <c r="G36" s="437">
        <v>58.9</v>
      </c>
      <c r="H36" s="339">
        <f t="shared" si="1"/>
        <v>29</v>
      </c>
      <c r="I36" s="451">
        <f t="shared" si="11"/>
        <v>55</v>
      </c>
      <c r="J36" s="340">
        <f t="shared" si="2"/>
        <v>0.15277777777777779</v>
      </c>
      <c r="K36" s="341">
        <f t="shared" si="3"/>
        <v>4.4305555555555554</v>
      </c>
      <c r="L36" s="333">
        <f t="shared" si="4"/>
        <v>649.39285714285711</v>
      </c>
      <c r="M36" s="342">
        <f t="shared" si="5"/>
        <v>649</v>
      </c>
      <c r="N36" s="343">
        <f t="shared" si="6"/>
        <v>4.4305555555555554</v>
      </c>
      <c r="O36" s="343"/>
      <c r="P36" s="343">
        <f t="shared" si="7"/>
        <v>0</v>
      </c>
      <c r="Q36" s="344"/>
      <c r="R36" s="343">
        <f t="shared" si="8"/>
        <v>29.000000000000036</v>
      </c>
      <c r="S36" s="343">
        <f t="shared" si="9"/>
        <v>-3.5527136788005009E-14</v>
      </c>
      <c r="T36" s="343"/>
      <c r="U36" s="343">
        <f t="shared" ca="1" si="0"/>
        <v>1.0000000000000002</v>
      </c>
      <c r="V36" s="345">
        <f t="shared" si="10"/>
        <v>22.392857142857142</v>
      </c>
      <c r="W36" s="186"/>
      <c r="X36" s="207"/>
      <c r="AA36" s="205"/>
      <c r="AB36" s="208"/>
      <c r="AC36" s="208"/>
      <c r="AD36" s="208"/>
    </row>
    <row r="37" spans="2:30" ht="14" thickBot="1" x14ac:dyDescent="0.35">
      <c r="B37" s="246">
        <v>30</v>
      </c>
      <c r="C37" s="437">
        <f>B37*MechanicalData!$B$22/360</f>
        <v>4.583333333333333</v>
      </c>
      <c r="D37" s="437">
        <f>MechanicalData!$B$22</f>
        <v>55</v>
      </c>
      <c r="E37" s="248">
        <v>30</v>
      </c>
      <c r="F37" s="453">
        <v>4.8689999999999998</v>
      </c>
      <c r="G37" s="437">
        <v>58.987000000000002</v>
      </c>
      <c r="H37" s="339">
        <f t="shared" si="1"/>
        <v>30</v>
      </c>
      <c r="I37" s="451">
        <f t="shared" si="11"/>
        <v>55</v>
      </c>
      <c r="J37" s="340">
        <f t="shared" si="2"/>
        <v>0.15277777777777779</v>
      </c>
      <c r="K37" s="341">
        <f t="shared" si="3"/>
        <v>4.583333333333333</v>
      </c>
      <c r="L37" s="333">
        <f t="shared" si="4"/>
        <v>671.78571428571422</v>
      </c>
      <c r="M37" s="342">
        <f t="shared" si="5"/>
        <v>672</v>
      </c>
      <c r="N37" s="343">
        <f t="shared" si="6"/>
        <v>4.5833333333333321</v>
      </c>
      <c r="O37" s="343"/>
      <c r="P37" s="343">
        <f t="shared" si="7"/>
        <v>0</v>
      </c>
      <c r="Q37" s="344"/>
      <c r="R37" s="343">
        <f t="shared" si="8"/>
        <v>30.000000000000032</v>
      </c>
      <c r="S37" s="343">
        <f t="shared" si="9"/>
        <v>-3.1974423109204508E-14</v>
      </c>
      <c r="T37" s="343"/>
      <c r="U37" s="343">
        <f t="shared" ca="1" si="0"/>
        <v>1.0000000000000002</v>
      </c>
      <c r="V37" s="345">
        <f t="shared" si="10"/>
        <v>22.392857142857142</v>
      </c>
      <c r="W37" s="186"/>
      <c r="X37" s="207"/>
      <c r="AB37" s="209"/>
      <c r="AC37" s="209"/>
    </row>
    <row r="38" spans="2:30" x14ac:dyDescent="0.3">
      <c r="B38" s="246">
        <v>31</v>
      </c>
      <c r="C38" s="437">
        <f>B38*MechanicalData!$B$22/360</f>
        <v>4.7361111111111107</v>
      </c>
      <c r="D38" s="437">
        <f>MechanicalData!$B$22</f>
        <v>55</v>
      </c>
      <c r="E38" s="248">
        <v>31</v>
      </c>
      <c r="F38" s="453">
        <v>5.0330000000000004</v>
      </c>
      <c r="G38" s="437">
        <v>59.078000000000003</v>
      </c>
      <c r="H38" s="339">
        <f t="shared" si="1"/>
        <v>31</v>
      </c>
      <c r="I38" s="451">
        <f t="shared" si="11"/>
        <v>55</v>
      </c>
      <c r="J38" s="340">
        <f t="shared" si="2"/>
        <v>0.15277777777777779</v>
      </c>
      <c r="K38" s="341">
        <f t="shared" si="3"/>
        <v>4.7361111111111107</v>
      </c>
      <c r="L38" s="333">
        <f t="shared" si="4"/>
        <v>694.17857142857133</v>
      </c>
      <c r="M38" s="342">
        <f t="shared" si="5"/>
        <v>694</v>
      </c>
      <c r="N38" s="343">
        <f t="shared" si="6"/>
        <v>4.7361111111111098</v>
      </c>
      <c r="O38" s="343"/>
      <c r="P38" s="343">
        <f t="shared" si="7"/>
        <v>0</v>
      </c>
      <c r="Q38" s="344"/>
      <c r="R38" s="343">
        <f t="shared" si="8"/>
        <v>31.000000000000036</v>
      </c>
      <c r="S38" s="343">
        <f t="shared" si="9"/>
        <v>-3.5527136788005009E-14</v>
      </c>
      <c r="T38" s="343"/>
      <c r="U38" s="343">
        <f t="shared" ca="1" si="0"/>
        <v>1.0000000000000002</v>
      </c>
      <c r="V38" s="345">
        <f t="shared" si="10"/>
        <v>22.392857142857142</v>
      </c>
      <c r="W38" s="186"/>
      <c r="X38" s="591" t="s">
        <v>522</v>
      </c>
      <c r="Y38" s="592"/>
      <c r="Z38" s="592"/>
      <c r="AA38" s="592"/>
      <c r="AB38" s="592"/>
      <c r="AC38" s="593"/>
    </row>
    <row r="39" spans="2:30" x14ac:dyDescent="0.3">
      <c r="B39" s="246">
        <v>32</v>
      </c>
      <c r="C39" s="437">
        <f>B39*MechanicalData!$B$22/360</f>
        <v>4.8888888888888893</v>
      </c>
      <c r="D39" s="437">
        <f>MechanicalData!$B$22</f>
        <v>55</v>
      </c>
      <c r="E39" s="248">
        <v>32</v>
      </c>
      <c r="F39" s="453">
        <v>5.1970000000000001</v>
      </c>
      <c r="G39" s="437">
        <v>59.176000000000002</v>
      </c>
      <c r="H39" s="339">
        <f t="shared" si="1"/>
        <v>32</v>
      </c>
      <c r="I39" s="451">
        <f t="shared" si="11"/>
        <v>55</v>
      </c>
      <c r="J39" s="340">
        <f t="shared" si="2"/>
        <v>0.15277777777777779</v>
      </c>
      <c r="K39" s="341">
        <f t="shared" si="3"/>
        <v>4.8888888888888893</v>
      </c>
      <c r="L39" s="333">
        <f t="shared" si="4"/>
        <v>716.57142857142856</v>
      </c>
      <c r="M39" s="342">
        <f t="shared" si="5"/>
        <v>717</v>
      </c>
      <c r="N39" s="343">
        <f t="shared" si="6"/>
        <v>4.8888888888888893</v>
      </c>
      <c r="O39" s="343"/>
      <c r="P39" s="343">
        <f t="shared" si="7"/>
        <v>0</v>
      </c>
      <c r="Q39" s="344"/>
      <c r="R39" s="343">
        <f t="shared" si="8"/>
        <v>32.000000000000036</v>
      </c>
      <c r="S39" s="343">
        <f t="shared" si="9"/>
        <v>0</v>
      </c>
      <c r="T39" s="343"/>
      <c r="U39" s="343">
        <f t="shared" ca="1" si="0"/>
        <v>1.0000000000000002</v>
      </c>
      <c r="V39" s="345">
        <f t="shared" si="10"/>
        <v>22.392857142857142</v>
      </c>
      <c r="W39" s="186"/>
      <c r="X39" s="210"/>
      <c r="Y39" s="211"/>
      <c r="Z39" s="211"/>
      <c r="AA39" s="211"/>
      <c r="AB39" s="211"/>
      <c r="AC39" s="212"/>
    </row>
    <row r="40" spans="2:30" x14ac:dyDescent="0.3">
      <c r="B40" s="246">
        <v>33</v>
      </c>
      <c r="C40" s="437">
        <f>B40*MechanicalData!$B$22/360</f>
        <v>5.041666666666667</v>
      </c>
      <c r="D40" s="437">
        <f>MechanicalData!$B$22</f>
        <v>55</v>
      </c>
      <c r="E40" s="248">
        <v>33</v>
      </c>
      <c r="F40" s="453">
        <v>5.3609999999999998</v>
      </c>
      <c r="G40" s="437">
        <v>59.279000000000003</v>
      </c>
      <c r="H40" s="339">
        <f t="shared" si="1"/>
        <v>33</v>
      </c>
      <c r="I40" s="451">
        <f t="shared" si="11"/>
        <v>55</v>
      </c>
      <c r="J40" s="340">
        <f t="shared" si="2"/>
        <v>0.15277777777777779</v>
      </c>
      <c r="K40" s="341">
        <f t="shared" si="3"/>
        <v>5.041666666666667</v>
      </c>
      <c r="L40" s="333">
        <f t="shared" si="4"/>
        <v>738.96428571428567</v>
      </c>
      <c r="M40" s="342">
        <f t="shared" si="5"/>
        <v>739</v>
      </c>
      <c r="N40" s="343">
        <f t="shared" si="6"/>
        <v>5.0416666666666652</v>
      </c>
      <c r="O40" s="343"/>
      <c r="P40" s="343">
        <f t="shared" si="7"/>
        <v>0</v>
      </c>
      <c r="Q40" s="344"/>
      <c r="R40" s="343">
        <f t="shared" si="8"/>
        <v>33.000000000000036</v>
      </c>
      <c r="S40" s="343">
        <f t="shared" si="9"/>
        <v>0</v>
      </c>
      <c r="T40" s="343"/>
      <c r="U40" s="343">
        <f t="shared" ca="1" si="0"/>
        <v>1.0000000000000002</v>
      </c>
      <c r="V40" s="345">
        <f t="shared" si="10"/>
        <v>22.392857142857142</v>
      </c>
      <c r="W40" s="186"/>
      <c r="X40" s="600" t="s">
        <v>519</v>
      </c>
      <c r="Y40" s="601"/>
      <c r="Z40" s="211"/>
      <c r="AA40" s="211"/>
      <c r="AB40" s="211"/>
      <c r="AC40" s="212"/>
    </row>
    <row r="41" spans="2:30" x14ac:dyDescent="0.3">
      <c r="B41" s="246">
        <v>34</v>
      </c>
      <c r="C41" s="437">
        <f>B41*MechanicalData!$B$22/360</f>
        <v>5.1944444444444446</v>
      </c>
      <c r="D41" s="437">
        <f>MechanicalData!$B$22</f>
        <v>55</v>
      </c>
      <c r="E41" s="248">
        <v>34</v>
      </c>
      <c r="F41" s="453">
        <v>5.5259999999999998</v>
      </c>
      <c r="G41" s="437">
        <v>59.387</v>
      </c>
      <c r="H41" s="339">
        <f t="shared" si="1"/>
        <v>34</v>
      </c>
      <c r="I41" s="451">
        <f t="shared" si="11"/>
        <v>55</v>
      </c>
      <c r="J41" s="340">
        <f t="shared" si="2"/>
        <v>0.15277777777777779</v>
      </c>
      <c r="K41" s="341">
        <f t="shared" si="3"/>
        <v>5.1944444444444446</v>
      </c>
      <c r="L41" s="333">
        <f t="shared" si="4"/>
        <v>761.35714285714278</v>
      </c>
      <c r="M41" s="342">
        <f t="shared" si="5"/>
        <v>761</v>
      </c>
      <c r="N41" s="343">
        <f t="shared" si="6"/>
        <v>5.1944444444444429</v>
      </c>
      <c r="O41" s="343"/>
      <c r="P41" s="343">
        <f t="shared" si="7"/>
        <v>0</v>
      </c>
      <c r="Q41" s="344"/>
      <c r="R41" s="343">
        <f t="shared" si="8"/>
        <v>34.000000000000043</v>
      </c>
      <c r="S41" s="343">
        <f t="shared" si="9"/>
        <v>0</v>
      </c>
      <c r="T41" s="343"/>
      <c r="U41" s="343">
        <f t="shared" ca="1" si="0"/>
        <v>1.0000000000000002</v>
      </c>
      <c r="V41" s="345">
        <f t="shared" si="10"/>
        <v>22.392857142857142</v>
      </c>
      <c r="W41" s="186"/>
      <c r="X41" s="210"/>
      <c r="Y41" s="211"/>
      <c r="Z41" s="211"/>
      <c r="AA41" s="211"/>
      <c r="AB41" s="211"/>
      <c r="AC41" s="212"/>
      <c r="AD41" s="191"/>
    </row>
    <row r="42" spans="2:30" x14ac:dyDescent="0.3">
      <c r="B42" s="246">
        <v>35</v>
      </c>
      <c r="C42" s="437">
        <f>B42*MechanicalData!$B$22/360</f>
        <v>5.3472222222222223</v>
      </c>
      <c r="D42" s="437">
        <f>MechanicalData!$B$22</f>
        <v>55</v>
      </c>
      <c r="E42" s="248">
        <v>35</v>
      </c>
      <c r="F42" s="453">
        <v>5.6909999999999998</v>
      </c>
      <c r="G42" s="437">
        <v>59.5</v>
      </c>
      <c r="H42" s="339">
        <f t="shared" si="1"/>
        <v>35</v>
      </c>
      <c r="I42" s="451">
        <f t="shared" si="11"/>
        <v>55</v>
      </c>
      <c r="J42" s="340">
        <f t="shared" si="2"/>
        <v>0.15277777777777779</v>
      </c>
      <c r="K42" s="341">
        <f t="shared" si="3"/>
        <v>5.3472222222222223</v>
      </c>
      <c r="L42" s="333">
        <f t="shared" si="4"/>
        <v>783.75</v>
      </c>
      <c r="M42" s="342">
        <f t="shared" si="5"/>
        <v>784</v>
      </c>
      <c r="N42" s="343">
        <f t="shared" si="6"/>
        <v>5.3472222222222223</v>
      </c>
      <c r="O42" s="343"/>
      <c r="P42" s="343">
        <f t="shared" si="7"/>
        <v>0</v>
      </c>
      <c r="Q42" s="344"/>
      <c r="R42" s="343">
        <f t="shared" si="8"/>
        <v>35.000000000000043</v>
      </c>
      <c r="S42" s="343">
        <f t="shared" si="9"/>
        <v>0</v>
      </c>
      <c r="T42" s="343"/>
      <c r="U42" s="343">
        <f t="shared" ca="1" si="0"/>
        <v>1.0000000000000002</v>
      </c>
      <c r="V42" s="345">
        <f t="shared" si="10"/>
        <v>22.392857142857142</v>
      </c>
      <c r="W42" s="186"/>
      <c r="X42" s="210"/>
      <c r="Y42" s="211" t="s">
        <v>520</v>
      </c>
      <c r="Z42" s="214">
        <v>0.09</v>
      </c>
      <c r="AA42" s="211"/>
      <c r="AB42" s="237" t="s">
        <v>542</v>
      </c>
      <c r="AC42" s="236"/>
      <c r="AD42" s="191"/>
    </row>
    <row r="43" spans="2:30" x14ac:dyDescent="0.3">
      <c r="B43" s="246">
        <v>36</v>
      </c>
      <c r="C43" s="437">
        <f>B43*MechanicalData!$B$22/360</f>
        <v>5.5</v>
      </c>
      <c r="D43" s="437">
        <f>MechanicalData!$B$22</f>
        <v>55</v>
      </c>
      <c r="E43" s="248">
        <v>36</v>
      </c>
      <c r="F43" s="453">
        <v>5.8570000000000002</v>
      </c>
      <c r="G43" s="437">
        <v>59.619</v>
      </c>
      <c r="H43" s="339">
        <f t="shared" si="1"/>
        <v>36</v>
      </c>
      <c r="I43" s="451">
        <f t="shared" si="11"/>
        <v>55</v>
      </c>
      <c r="J43" s="340">
        <f t="shared" si="2"/>
        <v>0.15277777777777779</v>
      </c>
      <c r="K43" s="341">
        <f t="shared" si="3"/>
        <v>5.5</v>
      </c>
      <c r="L43" s="333">
        <f t="shared" si="4"/>
        <v>806.14285714285711</v>
      </c>
      <c r="M43" s="342">
        <f t="shared" si="5"/>
        <v>806</v>
      </c>
      <c r="N43" s="343">
        <f t="shared" si="6"/>
        <v>5.5</v>
      </c>
      <c r="O43" s="343"/>
      <c r="P43" s="343">
        <f t="shared" si="7"/>
        <v>0</v>
      </c>
      <c r="Q43" s="344"/>
      <c r="R43" s="343">
        <f t="shared" si="8"/>
        <v>36.000000000000043</v>
      </c>
      <c r="S43" s="343">
        <f t="shared" si="9"/>
        <v>0</v>
      </c>
      <c r="T43" s="343"/>
      <c r="U43" s="343">
        <f t="shared" ca="1" si="0"/>
        <v>1.0000000000000002</v>
      </c>
      <c r="V43" s="345">
        <f t="shared" si="10"/>
        <v>22.392857142857142</v>
      </c>
      <c r="W43" s="186"/>
      <c r="X43" s="210"/>
      <c r="Y43" s="211"/>
      <c r="Z43" s="211"/>
      <c r="AA43" s="211"/>
      <c r="AB43" s="237" t="s">
        <v>543</v>
      </c>
      <c r="AC43" s="212"/>
    </row>
    <row r="44" spans="2:30" ht="12.75" customHeight="1" x14ac:dyDescent="0.3">
      <c r="B44" s="246">
        <v>37</v>
      </c>
      <c r="C44" s="437">
        <f>B44*MechanicalData!$B$22/360</f>
        <v>5.6527777777777777</v>
      </c>
      <c r="D44" s="437">
        <f>MechanicalData!$B$22</f>
        <v>55</v>
      </c>
      <c r="E44" s="248">
        <v>37</v>
      </c>
      <c r="F44" s="453">
        <v>6.0229999999999997</v>
      </c>
      <c r="G44" s="437">
        <v>59.743000000000002</v>
      </c>
      <c r="H44" s="339">
        <f t="shared" si="1"/>
        <v>37</v>
      </c>
      <c r="I44" s="451">
        <f t="shared" si="11"/>
        <v>55</v>
      </c>
      <c r="J44" s="340">
        <f t="shared" si="2"/>
        <v>0.15277777777777779</v>
      </c>
      <c r="K44" s="341">
        <f t="shared" si="3"/>
        <v>5.6527777777777777</v>
      </c>
      <c r="L44" s="333">
        <f t="shared" si="4"/>
        <v>828.53571428571422</v>
      </c>
      <c r="M44" s="342">
        <f t="shared" si="5"/>
        <v>829</v>
      </c>
      <c r="N44" s="343">
        <f t="shared" si="6"/>
        <v>5.6527777777777777</v>
      </c>
      <c r="O44" s="343"/>
      <c r="P44" s="343">
        <f t="shared" si="7"/>
        <v>0</v>
      </c>
      <c r="Q44" s="344"/>
      <c r="R44" s="343">
        <f t="shared" si="8"/>
        <v>37.000000000000043</v>
      </c>
      <c r="S44" s="343">
        <f t="shared" si="9"/>
        <v>0</v>
      </c>
      <c r="T44" s="343"/>
      <c r="U44" s="343">
        <f t="shared" ca="1" si="0"/>
        <v>1.0000000000000002</v>
      </c>
      <c r="V44" s="345">
        <f t="shared" si="10"/>
        <v>22.392857142857142</v>
      </c>
      <c r="W44" s="186"/>
      <c r="X44" s="230" t="s">
        <v>518</v>
      </c>
      <c r="Y44" s="230"/>
      <c r="Z44" s="211"/>
      <c r="AA44" s="211"/>
      <c r="AB44" s="211"/>
      <c r="AC44" s="212"/>
    </row>
    <row r="45" spans="2:30" x14ac:dyDescent="0.3">
      <c r="B45" s="246">
        <v>38</v>
      </c>
      <c r="C45" s="437">
        <f>B45*MechanicalData!$B$22/360</f>
        <v>5.8055555555555554</v>
      </c>
      <c r="D45" s="437">
        <f>MechanicalData!$B$22</f>
        <v>55</v>
      </c>
      <c r="E45" s="248">
        <v>38</v>
      </c>
      <c r="F45" s="453">
        <v>6.1890000000000001</v>
      </c>
      <c r="G45" s="437">
        <v>59.872</v>
      </c>
      <c r="H45" s="339">
        <f t="shared" si="1"/>
        <v>38</v>
      </c>
      <c r="I45" s="451">
        <f t="shared" si="11"/>
        <v>55</v>
      </c>
      <c r="J45" s="340">
        <f t="shared" si="2"/>
        <v>0.15277777777777779</v>
      </c>
      <c r="K45" s="341">
        <f t="shared" si="3"/>
        <v>5.8055555555555554</v>
      </c>
      <c r="L45" s="333">
        <f t="shared" si="4"/>
        <v>850.92857142857133</v>
      </c>
      <c r="M45" s="342">
        <f t="shared" si="5"/>
        <v>851</v>
      </c>
      <c r="N45" s="343">
        <f t="shared" si="6"/>
        <v>5.8055555555555545</v>
      </c>
      <c r="O45" s="343"/>
      <c r="P45" s="343">
        <f t="shared" si="7"/>
        <v>0</v>
      </c>
      <c r="Q45" s="344"/>
      <c r="R45" s="343">
        <f t="shared" si="8"/>
        <v>38.000000000000043</v>
      </c>
      <c r="S45" s="343">
        <f t="shared" si="9"/>
        <v>0</v>
      </c>
      <c r="T45" s="343"/>
      <c r="U45" s="343">
        <f t="shared" ca="1" si="0"/>
        <v>1.0000000000000002</v>
      </c>
      <c r="V45" s="345">
        <f t="shared" si="10"/>
        <v>22.392857142857142</v>
      </c>
      <c r="W45" s="186"/>
      <c r="X45" s="213"/>
      <c r="Y45" s="211"/>
      <c r="Z45" s="211"/>
      <c r="AA45" s="211"/>
      <c r="AB45" s="211"/>
      <c r="AC45" s="212"/>
    </row>
    <row r="46" spans="2:30" x14ac:dyDescent="0.3">
      <c r="B46" s="246">
        <v>39</v>
      </c>
      <c r="C46" s="437">
        <f>B46*MechanicalData!$B$22/360</f>
        <v>5.958333333333333</v>
      </c>
      <c r="D46" s="437">
        <f>MechanicalData!$B$22</f>
        <v>55</v>
      </c>
      <c r="E46" s="248">
        <v>39</v>
      </c>
      <c r="F46" s="453">
        <v>6.3550000000000004</v>
      </c>
      <c r="G46" s="437">
        <v>60.006</v>
      </c>
      <c r="H46" s="339">
        <f t="shared" si="1"/>
        <v>39</v>
      </c>
      <c r="I46" s="451">
        <f t="shared" si="11"/>
        <v>55</v>
      </c>
      <c r="J46" s="340">
        <f t="shared" si="2"/>
        <v>0.15277777777777779</v>
      </c>
      <c r="K46" s="341">
        <f t="shared" si="3"/>
        <v>5.958333333333333</v>
      </c>
      <c r="L46" s="333">
        <f t="shared" si="4"/>
        <v>873.32142857142844</v>
      </c>
      <c r="M46" s="342">
        <f t="shared" si="5"/>
        <v>873</v>
      </c>
      <c r="N46" s="343">
        <f t="shared" si="6"/>
        <v>5.9583333333333321</v>
      </c>
      <c r="O46" s="343"/>
      <c r="P46" s="343">
        <f t="shared" si="7"/>
        <v>0</v>
      </c>
      <c r="Q46" s="344"/>
      <c r="R46" s="343">
        <f t="shared" si="8"/>
        <v>39.000000000000036</v>
      </c>
      <c r="S46" s="343">
        <f t="shared" si="9"/>
        <v>0</v>
      </c>
      <c r="T46" s="343"/>
      <c r="U46" s="343">
        <f t="shared" ca="1" si="0"/>
        <v>1.0000000000000002</v>
      </c>
      <c r="V46" s="345">
        <f t="shared" si="10"/>
        <v>22.392857142857142</v>
      </c>
      <c r="W46" s="186"/>
      <c r="X46" s="213"/>
      <c r="Y46" s="211" t="s">
        <v>521</v>
      </c>
      <c r="Z46" s="234">
        <v>2</v>
      </c>
      <c r="AA46" s="211"/>
      <c r="AB46" s="211"/>
      <c r="AC46" s="212"/>
    </row>
    <row r="47" spans="2:30" x14ac:dyDescent="0.3">
      <c r="B47" s="246">
        <v>40</v>
      </c>
      <c r="C47" s="437">
        <f>B47*MechanicalData!$B$22/360</f>
        <v>6.1111111111111107</v>
      </c>
      <c r="D47" s="437">
        <f>MechanicalData!$B$22</f>
        <v>55</v>
      </c>
      <c r="E47" s="248">
        <v>40</v>
      </c>
      <c r="F47" s="453">
        <v>6.5220000000000002</v>
      </c>
      <c r="G47" s="437">
        <v>60.143999999999998</v>
      </c>
      <c r="H47" s="339">
        <f t="shared" si="1"/>
        <v>40</v>
      </c>
      <c r="I47" s="451">
        <f t="shared" si="11"/>
        <v>55</v>
      </c>
      <c r="J47" s="340">
        <f t="shared" si="2"/>
        <v>0.15277777777777779</v>
      </c>
      <c r="K47" s="341">
        <f t="shared" si="3"/>
        <v>6.1111111111111107</v>
      </c>
      <c r="L47" s="333">
        <f t="shared" si="4"/>
        <v>895.71428571428555</v>
      </c>
      <c r="M47" s="342">
        <f t="shared" si="5"/>
        <v>896</v>
      </c>
      <c r="N47" s="343">
        <f t="shared" si="6"/>
        <v>6.1111111111111098</v>
      </c>
      <c r="O47" s="343"/>
      <c r="P47" s="343">
        <f t="shared" si="7"/>
        <v>0</v>
      </c>
      <c r="Q47" s="344"/>
      <c r="R47" s="343">
        <f t="shared" si="8"/>
        <v>40.00000000000005</v>
      </c>
      <c r="S47" s="343">
        <f t="shared" si="9"/>
        <v>0</v>
      </c>
      <c r="T47" s="343"/>
      <c r="U47" s="343">
        <f t="shared" ca="1" si="0"/>
        <v>1.0000000000000002</v>
      </c>
      <c r="V47" s="345">
        <f t="shared" si="10"/>
        <v>22.392857142857142</v>
      </c>
      <c r="W47" s="186"/>
      <c r="X47" s="210"/>
      <c r="Y47" s="211"/>
      <c r="Z47" s="211"/>
      <c r="AA47" s="211"/>
      <c r="AB47" s="211"/>
      <c r="AC47" s="212"/>
    </row>
    <row r="48" spans="2:30" x14ac:dyDescent="0.3">
      <c r="B48" s="246">
        <v>41</v>
      </c>
      <c r="C48" s="437">
        <f>B48*MechanicalData!$B$22/360</f>
        <v>6.2638888888888893</v>
      </c>
      <c r="D48" s="437">
        <f>MechanicalData!$B$22</f>
        <v>55</v>
      </c>
      <c r="E48" s="248">
        <v>41</v>
      </c>
      <c r="F48" s="453">
        <v>6.6890000000000001</v>
      </c>
      <c r="G48" s="437">
        <v>60.286999999999999</v>
      </c>
      <c r="H48" s="339">
        <f t="shared" si="1"/>
        <v>41</v>
      </c>
      <c r="I48" s="451">
        <f t="shared" si="11"/>
        <v>55</v>
      </c>
      <c r="J48" s="340">
        <f t="shared" si="2"/>
        <v>0.15277777777777779</v>
      </c>
      <c r="K48" s="341">
        <f t="shared" si="3"/>
        <v>6.2638888888888893</v>
      </c>
      <c r="L48" s="333">
        <f t="shared" si="4"/>
        <v>918.10714285714289</v>
      </c>
      <c r="M48" s="342">
        <f t="shared" si="5"/>
        <v>918</v>
      </c>
      <c r="N48" s="343">
        <f t="shared" si="6"/>
        <v>6.2638888888888884</v>
      </c>
      <c r="O48" s="343"/>
      <c r="P48" s="343">
        <f t="shared" si="7"/>
        <v>0</v>
      </c>
      <c r="Q48" s="344"/>
      <c r="R48" s="343">
        <f t="shared" si="8"/>
        <v>41.000000000000057</v>
      </c>
      <c r="S48" s="343">
        <f t="shared" si="9"/>
        <v>-5.6843418860808015E-14</v>
      </c>
      <c r="T48" s="343"/>
      <c r="U48" s="343">
        <f t="shared" ca="1" si="0"/>
        <v>1.0000000000000002</v>
      </c>
      <c r="V48" s="345">
        <f t="shared" si="10"/>
        <v>22.392857142857142</v>
      </c>
      <c r="W48" s="186"/>
      <c r="X48" s="210"/>
      <c r="Y48" s="215"/>
      <c r="Z48" s="215"/>
      <c r="AA48" s="211"/>
      <c r="AB48" s="211"/>
      <c r="AC48" s="212"/>
    </row>
    <row r="49" spans="2:29" x14ac:dyDescent="0.3">
      <c r="B49" s="246">
        <v>42</v>
      </c>
      <c r="C49" s="437">
        <f>B49*MechanicalData!$B$22/360</f>
        <v>6.416666666666667</v>
      </c>
      <c r="D49" s="437">
        <f>MechanicalData!$B$22</f>
        <v>55</v>
      </c>
      <c r="E49" s="248">
        <v>42</v>
      </c>
      <c r="F49" s="453">
        <v>6.8570000000000002</v>
      </c>
      <c r="G49" s="437">
        <v>60.435000000000002</v>
      </c>
      <c r="H49" s="339">
        <f t="shared" si="1"/>
        <v>42</v>
      </c>
      <c r="I49" s="451">
        <f t="shared" si="11"/>
        <v>55</v>
      </c>
      <c r="J49" s="340">
        <f t="shared" si="2"/>
        <v>0.15277777777777779</v>
      </c>
      <c r="K49" s="341">
        <f t="shared" si="3"/>
        <v>6.416666666666667</v>
      </c>
      <c r="L49" s="333">
        <f t="shared" si="4"/>
        <v>940.49999999999989</v>
      </c>
      <c r="M49" s="342">
        <f t="shared" si="5"/>
        <v>941</v>
      </c>
      <c r="N49" s="343">
        <f t="shared" si="6"/>
        <v>6.4166666666666661</v>
      </c>
      <c r="O49" s="343"/>
      <c r="P49" s="343">
        <f t="shared" si="7"/>
        <v>0</v>
      </c>
      <c r="Q49" s="344"/>
      <c r="R49" s="343">
        <f t="shared" si="8"/>
        <v>42.000000000000043</v>
      </c>
      <c r="S49" s="343">
        <f t="shared" si="9"/>
        <v>0</v>
      </c>
      <c r="T49" s="343"/>
      <c r="U49" s="343">
        <f t="shared" ca="1" si="0"/>
        <v>1.0000000000000002</v>
      </c>
      <c r="V49" s="345">
        <f t="shared" si="10"/>
        <v>22.392857142857142</v>
      </c>
      <c r="W49" s="186"/>
      <c r="X49" s="210"/>
      <c r="Y49" s="215"/>
      <c r="Z49" s="215"/>
      <c r="AA49" s="211"/>
      <c r="AB49" s="211"/>
      <c r="AC49" s="212"/>
    </row>
    <row r="50" spans="2:29" x14ac:dyDescent="0.3">
      <c r="B50" s="246">
        <v>43</v>
      </c>
      <c r="C50" s="437">
        <f>B50*MechanicalData!$B$22/360</f>
        <v>6.5694444444444446</v>
      </c>
      <c r="D50" s="437">
        <f>MechanicalData!$B$22</f>
        <v>55</v>
      </c>
      <c r="E50" s="248">
        <v>43</v>
      </c>
      <c r="F50" s="453">
        <v>7.0250000000000004</v>
      </c>
      <c r="G50" s="437">
        <v>60.588000000000001</v>
      </c>
      <c r="H50" s="339">
        <f t="shared" si="1"/>
        <v>43</v>
      </c>
      <c r="I50" s="451">
        <f t="shared" si="11"/>
        <v>55</v>
      </c>
      <c r="J50" s="340">
        <f t="shared" si="2"/>
        <v>0.15277777777777779</v>
      </c>
      <c r="K50" s="341">
        <f t="shared" si="3"/>
        <v>6.5694444444444446</v>
      </c>
      <c r="L50" s="333">
        <f t="shared" si="4"/>
        <v>962.89285714285722</v>
      </c>
      <c r="M50" s="342">
        <f t="shared" si="5"/>
        <v>963</v>
      </c>
      <c r="N50" s="343">
        <f t="shared" si="6"/>
        <v>6.5694444444444446</v>
      </c>
      <c r="O50" s="343"/>
      <c r="P50" s="343">
        <f t="shared" si="7"/>
        <v>0</v>
      </c>
      <c r="Q50" s="344"/>
      <c r="R50" s="343">
        <f t="shared" si="8"/>
        <v>43.000000000000057</v>
      </c>
      <c r="S50" s="343">
        <f t="shared" si="9"/>
        <v>-5.6843418860808015E-14</v>
      </c>
      <c r="T50" s="343"/>
      <c r="U50" s="343">
        <f t="shared" ca="1" si="0"/>
        <v>1.0000000000000002</v>
      </c>
      <c r="V50" s="345">
        <f t="shared" si="10"/>
        <v>22.392857142857142</v>
      </c>
      <c r="W50" s="186"/>
      <c r="X50" s="210"/>
      <c r="Y50" s="215"/>
      <c r="Z50" s="215"/>
      <c r="AA50" s="211"/>
      <c r="AB50" s="211"/>
      <c r="AC50" s="212"/>
    </row>
    <row r="51" spans="2:29" x14ac:dyDescent="0.3">
      <c r="B51" s="246">
        <v>44</v>
      </c>
      <c r="C51" s="437">
        <f>B51*MechanicalData!$B$22/360</f>
        <v>6.7222222222222223</v>
      </c>
      <c r="D51" s="437">
        <f>MechanicalData!$B$22</f>
        <v>55</v>
      </c>
      <c r="E51" s="248">
        <v>44</v>
      </c>
      <c r="F51" s="453">
        <v>7.194</v>
      </c>
      <c r="G51" s="437">
        <v>60.744</v>
      </c>
      <c r="H51" s="339">
        <f t="shared" si="1"/>
        <v>44</v>
      </c>
      <c r="I51" s="451">
        <f t="shared" si="11"/>
        <v>55</v>
      </c>
      <c r="J51" s="340">
        <f t="shared" si="2"/>
        <v>0.15277777777777779</v>
      </c>
      <c r="K51" s="341">
        <f t="shared" si="3"/>
        <v>6.7222222222222223</v>
      </c>
      <c r="L51" s="333">
        <f t="shared" si="4"/>
        <v>985.28571428571433</v>
      </c>
      <c r="M51" s="342">
        <f t="shared" si="5"/>
        <v>985</v>
      </c>
      <c r="N51" s="343">
        <f t="shared" si="6"/>
        <v>6.7222222222222223</v>
      </c>
      <c r="O51" s="343"/>
      <c r="P51" s="343">
        <f t="shared" si="7"/>
        <v>0</v>
      </c>
      <c r="Q51" s="344"/>
      <c r="R51" s="343">
        <f t="shared" si="8"/>
        <v>44.000000000000057</v>
      </c>
      <c r="S51" s="343">
        <f t="shared" si="9"/>
        <v>-5.6843418860808015E-14</v>
      </c>
      <c r="T51" s="343"/>
      <c r="U51" s="343">
        <f t="shared" ca="1" si="0"/>
        <v>1.0000000000000002</v>
      </c>
      <c r="V51" s="345">
        <f t="shared" si="10"/>
        <v>22.392857142857142</v>
      </c>
      <c r="W51" s="186"/>
      <c r="X51" s="210"/>
      <c r="Y51" s="215"/>
      <c r="Z51" s="215"/>
      <c r="AA51" s="211"/>
      <c r="AB51" s="211"/>
      <c r="AC51" s="212"/>
    </row>
    <row r="52" spans="2:29" ht="14" thickBot="1" x14ac:dyDescent="0.35">
      <c r="B52" s="246">
        <v>45</v>
      </c>
      <c r="C52" s="437">
        <f>B52*MechanicalData!$B$22/360</f>
        <v>6.875</v>
      </c>
      <c r="D52" s="437">
        <f>MechanicalData!$B$22</f>
        <v>55</v>
      </c>
      <c r="E52" s="248">
        <v>45</v>
      </c>
      <c r="F52" s="453">
        <v>7.3620000000000001</v>
      </c>
      <c r="G52" s="437">
        <v>60.905000000000001</v>
      </c>
      <c r="H52" s="339">
        <f t="shared" si="1"/>
        <v>45</v>
      </c>
      <c r="I52" s="451">
        <f t="shared" si="11"/>
        <v>55</v>
      </c>
      <c r="J52" s="340">
        <f t="shared" si="2"/>
        <v>0.15277777777777779</v>
      </c>
      <c r="K52" s="341">
        <f t="shared" si="3"/>
        <v>6.875</v>
      </c>
      <c r="L52" s="333">
        <f t="shared" si="4"/>
        <v>1007.6785714285714</v>
      </c>
      <c r="M52" s="342">
        <f t="shared" si="5"/>
        <v>1008</v>
      </c>
      <c r="N52" s="343">
        <f t="shared" si="6"/>
        <v>6.875</v>
      </c>
      <c r="O52" s="343"/>
      <c r="P52" s="343">
        <f t="shared" si="7"/>
        <v>0</v>
      </c>
      <c r="Q52" s="344"/>
      <c r="R52" s="343">
        <f t="shared" si="8"/>
        <v>45.000000000000057</v>
      </c>
      <c r="S52" s="343">
        <f t="shared" si="9"/>
        <v>-5.6843418860808015E-14</v>
      </c>
      <c r="T52" s="343"/>
      <c r="U52" s="343">
        <f t="shared" ca="1" si="0"/>
        <v>1.0000000000000002</v>
      </c>
      <c r="V52" s="345">
        <f t="shared" si="10"/>
        <v>22.392857142857142</v>
      </c>
      <c r="W52" s="186"/>
      <c r="X52" s="216"/>
      <c r="Y52" s="217"/>
      <c r="Z52" s="217"/>
      <c r="AA52" s="217"/>
      <c r="AB52" s="217"/>
      <c r="AC52" s="218"/>
    </row>
    <row r="53" spans="2:29" ht="14" thickBot="1" x14ac:dyDescent="0.35">
      <c r="B53" s="246">
        <v>46</v>
      </c>
      <c r="C53" s="437">
        <f>B53*MechanicalData!$B$22/360</f>
        <v>7.0277777777777777</v>
      </c>
      <c r="D53" s="437">
        <f>MechanicalData!$B$22</f>
        <v>55</v>
      </c>
      <c r="E53" s="248">
        <v>46</v>
      </c>
      <c r="F53" s="453">
        <v>7.532</v>
      </c>
      <c r="G53" s="437">
        <v>61.07</v>
      </c>
      <c r="H53" s="339">
        <f t="shared" si="1"/>
        <v>46</v>
      </c>
      <c r="I53" s="451">
        <f t="shared" si="11"/>
        <v>55</v>
      </c>
      <c r="J53" s="340">
        <f t="shared" si="2"/>
        <v>0.15277777777777779</v>
      </c>
      <c r="K53" s="341">
        <f t="shared" si="3"/>
        <v>7.0277777777777777</v>
      </c>
      <c r="L53" s="333">
        <f t="shared" si="4"/>
        <v>1030.0714285714284</v>
      </c>
      <c r="M53" s="342">
        <f t="shared" si="5"/>
        <v>1030</v>
      </c>
      <c r="N53" s="343">
        <f t="shared" si="6"/>
        <v>7.0277777777777768</v>
      </c>
      <c r="O53" s="343"/>
      <c r="P53" s="343">
        <f t="shared" si="7"/>
        <v>0</v>
      </c>
      <c r="Q53" s="344"/>
      <c r="R53" s="343">
        <f t="shared" si="8"/>
        <v>46.00000000000005</v>
      </c>
      <c r="S53" s="343">
        <f t="shared" si="9"/>
        <v>0</v>
      </c>
      <c r="T53" s="343"/>
      <c r="U53" s="343">
        <f t="shared" ca="1" si="0"/>
        <v>1.0000000000000002</v>
      </c>
      <c r="V53" s="345">
        <f t="shared" si="10"/>
        <v>22.392857142857142</v>
      </c>
      <c r="W53" s="186"/>
      <c r="X53" s="219"/>
      <c r="Y53" s="205"/>
      <c r="Z53" s="205"/>
      <c r="AA53" s="205"/>
    </row>
    <row r="54" spans="2:29" x14ac:dyDescent="0.3">
      <c r="B54" s="246">
        <v>47</v>
      </c>
      <c r="C54" s="437">
        <f>B54*MechanicalData!$B$22/360</f>
        <v>7.1805555555555554</v>
      </c>
      <c r="D54" s="437">
        <f>MechanicalData!$B$22</f>
        <v>55</v>
      </c>
      <c r="E54" s="248">
        <v>47</v>
      </c>
      <c r="F54" s="453">
        <v>7.702</v>
      </c>
      <c r="G54" s="437">
        <v>61.238999999999997</v>
      </c>
      <c r="H54" s="339">
        <f t="shared" si="1"/>
        <v>47</v>
      </c>
      <c r="I54" s="451">
        <f t="shared" si="11"/>
        <v>55</v>
      </c>
      <c r="J54" s="340">
        <f t="shared" si="2"/>
        <v>0.15277777777777779</v>
      </c>
      <c r="K54" s="341">
        <f t="shared" si="3"/>
        <v>7.1805555555555554</v>
      </c>
      <c r="L54" s="333">
        <f t="shared" si="4"/>
        <v>1052.4642857142856</v>
      </c>
      <c r="M54" s="342">
        <f t="shared" si="5"/>
        <v>1052</v>
      </c>
      <c r="N54" s="343">
        <f t="shared" si="6"/>
        <v>7.1805555555555536</v>
      </c>
      <c r="O54" s="343"/>
      <c r="P54" s="343">
        <f t="shared" si="7"/>
        <v>0</v>
      </c>
      <c r="Q54" s="344"/>
      <c r="R54" s="343">
        <f t="shared" si="8"/>
        <v>47.000000000000057</v>
      </c>
      <c r="S54" s="343">
        <f t="shared" si="9"/>
        <v>-5.6843418860808015E-14</v>
      </c>
      <c r="T54" s="343"/>
      <c r="U54" s="343">
        <f t="shared" ca="1" si="0"/>
        <v>1.0000000000000002</v>
      </c>
      <c r="V54" s="345">
        <f t="shared" si="10"/>
        <v>22.392857142857142</v>
      </c>
      <c r="W54" s="186"/>
      <c r="X54" s="220" t="s">
        <v>516</v>
      </c>
      <c r="Y54" s="221" t="s">
        <v>517</v>
      </c>
      <c r="Z54" s="222"/>
      <c r="AA54" s="205"/>
    </row>
    <row r="55" spans="2:29" x14ac:dyDescent="0.3">
      <c r="B55" s="246">
        <v>48</v>
      </c>
      <c r="C55" s="437">
        <f>B55*MechanicalData!$B$22/360</f>
        <v>7.333333333333333</v>
      </c>
      <c r="D55" s="437">
        <f>MechanicalData!$B$22</f>
        <v>55</v>
      </c>
      <c r="E55" s="248">
        <v>48</v>
      </c>
      <c r="F55" s="453">
        <v>7.8719999999999999</v>
      </c>
      <c r="G55" s="437">
        <v>61.411000000000001</v>
      </c>
      <c r="H55" s="339">
        <f t="shared" si="1"/>
        <v>48</v>
      </c>
      <c r="I55" s="451">
        <f t="shared" si="11"/>
        <v>55</v>
      </c>
      <c r="J55" s="340">
        <f t="shared" si="2"/>
        <v>0.15277777777777779</v>
      </c>
      <c r="K55" s="341">
        <f t="shared" si="3"/>
        <v>7.333333333333333</v>
      </c>
      <c r="L55" s="333">
        <f t="shared" si="4"/>
        <v>1074.8571428571427</v>
      </c>
      <c r="M55" s="342">
        <f t="shared" si="5"/>
        <v>1075</v>
      </c>
      <c r="N55" s="343">
        <f t="shared" si="6"/>
        <v>7.3333333333333313</v>
      </c>
      <c r="O55" s="343"/>
      <c r="P55" s="343">
        <f t="shared" si="7"/>
        <v>0</v>
      </c>
      <c r="Q55" s="344"/>
      <c r="R55" s="343">
        <f t="shared" si="8"/>
        <v>48.000000000000057</v>
      </c>
      <c r="S55" s="343">
        <f t="shared" si="9"/>
        <v>-5.6843418860808015E-14</v>
      </c>
      <c r="T55" s="343"/>
      <c r="U55" s="343">
        <f t="shared" ca="1" si="0"/>
        <v>1.0000000000000002</v>
      </c>
      <c r="V55" s="345">
        <f t="shared" si="10"/>
        <v>22.392857142857142</v>
      </c>
      <c r="W55" s="186"/>
      <c r="X55" s="223"/>
      <c r="Y55" s="205"/>
      <c r="Z55" s="205"/>
      <c r="AA55" s="205"/>
    </row>
    <row r="56" spans="2:29" x14ac:dyDescent="0.3">
      <c r="B56" s="246">
        <v>49</v>
      </c>
      <c r="C56" s="437">
        <f>B56*MechanicalData!$B$22/360</f>
        <v>7.4861111111111107</v>
      </c>
      <c r="D56" s="437">
        <f>MechanicalData!$B$22</f>
        <v>55</v>
      </c>
      <c r="E56" s="248">
        <v>49</v>
      </c>
      <c r="F56" s="453">
        <v>8.0429999999999993</v>
      </c>
      <c r="G56" s="437">
        <v>61.587000000000003</v>
      </c>
      <c r="H56" s="339">
        <f t="shared" si="1"/>
        <v>49</v>
      </c>
      <c r="I56" s="451">
        <f t="shared" si="11"/>
        <v>55</v>
      </c>
      <c r="J56" s="340">
        <f t="shared" si="2"/>
        <v>0.15277777777777779</v>
      </c>
      <c r="K56" s="341">
        <f t="shared" si="3"/>
        <v>7.4861111111111107</v>
      </c>
      <c r="L56" s="333">
        <f t="shared" si="4"/>
        <v>1097.25</v>
      </c>
      <c r="M56" s="342">
        <f t="shared" si="5"/>
        <v>1097</v>
      </c>
      <c r="N56" s="343">
        <f t="shared" si="6"/>
        <v>7.4861111111111107</v>
      </c>
      <c r="O56" s="343"/>
      <c r="P56" s="343">
        <f t="shared" si="7"/>
        <v>0</v>
      </c>
      <c r="Q56" s="344"/>
      <c r="R56" s="343">
        <f t="shared" si="8"/>
        <v>49.000000000000064</v>
      </c>
      <c r="S56" s="343">
        <f t="shared" si="9"/>
        <v>-6.3948846218409017E-14</v>
      </c>
      <c r="T56" s="343"/>
      <c r="U56" s="343">
        <f t="shared" ca="1" si="0"/>
        <v>1.0000000000000002</v>
      </c>
      <c r="V56" s="345">
        <f t="shared" si="10"/>
        <v>22.392857142857142</v>
      </c>
      <c r="W56" s="186"/>
      <c r="X56" s="346" t="s">
        <v>511</v>
      </c>
      <c r="Y56" s="347"/>
      <c r="Z56" s="347"/>
      <c r="AA56" s="347"/>
      <c r="AB56" s="348"/>
      <c r="AC56" s="348"/>
    </row>
    <row r="57" spans="2:29" x14ac:dyDescent="0.3">
      <c r="B57" s="246">
        <v>50</v>
      </c>
      <c r="C57" s="437">
        <f>B57*MechanicalData!$B$22/360</f>
        <v>7.6388888888888893</v>
      </c>
      <c r="D57" s="437">
        <f>MechanicalData!$B$22</f>
        <v>55</v>
      </c>
      <c r="E57" s="248">
        <v>50</v>
      </c>
      <c r="F57" s="453">
        <v>8.2140000000000004</v>
      </c>
      <c r="G57" s="437">
        <v>61.765999999999998</v>
      </c>
      <c r="H57" s="339">
        <f t="shared" si="1"/>
        <v>50</v>
      </c>
      <c r="I57" s="451">
        <f t="shared" si="11"/>
        <v>55</v>
      </c>
      <c r="J57" s="340">
        <f t="shared" si="2"/>
        <v>0.15277777777777779</v>
      </c>
      <c r="K57" s="341">
        <f t="shared" si="3"/>
        <v>7.6388888888888893</v>
      </c>
      <c r="L57" s="333">
        <f t="shared" si="4"/>
        <v>1119.6428571428571</v>
      </c>
      <c r="M57" s="342">
        <f t="shared" si="5"/>
        <v>1120</v>
      </c>
      <c r="N57" s="343">
        <f t="shared" si="6"/>
        <v>7.6388888888888875</v>
      </c>
      <c r="O57" s="343"/>
      <c r="P57" s="343">
        <f t="shared" si="7"/>
        <v>0</v>
      </c>
      <c r="Q57" s="344"/>
      <c r="R57" s="343">
        <f t="shared" si="8"/>
        <v>50.000000000000057</v>
      </c>
      <c r="S57" s="343">
        <f t="shared" si="9"/>
        <v>-5.6843418860808015E-14</v>
      </c>
      <c r="T57" s="343"/>
      <c r="U57" s="343">
        <f t="shared" ca="1" si="0"/>
        <v>1.0000000000000002</v>
      </c>
      <c r="V57" s="345">
        <f t="shared" si="10"/>
        <v>22.392857142857142</v>
      </c>
      <c r="W57" s="186"/>
      <c r="X57" s="349" t="s">
        <v>512</v>
      </c>
      <c r="Y57" s="602" t="str">
        <f>Txt2Kon_1($AC$22)&amp;Txt2Kon_1($AC$23)&amp;Txt2Kon_1($AC$24)&amp;Txt2Kon_1($AC$25)&amp;Txt2Kon_1($AC$26)&amp;Txt2Kon_1($AC$27)&amp;Txt2Kon_1($AC$28)&amp;Txt2Kon_1($AC$29)&amp;Txt2Kon_1($AC$30)&amp;Txt2Kon_1($AC$31)</f>
        <v xml:space="preserve">0.0     604.0     604.1     604.2     604.3     604.4     604.5     604.6     604.7     604.8     </v>
      </c>
      <c r="Z57" s="602"/>
      <c r="AA57" s="602"/>
      <c r="AB57" s="602"/>
      <c r="AC57" s="602"/>
    </row>
    <row r="58" spans="2:29" x14ac:dyDescent="0.3">
      <c r="B58" s="246">
        <v>51</v>
      </c>
      <c r="C58" s="437">
        <f>B58*MechanicalData!$B$22/360</f>
        <v>7.791666666666667</v>
      </c>
      <c r="D58" s="437">
        <f>MechanicalData!$B$22</f>
        <v>55</v>
      </c>
      <c r="E58" s="248">
        <v>51</v>
      </c>
      <c r="F58" s="453">
        <v>8.3859999999999992</v>
      </c>
      <c r="G58" s="437">
        <v>61.948999999999998</v>
      </c>
      <c r="H58" s="339">
        <f t="shared" si="1"/>
        <v>51</v>
      </c>
      <c r="I58" s="451">
        <f t="shared" si="11"/>
        <v>55</v>
      </c>
      <c r="J58" s="340">
        <f t="shared" si="2"/>
        <v>0.15277777777777779</v>
      </c>
      <c r="K58" s="341">
        <f t="shared" si="3"/>
        <v>7.791666666666667</v>
      </c>
      <c r="L58" s="333">
        <f t="shared" si="4"/>
        <v>1142.0357142857144</v>
      </c>
      <c r="M58" s="342">
        <f t="shared" si="5"/>
        <v>1142</v>
      </c>
      <c r="N58" s="343">
        <f t="shared" si="6"/>
        <v>7.7916666666666679</v>
      </c>
      <c r="O58" s="343"/>
      <c r="P58" s="343">
        <f t="shared" si="7"/>
        <v>0</v>
      </c>
      <c r="Q58" s="344"/>
      <c r="R58" s="343">
        <f t="shared" si="8"/>
        <v>51.000000000000064</v>
      </c>
      <c r="S58" s="343">
        <f t="shared" si="9"/>
        <v>-6.3948846218409017E-14</v>
      </c>
      <c r="T58" s="343"/>
      <c r="U58" s="343">
        <f t="shared" ca="1" si="0"/>
        <v>1.0000000000000002</v>
      </c>
      <c r="V58" s="345">
        <f t="shared" si="10"/>
        <v>22.392857142857142</v>
      </c>
      <c r="W58" s="186"/>
      <c r="X58" s="350"/>
      <c r="Y58" s="348"/>
      <c r="Z58" s="348"/>
      <c r="AA58" s="348"/>
      <c r="AB58" s="348"/>
      <c r="AC58" s="348"/>
    </row>
    <row r="59" spans="2:29" x14ac:dyDescent="0.3">
      <c r="B59" s="246">
        <v>52</v>
      </c>
      <c r="C59" s="437">
        <f>B59*MechanicalData!$B$22/360</f>
        <v>7.9444444444444446</v>
      </c>
      <c r="D59" s="437">
        <f>MechanicalData!$B$22</f>
        <v>55</v>
      </c>
      <c r="E59" s="248">
        <v>52</v>
      </c>
      <c r="F59" s="453">
        <v>8.5579999999999998</v>
      </c>
      <c r="G59" s="437">
        <v>62.134</v>
      </c>
      <c r="H59" s="339">
        <f t="shared" si="1"/>
        <v>52</v>
      </c>
      <c r="I59" s="451">
        <f t="shared" si="11"/>
        <v>55</v>
      </c>
      <c r="J59" s="340">
        <f t="shared" si="2"/>
        <v>0.15277777777777779</v>
      </c>
      <c r="K59" s="341">
        <f t="shared" si="3"/>
        <v>7.9444444444444446</v>
      </c>
      <c r="L59" s="333">
        <f t="shared" si="4"/>
        <v>1164.4285714285716</v>
      </c>
      <c r="M59" s="342">
        <f t="shared" si="5"/>
        <v>1164</v>
      </c>
      <c r="N59" s="343">
        <f t="shared" si="6"/>
        <v>7.9444444444444455</v>
      </c>
      <c r="O59" s="343"/>
      <c r="P59" s="343">
        <f t="shared" si="7"/>
        <v>0</v>
      </c>
      <c r="Q59" s="344"/>
      <c r="R59" s="343">
        <f t="shared" si="8"/>
        <v>52.000000000000078</v>
      </c>
      <c r="S59" s="343">
        <f t="shared" si="9"/>
        <v>-7.815970093361102E-14</v>
      </c>
      <c r="T59" s="343"/>
      <c r="U59" s="343">
        <f t="shared" ca="1" si="0"/>
        <v>1.0000000000000002</v>
      </c>
      <c r="V59" s="345">
        <f t="shared" si="10"/>
        <v>22.392857142857142</v>
      </c>
      <c r="W59" s="186"/>
      <c r="X59" s="351" t="s">
        <v>513</v>
      </c>
      <c r="Y59" s="348"/>
      <c r="Z59" s="348"/>
      <c r="AA59" s="348"/>
      <c r="AB59" s="348"/>
      <c r="AC59" s="348"/>
    </row>
    <row r="60" spans="2:29" x14ac:dyDescent="0.3">
      <c r="B60" s="246">
        <v>53</v>
      </c>
      <c r="C60" s="437">
        <f>B60*MechanicalData!$B$22/360</f>
        <v>8.0972222222222214</v>
      </c>
      <c r="D60" s="437">
        <f>MechanicalData!$B$22</f>
        <v>55</v>
      </c>
      <c r="E60" s="248">
        <v>53</v>
      </c>
      <c r="F60" s="453">
        <v>8.7309999999999999</v>
      </c>
      <c r="G60" s="437">
        <v>62.323</v>
      </c>
      <c r="H60" s="339">
        <f t="shared" si="1"/>
        <v>53</v>
      </c>
      <c r="I60" s="451">
        <f t="shared" si="11"/>
        <v>55</v>
      </c>
      <c r="J60" s="340">
        <f t="shared" si="2"/>
        <v>0.15277777777777779</v>
      </c>
      <c r="K60" s="341">
        <f t="shared" si="3"/>
        <v>8.0972222222222214</v>
      </c>
      <c r="L60" s="333">
        <f t="shared" si="4"/>
        <v>1186.8214285714284</v>
      </c>
      <c r="M60" s="342">
        <f t="shared" si="5"/>
        <v>1187</v>
      </c>
      <c r="N60" s="343">
        <f t="shared" si="6"/>
        <v>8.0972222222222214</v>
      </c>
      <c r="O60" s="343"/>
      <c r="P60" s="343">
        <f t="shared" si="7"/>
        <v>0</v>
      </c>
      <c r="Q60" s="344"/>
      <c r="R60" s="343">
        <f t="shared" si="8"/>
        <v>53.000000000000057</v>
      </c>
      <c r="S60" s="343">
        <f t="shared" si="9"/>
        <v>-5.6843418860808015E-14</v>
      </c>
      <c r="T60" s="343"/>
      <c r="U60" s="343">
        <f t="shared" ca="1" si="0"/>
        <v>1.0000000000000002</v>
      </c>
      <c r="V60" s="345">
        <f t="shared" si="10"/>
        <v>22.392857142857142</v>
      </c>
      <c r="W60" s="186"/>
      <c r="X60" s="349" t="s">
        <v>512</v>
      </c>
      <c r="Y60" s="602" t="str">
        <f>Txt2Kon_4($X$22)&amp;Txt2Kon_4($X$23)&amp;Txt2Kon_4($X$24)&amp;Txt2Kon_4($X$25)&amp;Txt2Kon_4($X$26)&amp;Txt2Kon_4($X$27)&amp;Txt2Kon_4($X$28)&amp;Txt2Kon_4($X$29)&amp;Txt2Kon_4($X$30)&amp;Txt2Kon_4($X$31)</f>
        <v xml:space="preserve">0.0000     92.2778     92.2878     92.2978     92.3078     92.3178     92.3278     92.3378     92.3478     92.3578     </v>
      </c>
      <c r="Z60" s="602"/>
      <c r="AA60" s="602"/>
      <c r="AB60" s="602"/>
      <c r="AC60" s="602"/>
    </row>
    <row r="61" spans="2:29" x14ac:dyDescent="0.3">
      <c r="B61" s="246">
        <v>54</v>
      </c>
      <c r="C61" s="437">
        <f>B61*MechanicalData!$B$22/360</f>
        <v>8.25</v>
      </c>
      <c r="D61" s="437">
        <f>MechanicalData!$B$22</f>
        <v>55</v>
      </c>
      <c r="E61" s="248">
        <v>54</v>
      </c>
      <c r="F61" s="453">
        <v>8.9049999999999994</v>
      </c>
      <c r="G61" s="437">
        <v>62.514000000000003</v>
      </c>
      <c r="H61" s="339">
        <f t="shared" si="1"/>
        <v>54</v>
      </c>
      <c r="I61" s="451">
        <f t="shared" si="11"/>
        <v>55</v>
      </c>
      <c r="J61" s="340">
        <f t="shared" si="2"/>
        <v>0.15277777777777779</v>
      </c>
      <c r="K61" s="341">
        <f t="shared" si="3"/>
        <v>8.25</v>
      </c>
      <c r="L61" s="333">
        <f t="shared" si="4"/>
        <v>1209.2142857142856</v>
      </c>
      <c r="M61" s="342">
        <f t="shared" si="5"/>
        <v>1209</v>
      </c>
      <c r="N61" s="343">
        <f t="shared" si="6"/>
        <v>8.2499999999999982</v>
      </c>
      <c r="O61" s="343"/>
      <c r="P61" s="343">
        <f t="shared" si="7"/>
        <v>0</v>
      </c>
      <c r="Q61" s="344"/>
      <c r="R61" s="343">
        <f t="shared" si="8"/>
        <v>54.000000000000064</v>
      </c>
      <c r="S61" s="343">
        <f t="shared" si="9"/>
        <v>-6.3948846218409017E-14</v>
      </c>
      <c r="T61" s="343"/>
      <c r="U61" s="343">
        <f t="shared" ca="1" si="0"/>
        <v>1.0000000000000002</v>
      </c>
      <c r="V61" s="345">
        <f t="shared" si="10"/>
        <v>22.392857142857142</v>
      </c>
      <c r="W61" s="186"/>
      <c r="X61" s="350"/>
      <c r="Y61" s="352"/>
      <c r="Z61" s="348"/>
      <c r="AA61" s="348"/>
      <c r="AB61" s="348"/>
      <c r="AC61" s="348"/>
    </row>
    <row r="62" spans="2:29" x14ac:dyDescent="0.3">
      <c r="B62" s="246">
        <v>55</v>
      </c>
      <c r="C62" s="437">
        <f>B62*MechanicalData!$B$22/360</f>
        <v>8.4027777777777786</v>
      </c>
      <c r="D62" s="437">
        <f>MechanicalData!$B$22</f>
        <v>55</v>
      </c>
      <c r="E62" s="248">
        <v>55</v>
      </c>
      <c r="F62" s="453">
        <v>9.0790000000000006</v>
      </c>
      <c r="G62" s="437">
        <v>62.707000000000001</v>
      </c>
      <c r="H62" s="339">
        <f t="shared" si="1"/>
        <v>55</v>
      </c>
      <c r="I62" s="451">
        <f t="shared" si="11"/>
        <v>55</v>
      </c>
      <c r="J62" s="340">
        <f t="shared" si="2"/>
        <v>0.15277777777777779</v>
      </c>
      <c r="K62" s="341">
        <f t="shared" si="3"/>
        <v>8.4027777777777786</v>
      </c>
      <c r="L62" s="333">
        <f t="shared" si="4"/>
        <v>1231.6071428571429</v>
      </c>
      <c r="M62" s="342">
        <f t="shared" si="5"/>
        <v>1232</v>
      </c>
      <c r="N62" s="343">
        <f t="shared" si="6"/>
        <v>8.4027777777777768</v>
      </c>
      <c r="O62" s="343"/>
      <c r="P62" s="343">
        <f t="shared" si="7"/>
        <v>0</v>
      </c>
      <c r="Q62" s="344"/>
      <c r="R62" s="343">
        <f t="shared" si="8"/>
        <v>55.000000000000071</v>
      </c>
      <c r="S62" s="343">
        <f t="shared" si="9"/>
        <v>-7.1054273576010019E-14</v>
      </c>
      <c r="T62" s="343"/>
      <c r="U62" s="343">
        <f t="shared" ca="1" si="0"/>
        <v>1.0000000000000002</v>
      </c>
      <c r="V62" s="345">
        <f t="shared" si="10"/>
        <v>22.392857142857142</v>
      </c>
      <c r="W62" s="186"/>
      <c r="X62" s="351" t="s">
        <v>514</v>
      </c>
      <c r="Y62" s="352"/>
      <c r="Z62" s="352"/>
      <c r="AA62" s="347"/>
      <c r="AB62" s="348"/>
      <c r="AC62" s="348"/>
    </row>
    <row r="63" spans="2:29" x14ac:dyDescent="0.3">
      <c r="B63" s="246">
        <v>56</v>
      </c>
      <c r="C63" s="437">
        <f>B63*MechanicalData!$B$22/360</f>
        <v>8.5555555555555554</v>
      </c>
      <c r="D63" s="437">
        <f>MechanicalData!$B$22</f>
        <v>55</v>
      </c>
      <c r="E63" s="248">
        <v>56</v>
      </c>
      <c r="F63" s="453">
        <v>9.2530000000000001</v>
      </c>
      <c r="G63" s="437">
        <v>62.902999999999999</v>
      </c>
      <c r="H63" s="339">
        <f t="shared" si="1"/>
        <v>56</v>
      </c>
      <c r="I63" s="451">
        <f t="shared" si="11"/>
        <v>55</v>
      </c>
      <c r="J63" s="340">
        <f t="shared" si="2"/>
        <v>0.15277777777777779</v>
      </c>
      <c r="K63" s="341">
        <f t="shared" si="3"/>
        <v>8.5555555555555554</v>
      </c>
      <c r="L63" s="333">
        <f t="shared" si="4"/>
        <v>1253.9999999999998</v>
      </c>
      <c r="M63" s="342">
        <f t="shared" si="5"/>
        <v>1254</v>
      </c>
      <c r="N63" s="343">
        <f t="shared" si="6"/>
        <v>8.5555555555555536</v>
      </c>
      <c r="O63" s="343"/>
      <c r="P63" s="343">
        <f t="shared" si="7"/>
        <v>0</v>
      </c>
      <c r="Q63" s="344"/>
      <c r="R63" s="343">
        <f t="shared" si="8"/>
        <v>56.000000000000064</v>
      </c>
      <c r="S63" s="343">
        <f t="shared" si="9"/>
        <v>-6.3948846218409017E-14</v>
      </c>
      <c r="T63" s="343"/>
      <c r="U63" s="343">
        <f t="shared" ca="1" si="0"/>
        <v>1.0000000000000002</v>
      </c>
      <c r="V63" s="345">
        <f t="shared" si="10"/>
        <v>22.392857142857142</v>
      </c>
      <c r="W63" s="186"/>
      <c r="X63" s="349" t="s">
        <v>512</v>
      </c>
      <c r="Y63" s="602" t="str">
        <f>Txt2Kon_0($Y$22)&amp;Txt2Kon_0($Y$23)&amp;Txt2Kon_0($Y$24)&amp;Txt2Kon_0($Y$25)&amp;Txt2Kon_0($Y$26)&amp;Txt2Kon_0($Y$27)&amp;Txt2Kon_0($Y$28)&amp;Txt2Kon_0($Y$29)&amp;Txt2Kon_0($Y$30)&amp;Txt2Kon_0($Y$31)</f>
        <v xml:space="preserve">0.0     13525.0     13526.0     13527.0     13528.0     13529.0     13530.0     13531.0     13532.0     13533.0     </v>
      </c>
      <c r="Z63" s="602"/>
      <c r="AA63" s="602"/>
      <c r="AB63" s="602"/>
      <c r="AC63" s="602"/>
    </row>
    <row r="64" spans="2:29" x14ac:dyDescent="0.3">
      <c r="B64" s="246">
        <v>57</v>
      </c>
      <c r="C64" s="437">
        <f>B64*MechanicalData!$B$22/360</f>
        <v>8.7083333333333339</v>
      </c>
      <c r="D64" s="437">
        <f>MechanicalData!$B$22</f>
        <v>55</v>
      </c>
      <c r="E64" s="248">
        <v>57</v>
      </c>
      <c r="F64" s="453">
        <v>9.4280000000000008</v>
      </c>
      <c r="G64" s="437">
        <v>63.1</v>
      </c>
      <c r="H64" s="339">
        <f t="shared" si="1"/>
        <v>57</v>
      </c>
      <c r="I64" s="451">
        <f t="shared" si="11"/>
        <v>55</v>
      </c>
      <c r="J64" s="340">
        <f t="shared" si="2"/>
        <v>0.15277777777777779</v>
      </c>
      <c r="K64" s="341">
        <f t="shared" si="3"/>
        <v>8.7083333333333339</v>
      </c>
      <c r="L64" s="333">
        <f t="shared" si="4"/>
        <v>1276.3928571428571</v>
      </c>
      <c r="M64" s="342">
        <f t="shared" si="5"/>
        <v>1276</v>
      </c>
      <c r="N64" s="343">
        <f t="shared" si="6"/>
        <v>8.7083333333333321</v>
      </c>
      <c r="O64" s="343"/>
      <c r="P64" s="343">
        <f t="shared" si="7"/>
        <v>0</v>
      </c>
      <c r="Q64" s="344"/>
      <c r="R64" s="343">
        <f t="shared" si="8"/>
        <v>57.000000000000071</v>
      </c>
      <c r="S64" s="343">
        <f t="shared" si="9"/>
        <v>-7.1054273576010019E-14</v>
      </c>
      <c r="T64" s="343"/>
      <c r="U64" s="343">
        <f t="shared" ca="1" si="0"/>
        <v>1.0000000000000002</v>
      </c>
      <c r="V64" s="345">
        <f t="shared" si="10"/>
        <v>22.392857142857142</v>
      </c>
      <c r="W64" s="186"/>
      <c r="X64" s="224"/>
    </row>
    <row r="65" spans="2:28" x14ac:dyDescent="0.3">
      <c r="B65" s="246">
        <v>58</v>
      </c>
      <c r="C65" s="437">
        <f>B65*MechanicalData!$B$22/360</f>
        <v>8.8611111111111107</v>
      </c>
      <c r="D65" s="437">
        <f>MechanicalData!$B$22</f>
        <v>55</v>
      </c>
      <c r="E65" s="248">
        <v>58</v>
      </c>
      <c r="F65" s="453">
        <v>9.6039999999999992</v>
      </c>
      <c r="G65" s="437">
        <v>63.3</v>
      </c>
      <c r="H65" s="339">
        <f t="shared" si="1"/>
        <v>58</v>
      </c>
      <c r="I65" s="451">
        <f t="shared" si="11"/>
        <v>55</v>
      </c>
      <c r="J65" s="340">
        <f t="shared" si="2"/>
        <v>0.15277777777777779</v>
      </c>
      <c r="K65" s="341">
        <f t="shared" si="3"/>
        <v>8.8611111111111107</v>
      </c>
      <c r="L65" s="333">
        <f t="shared" si="4"/>
        <v>1298.7857142857142</v>
      </c>
      <c r="M65" s="342">
        <f t="shared" si="5"/>
        <v>1299</v>
      </c>
      <c r="N65" s="343">
        <f t="shared" si="6"/>
        <v>8.8611111111111107</v>
      </c>
      <c r="O65" s="343"/>
      <c r="P65" s="343">
        <f t="shared" si="7"/>
        <v>0</v>
      </c>
      <c r="Q65" s="344"/>
      <c r="R65" s="343">
        <f t="shared" si="8"/>
        <v>58.000000000000071</v>
      </c>
      <c r="S65" s="343">
        <f t="shared" si="9"/>
        <v>-7.1054273576010019E-14</v>
      </c>
      <c r="T65" s="343"/>
      <c r="U65" s="343">
        <f t="shared" ca="1" si="0"/>
        <v>1.0000000000000002</v>
      </c>
      <c r="V65" s="345">
        <f t="shared" si="10"/>
        <v>22.392857142857142</v>
      </c>
      <c r="W65" s="186"/>
      <c r="X65" s="207"/>
    </row>
    <row r="66" spans="2:28" x14ac:dyDescent="0.3">
      <c r="B66" s="246">
        <v>59</v>
      </c>
      <c r="C66" s="437">
        <f>B66*MechanicalData!$B$22/360</f>
        <v>9.0138888888888893</v>
      </c>
      <c r="D66" s="437">
        <f>MechanicalData!$B$22</f>
        <v>55</v>
      </c>
      <c r="E66" s="248">
        <v>59</v>
      </c>
      <c r="F66" s="453">
        <v>9.7799999999999994</v>
      </c>
      <c r="G66" s="437">
        <v>63.500999999999998</v>
      </c>
      <c r="H66" s="339">
        <f t="shared" si="1"/>
        <v>59</v>
      </c>
      <c r="I66" s="451">
        <f t="shared" si="11"/>
        <v>55</v>
      </c>
      <c r="J66" s="340">
        <f t="shared" si="2"/>
        <v>0.15277777777777779</v>
      </c>
      <c r="K66" s="341">
        <f t="shared" si="3"/>
        <v>9.0138888888888893</v>
      </c>
      <c r="L66" s="333">
        <f t="shared" si="4"/>
        <v>1321.1785714285716</v>
      </c>
      <c r="M66" s="342">
        <f t="shared" si="5"/>
        <v>1321</v>
      </c>
      <c r="N66" s="343">
        <f t="shared" si="6"/>
        <v>9.0138888888888893</v>
      </c>
      <c r="O66" s="343"/>
      <c r="P66" s="343">
        <f t="shared" si="7"/>
        <v>0</v>
      </c>
      <c r="Q66" s="344"/>
      <c r="R66" s="343">
        <f t="shared" si="8"/>
        <v>59.000000000000085</v>
      </c>
      <c r="S66" s="343">
        <f t="shared" si="9"/>
        <v>-8.5265128291212022E-14</v>
      </c>
      <c r="T66" s="343"/>
      <c r="U66" s="343">
        <f t="shared" ca="1" si="0"/>
        <v>1.0000000000000002</v>
      </c>
      <c r="V66" s="345">
        <f t="shared" si="10"/>
        <v>22.392857142857142</v>
      </c>
      <c r="W66" s="186"/>
      <c r="X66" s="207"/>
      <c r="Y66" s="225"/>
      <c r="Z66" s="225"/>
      <c r="AA66" s="205"/>
    </row>
    <row r="67" spans="2:28" x14ac:dyDescent="0.3">
      <c r="B67" s="246">
        <v>60</v>
      </c>
      <c r="C67" s="437">
        <f>B67*MechanicalData!$B$22/360</f>
        <v>9.1666666666666661</v>
      </c>
      <c r="D67" s="437">
        <f>MechanicalData!$B$22</f>
        <v>55</v>
      </c>
      <c r="E67" s="248">
        <v>60</v>
      </c>
      <c r="F67" s="453">
        <v>9.9559999999999995</v>
      </c>
      <c r="G67" s="437">
        <v>63.703000000000003</v>
      </c>
      <c r="H67" s="339">
        <f t="shared" si="1"/>
        <v>60</v>
      </c>
      <c r="I67" s="451">
        <f t="shared" si="11"/>
        <v>55</v>
      </c>
      <c r="J67" s="340">
        <f t="shared" si="2"/>
        <v>0.15277777777777779</v>
      </c>
      <c r="K67" s="341">
        <f t="shared" si="3"/>
        <v>9.1666666666666661</v>
      </c>
      <c r="L67" s="333">
        <f t="shared" si="4"/>
        <v>1343.5714285714284</v>
      </c>
      <c r="M67" s="342">
        <f t="shared" si="5"/>
        <v>1344</v>
      </c>
      <c r="N67" s="343">
        <f t="shared" si="6"/>
        <v>9.1666666666666643</v>
      </c>
      <c r="O67" s="343"/>
      <c r="P67" s="343">
        <f t="shared" si="7"/>
        <v>0</v>
      </c>
      <c r="Q67" s="344"/>
      <c r="R67" s="343">
        <f t="shared" si="8"/>
        <v>60.000000000000064</v>
      </c>
      <c r="S67" s="343">
        <f t="shared" si="9"/>
        <v>-6.3948846218409017E-14</v>
      </c>
      <c r="T67" s="343"/>
      <c r="U67" s="343">
        <f t="shared" ca="1" si="0"/>
        <v>1.0000000000000002</v>
      </c>
      <c r="V67" s="345">
        <f t="shared" si="10"/>
        <v>22.392857142857142</v>
      </c>
      <c r="W67" s="186"/>
      <c r="X67" s="207"/>
    </row>
    <row r="68" spans="2:28" x14ac:dyDescent="0.3">
      <c r="B68" s="246">
        <v>61</v>
      </c>
      <c r="C68" s="437">
        <f>B68*MechanicalData!$B$22/360</f>
        <v>9.3194444444444446</v>
      </c>
      <c r="D68" s="437">
        <f>MechanicalData!$B$22</f>
        <v>55</v>
      </c>
      <c r="E68" s="248">
        <v>61</v>
      </c>
      <c r="F68" s="453">
        <v>10.134</v>
      </c>
      <c r="G68" s="437">
        <v>63.905999999999999</v>
      </c>
      <c r="H68" s="339">
        <f t="shared" si="1"/>
        <v>61</v>
      </c>
      <c r="I68" s="451">
        <f t="shared" si="11"/>
        <v>55</v>
      </c>
      <c r="J68" s="340">
        <f t="shared" si="2"/>
        <v>0.15277777777777779</v>
      </c>
      <c r="K68" s="341">
        <f t="shared" si="3"/>
        <v>9.3194444444444446</v>
      </c>
      <c r="L68" s="333">
        <f t="shared" si="4"/>
        <v>1365.9642857142858</v>
      </c>
      <c r="M68" s="342">
        <f t="shared" si="5"/>
        <v>1366</v>
      </c>
      <c r="N68" s="343">
        <f t="shared" si="6"/>
        <v>9.3194444444444446</v>
      </c>
      <c r="O68" s="343"/>
      <c r="P68" s="343">
        <f t="shared" si="7"/>
        <v>0</v>
      </c>
      <c r="Q68" s="344"/>
      <c r="R68" s="343">
        <f t="shared" si="8"/>
        <v>61.000000000000078</v>
      </c>
      <c r="S68" s="343">
        <f t="shared" si="9"/>
        <v>-7.815970093361102E-14</v>
      </c>
      <c r="T68" s="343"/>
      <c r="U68" s="343">
        <f t="shared" ca="1" si="0"/>
        <v>1.0000000000000002</v>
      </c>
      <c r="V68" s="345">
        <f t="shared" si="10"/>
        <v>22.392857142857142</v>
      </c>
      <c r="W68" s="186"/>
      <c r="X68" s="207"/>
      <c r="Y68" s="226"/>
      <c r="Z68" s="226"/>
      <c r="AA68" s="226"/>
      <c r="AB68" s="226"/>
    </row>
    <row r="69" spans="2:28" x14ac:dyDescent="0.3">
      <c r="B69" s="246">
        <v>62</v>
      </c>
      <c r="C69" s="437">
        <f>B69*MechanicalData!$B$22/360</f>
        <v>9.4722222222222214</v>
      </c>
      <c r="D69" s="437">
        <f>MechanicalData!$B$22</f>
        <v>55</v>
      </c>
      <c r="E69" s="248">
        <v>62</v>
      </c>
      <c r="F69" s="453">
        <v>10.311</v>
      </c>
      <c r="G69" s="437">
        <v>64.111000000000004</v>
      </c>
      <c r="H69" s="339">
        <f t="shared" si="1"/>
        <v>62</v>
      </c>
      <c r="I69" s="451">
        <f t="shared" si="11"/>
        <v>55</v>
      </c>
      <c r="J69" s="340">
        <f t="shared" si="2"/>
        <v>0.15277777777777779</v>
      </c>
      <c r="K69" s="341">
        <f t="shared" si="3"/>
        <v>9.4722222222222214</v>
      </c>
      <c r="L69" s="333">
        <f t="shared" si="4"/>
        <v>1388.3571428571427</v>
      </c>
      <c r="M69" s="342">
        <f t="shared" si="5"/>
        <v>1388</v>
      </c>
      <c r="N69" s="343">
        <f t="shared" si="6"/>
        <v>9.4722222222222197</v>
      </c>
      <c r="O69" s="343"/>
      <c r="P69" s="343">
        <f t="shared" si="7"/>
        <v>0</v>
      </c>
      <c r="Q69" s="344"/>
      <c r="R69" s="343">
        <f t="shared" si="8"/>
        <v>62.000000000000071</v>
      </c>
      <c r="S69" s="343">
        <f t="shared" si="9"/>
        <v>-7.1054273576010019E-14</v>
      </c>
      <c r="T69" s="343"/>
      <c r="U69" s="343">
        <f t="shared" ca="1" si="0"/>
        <v>1.0000000000000002</v>
      </c>
      <c r="V69" s="345">
        <f t="shared" si="10"/>
        <v>22.392857142857142</v>
      </c>
      <c r="W69" s="186"/>
      <c r="X69" s="207"/>
      <c r="Y69" s="225"/>
      <c r="Z69" s="225"/>
      <c r="AA69" s="225"/>
      <c r="AB69" s="225"/>
    </row>
    <row r="70" spans="2:28" ht="14" thickBot="1" x14ac:dyDescent="0.35">
      <c r="B70" s="246">
        <v>63</v>
      </c>
      <c r="C70" s="437">
        <f>B70*MechanicalData!$B$22/360</f>
        <v>9.625</v>
      </c>
      <c r="D70" s="437">
        <f>MechanicalData!$B$22</f>
        <v>55</v>
      </c>
      <c r="E70" s="248">
        <v>63</v>
      </c>
      <c r="F70" s="453">
        <v>10.49</v>
      </c>
      <c r="G70" s="437">
        <v>64.314999999999998</v>
      </c>
      <c r="H70" s="339">
        <f t="shared" si="1"/>
        <v>63</v>
      </c>
      <c r="I70" s="451">
        <f t="shared" si="11"/>
        <v>55</v>
      </c>
      <c r="J70" s="340">
        <f t="shared" si="2"/>
        <v>0.15277777777777779</v>
      </c>
      <c r="K70" s="341">
        <f t="shared" si="3"/>
        <v>9.625</v>
      </c>
      <c r="L70" s="333">
        <f t="shared" si="4"/>
        <v>1410.75</v>
      </c>
      <c r="M70" s="342">
        <f t="shared" si="5"/>
        <v>1411</v>
      </c>
      <c r="N70" s="343">
        <f t="shared" si="6"/>
        <v>9.6249999999999982</v>
      </c>
      <c r="O70" s="343"/>
      <c r="P70" s="343">
        <f t="shared" si="7"/>
        <v>0</v>
      </c>
      <c r="Q70" s="344"/>
      <c r="R70" s="343">
        <f t="shared" si="8"/>
        <v>63.000000000000078</v>
      </c>
      <c r="S70" s="343">
        <f t="shared" si="9"/>
        <v>-7.815970093361102E-14</v>
      </c>
      <c r="T70" s="343"/>
      <c r="U70" s="343">
        <f t="shared" ca="1" si="0"/>
        <v>1.0000000000000002</v>
      </c>
      <c r="V70" s="345">
        <f t="shared" si="10"/>
        <v>22.392857142857142</v>
      </c>
      <c r="W70" s="186"/>
      <c r="X70" s="603" t="s">
        <v>563</v>
      </c>
      <c r="Y70" s="603"/>
      <c r="Z70" s="226"/>
      <c r="AA70" s="226"/>
      <c r="AB70" s="329" t="s">
        <v>704</v>
      </c>
    </row>
    <row r="71" spans="2:28" x14ac:dyDescent="0.3">
      <c r="B71" s="246">
        <v>64</v>
      </c>
      <c r="C71" s="437">
        <f>B71*MechanicalData!$B$22/360</f>
        <v>9.7777777777777786</v>
      </c>
      <c r="D71" s="437">
        <f>MechanicalData!$B$22</f>
        <v>55</v>
      </c>
      <c r="E71" s="248">
        <v>64</v>
      </c>
      <c r="F71" s="453">
        <v>10.669</v>
      </c>
      <c r="G71" s="437">
        <v>64.521000000000001</v>
      </c>
      <c r="H71" s="339">
        <f t="shared" si="1"/>
        <v>64</v>
      </c>
      <c r="I71" s="451">
        <f t="shared" si="11"/>
        <v>55</v>
      </c>
      <c r="J71" s="340">
        <f t="shared" si="2"/>
        <v>0.15277777777777779</v>
      </c>
      <c r="K71" s="341">
        <f t="shared" si="3"/>
        <v>9.7777777777777786</v>
      </c>
      <c r="L71" s="333">
        <f t="shared" si="4"/>
        <v>1433.1428571428571</v>
      </c>
      <c r="M71" s="342">
        <f t="shared" si="5"/>
        <v>1433</v>
      </c>
      <c r="N71" s="343">
        <f t="shared" si="6"/>
        <v>9.7777777777777786</v>
      </c>
      <c r="O71" s="343"/>
      <c r="P71" s="343">
        <f t="shared" si="7"/>
        <v>0</v>
      </c>
      <c r="Q71" s="344"/>
      <c r="R71" s="343">
        <f t="shared" si="8"/>
        <v>64.000000000000071</v>
      </c>
      <c r="S71" s="343">
        <f t="shared" si="9"/>
        <v>0</v>
      </c>
      <c r="T71" s="343"/>
      <c r="U71" s="343">
        <f t="shared" ca="1" si="0"/>
        <v>1.0000000000000002</v>
      </c>
      <c r="V71" s="345">
        <f t="shared" si="10"/>
        <v>22.392857142857142</v>
      </c>
      <c r="W71" s="186"/>
      <c r="X71" s="195" t="s">
        <v>527</v>
      </c>
      <c r="Y71" s="196" t="s">
        <v>564</v>
      </c>
      <c r="Z71" s="225"/>
      <c r="AA71" s="225"/>
      <c r="AB71" s="330"/>
    </row>
    <row r="72" spans="2:28" x14ac:dyDescent="0.3">
      <c r="B72" s="246">
        <v>65</v>
      </c>
      <c r="C72" s="437">
        <f>B72*MechanicalData!$B$22/360</f>
        <v>9.9305555555555554</v>
      </c>
      <c r="D72" s="437">
        <f>MechanicalData!$B$22</f>
        <v>55</v>
      </c>
      <c r="E72" s="248">
        <v>65</v>
      </c>
      <c r="F72" s="453">
        <v>10.848000000000001</v>
      </c>
      <c r="G72" s="437">
        <v>64.725999999999999</v>
      </c>
      <c r="H72" s="339">
        <f t="shared" si="1"/>
        <v>65</v>
      </c>
      <c r="I72" s="451">
        <f t="shared" si="11"/>
        <v>55</v>
      </c>
      <c r="J72" s="340">
        <f t="shared" si="2"/>
        <v>0.15277777777777779</v>
      </c>
      <c r="K72" s="341">
        <f t="shared" si="3"/>
        <v>9.9305555555555554</v>
      </c>
      <c r="L72" s="333">
        <f t="shared" si="4"/>
        <v>1455.5357142857142</v>
      </c>
      <c r="M72" s="342">
        <f t="shared" si="5"/>
        <v>1456</v>
      </c>
      <c r="N72" s="343">
        <f t="shared" si="6"/>
        <v>9.9305555555555554</v>
      </c>
      <c r="O72" s="343"/>
      <c r="P72" s="343">
        <f t="shared" si="7"/>
        <v>0</v>
      </c>
      <c r="Q72" s="344"/>
      <c r="R72" s="343">
        <f t="shared" si="8"/>
        <v>65.000000000000071</v>
      </c>
      <c r="S72" s="343">
        <f t="shared" si="9"/>
        <v>0</v>
      </c>
      <c r="T72" s="343"/>
      <c r="U72" s="343">
        <f t="shared" ref="U72:U135" ca="1" si="12">$V72/$Z$9</f>
        <v>1.0000000000000002</v>
      </c>
      <c r="V72" s="345">
        <f t="shared" si="10"/>
        <v>22.392857142857142</v>
      </c>
      <c r="W72" s="186"/>
      <c r="X72" s="272">
        <v>0</v>
      </c>
      <c r="Y72" s="269">
        <v>1.0000000000000002</v>
      </c>
      <c r="Z72" s="226"/>
      <c r="AA72" s="226"/>
      <c r="AB72" s="331">
        <f ca="1">1/($Z$10/$Y72)</f>
        <v>22.392857142857142</v>
      </c>
    </row>
    <row r="73" spans="2:28" x14ac:dyDescent="0.3">
      <c r="B73" s="246">
        <v>66</v>
      </c>
      <c r="C73" s="437">
        <f>B73*MechanicalData!$B$22/360</f>
        <v>10.083333333333334</v>
      </c>
      <c r="D73" s="437">
        <f>MechanicalData!$B$22</f>
        <v>55</v>
      </c>
      <c r="E73" s="248">
        <v>66</v>
      </c>
      <c r="F73" s="453">
        <v>11.028</v>
      </c>
      <c r="G73" s="437">
        <v>64.930999999999997</v>
      </c>
      <c r="H73" s="339">
        <f t="shared" ref="H73:H136" si="13">B73</f>
        <v>66</v>
      </c>
      <c r="I73" s="451">
        <f t="shared" ref="I73:I136" si="14">D73</f>
        <v>55</v>
      </c>
      <c r="J73" s="340">
        <f t="shared" ref="J73:J136" si="15">I73/360</f>
        <v>0.15277777777777779</v>
      </c>
      <c r="K73" s="341">
        <f t="shared" ref="K73:K136" si="16">C73</f>
        <v>10.083333333333334</v>
      </c>
      <c r="L73" s="333">
        <f t="shared" ref="L73:L136" si="17">K73/$Z$7*360</f>
        <v>1477.9285714285713</v>
      </c>
      <c r="M73" s="342">
        <f t="shared" ref="M73:M136" si="18">ROUND(L73, 0)</f>
        <v>1478</v>
      </c>
      <c r="N73" s="343">
        <f t="shared" ref="N73:N136" si="19">InterpolXY(L73,$Y$22:$Y$31,$X$22:$X$31)</f>
        <v>10.08333333333333</v>
      </c>
      <c r="O73" s="343"/>
      <c r="P73" s="343">
        <f t="shared" ref="P73:P136" si="20">K73-N73</f>
        <v>0</v>
      </c>
      <c r="Q73" s="344"/>
      <c r="R73" s="343">
        <f t="shared" ref="R73:R136" si="21">InterpolXY(L73,$Y$22:$Y$31,$AC$22:$AC$31)</f>
        <v>66.000000000000071</v>
      </c>
      <c r="S73" s="343">
        <f t="shared" ref="S73:S136" si="22">H73-R73</f>
        <v>0</v>
      </c>
      <c r="T73" s="343"/>
      <c r="U73" s="343">
        <f t="shared" ca="1" si="12"/>
        <v>1.0000000000000002</v>
      </c>
      <c r="V73" s="345">
        <f t="shared" ref="V73:V136" si="23">$I73/$Z$7</f>
        <v>22.392857142857142</v>
      </c>
      <c r="W73" s="186"/>
      <c r="X73" s="273">
        <v>604</v>
      </c>
      <c r="Y73" s="270">
        <v>1.0000000000000002</v>
      </c>
      <c r="Z73" s="225"/>
      <c r="AA73" s="225"/>
      <c r="AB73" s="331">
        <f t="shared" ref="AB73:AB84" ca="1" si="24">1/($Z$10/$Y73)</f>
        <v>22.392857142857142</v>
      </c>
    </row>
    <row r="74" spans="2:28" x14ac:dyDescent="0.3">
      <c r="B74" s="246">
        <v>67</v>
      </c>
      <c r="C74" s="437">
        <f>B74*MechanicalData!$B$22/360</f>
        <v>10.236111111111111</v>
      </c>
      <c r="D74" s="437">
        <f>MechanicalData!$B$22</f>
        <v>55</v>
      </c>
      <c r="E74" s="248">
        <v>67</v>
      </c>
      <c r="F74" s="453">
        <v>11.209</v>
      </c>
      <c r="G74" s="437">
        <v>65.135999999999996</v>
      </c>
      <c r="H74" s="339">
        <f t="shared" si="13"/>
        <v>67</v>
      </c>
      <c r="I74" s="451">
        <f t="shared" si="14"/>
        <v>55</v>
      </c>
      <c r="J74" s="340">
        <f t="shared" si="15"/>
        <v>0.15277777777777779</v>
      </c>
      <c r="K74" s="341">
        <f t="shared" si="16"/>
        <v>10.236111111111111</v>
      </c>
      <c r="L74" s="333">
        <f t="shared" si="17"/>
        <v>1500.3214285714284</v>
      </c>
      <c r="M74" s="342">
        <f t="shared" si="18"/>
        <v>1500</v>
      </c>
      <c r="N74" s="343">
        <f t="shared" si="19"/>
        <v>10.236111111111111</v>
      </c>
      <c r="O74" s="343"/>
      <c r="P74" s="343">
        <f t="shared" si="20"/>
        <v>0</v>
      </c>
      <c r="Q74" s="344"/>
      <c r="R74" s="343">
        <f t="shared" si="21"/>
        <v>67.000000000000071</v>
      </c>
      <c r="S74" s="343">
        <f t="shared" si="22"/>
        <v>0</v>
      </c>
      <c r="T74" s="343"/>
      <c r="U74" s="343">
        <f t="shared" ca="1" si="12"/>
        <v>1.0000000000000002</v>
      </c>
      <c r="V74" s="345">
        <f t="shared" si="23"/>
        <v>22.392857142857142</v>
      </c>
      <c r="W74" s="186"/>
      <c r="X74" s="273">
        <v>604.1</v>
      </c>
      <c r="Y74" s="270">
        <v>1.0000000000000002</v>
      </c>
      <c r="Z74" s="226"/>
      <c r="AA74" s="226"/>
      <c r="AB74" s="331">
        <f t="shared" ca="1" si="24"/>
        <v>22.392857142857142</v>
      </c>
    </row>
    <row r="75" spans="2:28" x14ac:dyDescent="0.3">
      <c r="B75" s="246">
        <v>68</v>
      </c>
      <c r="C75" s="437">
        <f>B75*MechanicalData!$B$22/360</f>
        <v>10.388888888888889</v>
      </c>
      <c r="D75" s="437">
        <f>MechanicalData!$B$22</f>
        <v>55</v>
      </c>
      <c r="E75" s="248">
        <v>68</v>
      </c>
      <c r="F75" s="453">
        <v>11.39</v>
      </c>
      <c r="G75" s="437">
        <v>65.34</v>
      </c>
      <c r="H75" s="339">
        <f t="shared" si="13"/>
        <v>68</v>
      </c>
      <c r="I75" s="451">
        <f t="shared" si="14"/>
        <v>55</v>
      </c>
      <c r="J75" s="340">
        <f t="shared" si="15"/>
        <v>0.15277777777777779</v>
      </c>
      <c r="K75" s="341">
        <f t="shared" si="16"/>
        <v>10.388888888888889</v>
      </c>
      <c r="L75" s="333">
        <f t="shared" si="17"/>
        <v>1522.7142857142856</v>
      </c>
      <c r="M75" s="342">
        <f t="shared" si="18"/>
        <v>1523</v>
      </c>
      <c r="N75" s="343">
        <f t="shared" si="19"/>
        <v>10.388888888888886</v>
      </c>
      <c r="O75" s="343"/>
      <c r="P75" s="343">
        <f t="shared" si="20"/>
        <v>0</v>
      </c>
      <c r="Q75" s="344"/>
      <c r="R75" s="343">
        <f t="shared" si="21"/>
        <v>68.000000000000085</v>
      </c>
      <c r="S75" s="343">
        <f t="shared" si="22"/>
        <v>0</v>
      </c>
      <c r="T75" s="343"/>
      <c r="U75" s="343">
        <f t="shared" ca="1" si="12"/>
        <v>1.0000000000000002</v>
      </c>
      <c r="V75" s="345">
        <f t="shared" si="23"/>
        <v>22.392857142857142</v>
      </c>
      <c r="W75" s="186"/>
      <c r="X75" s="273">
        <v>604.20000000000005</v>
      </c>
      <c r="Y75" s="270">
        <v>1.0000000000000002</v>
      </c>
      <c r="Z75" s="225"/>
      <c r="AA75" s="225"/>
      <c r="AB75" s="331">
        <f t="shared" ca="1" si="24"/>
        <v>22.392857142857142</v>
      </c>
    </row>
    <row r="76" spans="2:28" x14ac:dyDescent="0.3">
      <c r="B76" s="246">
        <v>69</v>
      </c>
      <c r="C76" s="437">
        <f>B76*MechanicalData!$B$22/360</f>
        <v>10.541666666666666</v>
      </c>
      <c r="D76" s="437">
        <f>MechanicalData!$B$22</f>
        <v>55</v>
      </c>
      <c r="E76" s="248">
        <v>69</v>
      </c>
      <c r="F76" s="453">
        <v>11.571999999999999</v>
      </c>
      <c r="G76" s="437">
        <v>65.543000000000006</v>
      </c>
      <c r="H76" s="339">
        <f t="shared" si="13"/>
        <v>69</v>
      </c>
      <c r="I76" s="451">
        <f t="shared" si="14"/>
        <v>55</v>
      </c>
      <c r="J76" s="340">
        <f t="shared" si="15"/>
        <v>0.15277777777777779</v>
      </c>
      <c r="K76" s="341">
        <f t="shared" si="16"/>
        <v>10.541666666666666</v>
      </c>
      <c r="L76" s="333">
        <f t="shared" si="17"/>
        <v>1545.1071428571427</v>
      </c>
      <c r="M76" s="342">
        <f t="shared" si="18"/>
        <v>1545</v>
      </c>
      <c r="N76" s="343">
        <f t="shared" si="19"/>
        <v>10.541666666666666</v>
      </c>
      <c r="O76" s="343"/>
      <c r="P76" s="343">
        <f t="shared" si="20"/>
        <v>0</v>
      </c>
      <c r="Q76" s="344"/>
      <c r="R76" s="343">
        <f t="shared" si="21"/>
        <v>69.000000000000085</v>
      </c>
      <c r="S76" s="343">
        <f t="shared" si="22"/>
        <v>0</v>
      </c>
      <c r="T76" s="343"/>
      <c r="U76" s="343">
        <f t="shared" ca="1" si="12"/>
        <v>1.0000000000000002</v>
      </c>
      <c r="V76" s="345">
        <f t="shared" si="23"/>
        <v>22.392857142857142</v>
      </c>
      <c r="W76" s="186"/>
      <c r="X76" s="273">
        <v>604.29999999999995</v>
      </c>
      <c r="Y76" s="270">
        <v>1.0000000000000002</v>
      </c>
      <c r="Z76" s="225"/>
      <c r="AA76" s="225"/>
      <c r="AB76" s="331">
        <f t="shared" ca="1" si="24"/>
        <v>22.392857142857142</v>
      </c>
    </row>
    <row r="77" spans="2:28" x14ac:dyDescent="0.3">
      <c r="B77" s="246">
        <v>70</v>
      </c>
      <c r="C77" s="437">
        <f>B77*MechanicalData!$B$22/360</f>
        <v>10.694444444444445</v>
      </c>
      <c r="D77" s="437">
        <f>MechanicalData!$B$22</f>
        <v>55</v>
      </c>
      <c r="E77" s="248">
        <v>70</v>
      </c>
      <c r="F77" s="453">
        <v>11.754</v>
      </c>
      <c r="G77" s="437">
        <v>65.745000000000005</v>
      </c>
      <c r="H77" s="339">
        <f t="shared" si="13"/>
        <v>70</v>
      </c>
      <c r="I77" s="451">
        <f t="shared" si="14"/>
        <v>55</v>
      </c>
      <c r="J77" s="340">
        <f t="shared" si="15"/>
        <v>0.15277777777777779</v>
      </c>
      <c r="K77" s="341">
        <f t="shared" si="16"/>
        <v>10.694444444444445</v>
      </c>
      <c r="L77" s="333">
        <f t="shared" si="17"/>
        <v>1567.5</v>
      </c>
      <c r="M77" s="342">
        <f t="shared" si="18"/>
        <v>1568</v>
      </c>
      <c r="N77" s="343">
        <f t="shared" si="19"/>
        <v>10.694444444444445</v>
      </c>
      <c r="O77" s="343"/>
      <c r="P77" s="343">
        <f t="shared" si="20"/>
        <v>0</v>
      </c>
      <c r="Q77" s="344"/>
      <c r="R77" s="343">
        <f t="shared" si="21"/>
        <v>70.000000000000085</v>
      </c>
      <c r="S77" s="343">
        <f t="shared" si="22"/>
        <v>0</v>
      </c>
      <c r="T77" s="343"/>
      <c r="U77" s="343">
        <f t="shared" ca="1" si="12"/>
        <v>1.0000000000000002</v>
      </c>
      <c r="V77" s="345">
        <f t="shared" si="23"/>
        <v>22.392857142857142</v>
      </c>
      <c r="W77" s="186"/>
      <c r="X77" s="273">
        <v>604.4</v>
      </c>
      <c r="Y77" s="270">
        <v>1.0000000000000002</v>
      </c>
      <c r="Z77" s="225"/>
      <c r="AA77" s="225"/>
      <c r="AB77" s="331">
        <f t="shared" ca="1" si="24"/>
        <v>22.392857142857142</v>
      </c>
    </row>
    <row r="78" spans="2:28" x14ac:dyDescent="0.3">
      <c r="B78" s="246">
        <v>71</v>
      </c>
      <c r="C78" s="437">
        <f>B78*MechanicalData!$B$22/360</f>
        <v>10.847222222222221</v>
      </c>
      <c r="D78" s="437">
        <f>MechanicalData!$B$22</f>
        <v>55</v>
      </c>
      <c r="E78" s="248">
        <v>71</v>
      </c>
      <c r="F78" s="453">
        <v>11.936999999999999</v>
      </c>
      <c r="G78" s="437">
        <v>65.944999999999993</v>
      </c>
      <c r="H78" s="339">
        <f t="shared" si="13"/>
        <v>71</v>
      </c>
      <c r="I78" s="451">
        <f t="shared" si="14"/>
        <v>55</v>
      </c>
      <c r="J78" s="340">
        <f t="shared" si="15"/>
        <v>0.15277777777777779</v>
      </c>
      <c r="K78" s="341">
        <f t="shared" si="16"/>
        <v>10.847222222222221</v>
      </c>
      <c r="L78" s="333">
        <f t="shared" si="17"/>
        <v>1589.8928571428569</v>
      </c>
      <c r="M78" s="342">
        <f t="shared" si="18"/>
        <v>1590</v>
      </c>
      <c r="N78" s="343">
        <f t="shared" si="19"/>
        <v>10.847222222222221</v>
      </c>
      <c r="O78" s="343"/>
      <c r="P78" s="343">
        <f t="shared" si="20"/>
        <v>0</v>
      </c>
      <c r="Q78" s="344"/>
      <c r="R78" s="343">
        <f t="shared" si="21"/>
        <v>71.000000000000071</v>
      </c>
      <c r="S78" s="343">
        <f t="shared" si="22"/>
        <v>0</v>
      </c>
      <c r="T78" s="343"/>
      <c r="U78" s="343">
        <f t="shared" ca="1" si="12"/>
        <v>1.0000000000000002</v>
      </c>
      <c r="V78" s="345">
        <f t="shared" si="23"/>
        <v>22.392857142857142</v>
      </c>
      <c r="W78" s="186"/>
      <c r="X78" s="273">
        <v>604.5</v>
      </c>
      <c r="Y78" s="270">
        <v>1.0000000000000002</v>
      </c>
      <c r="Z78" s="225"/>
      <c r="AA78" s="225"/>
      <c r="AB78" s="331">
        <f t="shared" ca="1" si="24"/>
        <v>22.392857142857142</v>
      </c>
    </row>
    <row r="79" spans="2:28" x14ac:dyDescent="0.3">
      <c r="B79" s="246">
        <v>72</v>
      </c>
      <c r="C79" s="437">
        <f>B79*MechanicalData!$B$22/360</f>
        <v>11</v>
      </c>
      <c r="D79" s="437">
        <f>MechanicalData!$B$22</f>
        <v>55</v>
      </c>
      <c r="E79" s="248">
        <v>72</v>
      </c>
      <c r="F79" s="453">
        <v>12.121</v>
      </c>
      <c r="G79" s="437">
        <v>66.144000000000005</v>
      </c>
      <c r="H79" s="339">
        <f t="shared" si="13"/>
        <v>72</v>
      </c>
      <c r="I79" s="451">
        <f t="shared" si="14"/>
        <v>55</v>
      </c>
      <c r="J79" s="340">
        <f t="shared" si="15"/>
        <v>0.15277777777777779</v>
      </c>
      <c r="K79" s="341">
        <f t="shared" si="16"/>
        <v>11</v>
      </c>
      <c r="L79" s="333">
        <f t="shared" si="17"/>
        <v>1612.2857142857142</v>
      </c>
      <c r="M79" s="342">
        <f t="shared" si="18"/>
        <v>1612</v>
      </c>
      <c r="N79" s="343">
        <f t="shared" si="19"/>
        <v>11</v>
      </c>
      <c r="O79" s="343"/>
      <c r="P79" s="343">
        <f t="shared" si="20"/>
        <v>0</v>
      </c>
      <c r="Q79" s="344"/>
      <c r="R79" s="343">
        <f t="shared" si="21"/>
        <v>72.000000000000085</v>
      </c>
      <c r="S79" s="343">
        <f t="shared" si="22"/>
        <v>0</v>
      </c>
      <c r="T79" s="343"/>
      <c r="U79" s="343">
        <f t="shared" ca="1" si="12"/>
        <v>1.0000000000000002</v>
      </c>
      <c r="V79" s="345">
        <f t="shared" si="23"/>
        <v>22.392857142857142</v>
      </c>
      <c r="W79" s="186"/>
      <c r="X79" s="273">
        <v>604.6</v>
      </c>
      <c r="Y79" s="270">
        <v>1.0000000000000002</v>
      </c>
      <c r="AB79" s="331">
        <f t="shared" ca="1" si="24"/>
        <v>22.392857142857142</v>
      </c>
    </row>
    <row r="80" spans="2:28" x14ac:dyDescent="0.3">
      <c r="B80" s="246">
        <v>73</v>
      </c>
      <c r="C80" s="437">
        <f>B80*MechanicalData!$B$22/360</f>
        <v>11.152777777777779</v>
      </c>
      <c r="D80" s="437">
        <f>MechanicalData!$B$22</f>
        <v>55</v>
      </c>
      <c r="E80" s="248">
        <v>73</v>
      </c>
      <c r="F80" s="453">
        <v>12.305</v>
      </c>
      <c r="G80" s="437">
        <v>66.34</v>
      </c>
      <c r="H80" s="339">
        <f t="shared" si="13"/>
        <v>73</v>
      </c>
      <c r="I80" s="451">
        <f t="shared" si="14"/>
        <v>55</v>
      </c>
      <c r="J80" s="340">
        <f t="shared" si="15"/>
        <v>0.15277777777777779</v>
      </c>
      <c r="K80" s="341">
        <f t="shared" si="16"/>
        <v>11.152777777777779</v>
      </c>
      <c r="L80" s="333">
        <f t="shared" si="17"/>
        <v>1634.6785714285713</v>
      </c>
      <c r="M80" s="342">
        <f t="shared" si="18"/>
        <v>1635</v>
      </c>
      <c r="N80" s="343">
        <f t="shared" si="19"/>
        <v>11.152777777777777</v>
      </c>
      <c r="O80" s="343"/>
      <c r="P80" s="343">
        <f t="shared" si="20"/>
        <v>0</v>
      </c>
      <c r="Q80" s="344"/>
      <c r="R80" s="343">
        <f t="shared" si="21"/>
        <v>73.000000000000085</v>
      </c>
      <c r="S80" s="343">
        <f t="shared" si="22"/>
        <v>0</v>
      </c>
      <c r="T80" s="343"/>
      <c r="U80" s="343">
        <f t="shared" ca="1" si="12"/>
        <v>1.0000000000000002</v>
      </c>
      <c r="V80" s="345">
        <f t="shared" si="23"/>
        <v>22.392857142857142</v>
      </c>
      <c r="W80" s="186"/>
      <c r="X80" s="273">
        <v>604.70000000000005</v>
      </c>
      <c r="Y80" s="270">
        <v>1.0000000000000002</v>
      </c>
      <c r="AB80" s="331">
        <f t="shared" ca="1" si="24"/>
        <v>22.392857142857142</v>
      </c>
    </row>
    <row r="81" spans="2:30" x14ac:dyDescent="0.3">
      <c r="B81" s="246">
        <v>74</v>
      </c>
      <c r="C81" s="437">
        <f>B81*MechanicalData!$B$22/360</f>
        <v>11.305555555555555</v>
      </c>
      <c r="D81" s="437">
        <f>MechanicalData!$B$22</f>
        <v>55</v>
      </c>
      <c r="E81" s="248">
        <v>74</v>
      </c>
      <c r="F81" s="453">
        <v>12.489000000000001</v>
      </c>
      <c r="G81" s="437">
        <v>66.534000000000006</v>
      </c>
      <c r="H81" s="339">
        <f t="shared" si="13"/>
        <v>74</v>
      </c>
      <c r="I81" s="451">
        <f t="shared" si="14"/>
        <v>55</v>
      </c>
      <c r="J81" s="340">
        <f t="shared" si="15"/>
        <v>0.15277777777777779</v>
      </c>
      <c r="K81" s="341">
        <f t="shared" si="16"/>
        <v>11.305555555555555</v>
      </c>
      <c r="L81" s="333">
        <f t="shared" si="17"/>
        <v>1657.0714285714284</v>
      </c>
      <c r="M81" s="342">
        <f t="shared" si="18"/>
        <v>1657</v>
      </c>
      <c r="N81" s="343">
        <f t="shared" si="19"/>
        <v>11.305555555555555</v>
      </c>
      <c r="O81" s="343"/>
      <c r="P81" s="343">
        <f t="shared" si="20"/>
        <v>0</v>
      </c>
      <c r="Q81" s="344"/>
      <c r="R81" s="343">
        <f t="shared" si="21"/>
        <v>74.000000000000085</v>
      </c>
      <c r="S81" s="343">
        <f t="shared" si="22"/>
        <v>0</v>
      </c>
      <c r="T81" s="343"/>
      <c r="U81" s="343">
        <f t="shared" ca="1" si="12"/>
        <v>1.0000000000000002</v>
      </c>
      <c r="V81" s="345">
        <f t="shared" si="23"/>
        <v>22.392857142857142</v>
      </c>
      <c r="W81" s="186"/>
      <c r="X81" s="273">
        <v>604.79999999999995</v>
      </c>
      <c r="Y81" s="270">
        <v>1.0000000000000002</v>
      </c>
      <c r="AB81" s="331">
        <f t="shared" ca="1" si="24"/>
        <v>22.392857142857142</v>
      </c>
    </row>
    <row r="82" spans="2:30" x14ac:dyDescent="0.3">
      <c r="B82" s="246">
        <v>75</v>
      </c>
      <c r="C82" s="437">
        <f>B82*MechanicalData!$B$22/360</f>
        <v>11.458333333333334</v>
      </c>
      <c r="D82" s="437">
        <f>MechanicalData!$B$22</f>
        <v>55</v>
      </c>
      <c r="E82" s="248">
        <v>75</v>
      </c>
      <c r="F82" s="453">
        <v>12.673999999999999</v>
      </c>
      <c r="G82" s="437">
        <v>66.725999999999999</v>
      </c>
      <c r="H82" s="339">
        <f t="shared" si="13"/>
        <v>75</v>
      </c>
      <c r="I82" s="451">
        <f t="shared" si="14"/>
        <v>55</v>
      </c>
      <c r="J82" s="340">
        <f t="shared" si="15"/>
        <v>0.15277777777777779</v>
      </c>
      <c r="K82" s="341">
        <f t="shared" si="16"/>
        <v>11.458333333333334</v>
      </c>
      <c r="L82" s="333">
        <f t="shared" si="17"/>
        <v>1679.4642857142856</v>
      </c>
      <c r="M82" s="342">
        <f t="shared" si="18"/>
        <v>1679</v>
      </c>
      <c r="N82" s="343">
        <f t="shared" si="19"/>
        <v>11.458333333333332</v>
      </c>
      <c r="O82" s="343"/>
      <c r="P82" s="343">
        <f t="shared" si="20"/>
        <v>0</v>
      </c>
      <c r="Q82" s="344"/>
      <c r="R82" s="343">
        <f t="shared" si="21"/>
        <v>75.000000000000085</v>
      </c>
      <c r="S82" s="343">
        <f t="shared" si="22"/>
        <v>0</v>
      </c>
      <c r="T82" s="343"/>
      <c r="U82" s="343">
        <f t="shared" ca="1" si="12"/>
        <v>1.0000000000000002</v>
      </c>
      <c r="V82" s="345">
        <f t="shared" si="23"/>
        <v>22.392857142857142</v>
      </c>
      <c r="W82" s="186"/>
      <c r="X82" s="273">
        <v>604.9</v>
      </c>
      <c r="Y82" s="270">
        <v>1.0000000000000002</v>
      </c>
      <c r="AB82" s="331">
        <f t="shared" ca="1" si="24"/>
        <v>22.392857142857142</v>
      </c>
    </row>
    <row r="83" spans="2:30" x14ac:dyDescent="0.3">
      <c r="B83" s="246">
        <v>76</v>
      </c>
      <c r="C83" s="437">
        <f>B83*MechanicalData!$B$22/360</f>
        <v>11.611111111111111</v>
      </c>
      <c r="D83" s="437">
        <f>MechanicalData!$B$22</f>
        <v>55</v>
      </c>
      <c r="E83" s="248">
        <v>76</v>
      </c>
      <c r="F83" s="453">
        <v>12.86</v>
      </c>
      <c r="G83" s="437">
        <v>66.914000000000001</v>
      </c>
      <c r="H83" s="339">
        <f t="shared" si="13"/>
        <v>76</v>
      </c>
      <c r="I83" s="451">
        <f t="shared" si="14"/>
        <v>55</v>
      </c>
      <c r="J83" s="340">
        <f t="shared" si="15"/>
        <v>0.15277777777777779</v>
      </c>
      <c r="K83" s="341">
        <f t="shared" si="16"/>
        <v>11.611111111111111</v>
      </c>
      <c r="L83" s="333">
        <f t="shared" si="17"/>
        <v>1701.8571428571427</v>
      </c>
      <c r="M83" s="342">
        <f t="shared" si="18"/>
        <v>1702</v>
      </c>
      <c r="N83" s="343">
        <f t="shared" si="19"/>
        <v>11.611111111111109</v>
      </c>
      <c r="O83" s="343"/>
      <c r="P83" s="343">
        <f t="shared" si="20"/>
        <v>0</v>
      </c>
      <c r="Q83" s="344"/>
      <c r="R83" s="343">
        <f t="shared" si="21"/>
        <v>76.000000000000085</v>
      </c>
      <c r="S83" s="343">
        <f t="shared" si="22"/>
        <v>0</v>
      </c>
      <c r="T83" s="343"/>
      <c r="U83" s="343">
        <f t="shared" ca="1" si="12"/>
        <v>1.0000000000000002</v>
      </c>
      <c r="V83" s="345">
        <f t="shared" si="23"/>
        <v>22.392857142857142</v>
      </c>
      <c r="W83" s="186"/>
      <c r="X83" s="273">
        <v>605</v>
      </c>
      <c r="Y83" s="270">
        <v>1.0000000000000002</v>
      </c>
      <c r="AB83" s="331">
        <f t="shared" ca="1" si="24"/>
        <v>22.392857142857142</v>
      </c>
    </row>
    <row r="84" spans="2:30" ht="14" thickBot="1" x14ac:dyDescent="0.35">
      <c r="B84" s="246">
        <v>77</v>
      </c>
      <c r="C84" s="437">
        <f>B84*MechanicalData!$B$22/360</f>
        <v>11.763888888888889</v>
      </c>
      <c r="D84" s="437">
        <f>MechanicalData!$B$22</f>
        <v>55</v>
      </c>
      <c r="E84" s="248">
        <v>77</v>
      </c>
      <c r="F84" s="453">
        <v>13.045999999999999</v>
      </c>
      <c r="G84" s="437">
        <v>67.099000000000004</v>
      </c>
      <c r="H84" s="339">
        <f t="shared" si="13"/>
        <v>77</v>
      </c>
      <c r="I84" s="451">
        <f t="shared" si="14"/>
        <v>55</v>
      </c>
      <c r="J84" s="340">
        <f t="shared" si="15"/>
        <v>0.15277777777777779</v>
      </c>
      <c r="K84" s="341">
        <f t="shared" si="16"/>
        <v>11.763888888888889</v>
      </c>
      <c r="L84" s="333">
        <f t="shared" si="17"/>
        <v>1724.2500000000002</v>
      </c>
      <c r="M84" s="342">
        <f t="shared" si="18"/>
        <v>1724</v>
      </c>
      <c r="N84" s="343">
        <f t="shared" si="19"/>
        <v>11.763888888888889</v>
      </c>
      <c r="O84" s="343"/>
      <c r="P84" s="343">
        <f t="shared" si="20"/>
        <v>0</v>
      </c>
      <c r="Q84" s="344"/>
      <c r="R84" s="343">
        <f t="shared" si="21"/>
        <v>77.000000000000099</v>
      </c>
      <c r="S84" s="343">
        <f t="shared" si="22"/>
        <v>0</v>
      </c>
      <c r="T84" s="343"/>
      <c r="U84" s="343">
        <f t="shared" ca="1" si="12"/>
        <v>1.0000000000000002</v>
      </c>
      <c r="V84" s="345">
        <f t="shared" si="23"/>
        <v>22.392857142857142</v>
      </c>
      <c r="W84" s="186"/>
      <c r="X84" s="274">
        <v>605.1</v>
      </c>
      <c r="Y84" s="271">
        <v>1.0000000000000002</v>
      </c>
      <c r="AB84" s="332">
        <f t="shared" ca="1" si="24"/>
        <v>22.392857142857142</v>
      </c>
    </row>
    <row r="85" spans="2:30" ht="14" thickBot="1" x14ac:dyDescent="0.35">
      <c r="B85" s="246">
        <v>78</v>
      </c>
      <c r="C85" s="437">
        <f>B85*MechanicalData!$B$22/360</f>
        <v>11.916666666666666</v>
      </c>
      <c r="D85" s="437">
        <f>MechanicalData!$B$22</f>
        <v>55</v>
      </c>
      <c r="E85" s="248">
        <v>78</v>
      </c>
      <c r="F85" s="453">
        <v>13.233000000000001</v>
      </c>
      <c r="G85" s="437">
        <v>67.281000000000006</v>
      </c>
      <c r="H85" s="339">
        <f t="shared" si="13"/>
        <v>78</v>
      </c>
      <c r="I85" s="451">
        <f t="shared" si="14"/>
        <v>55</v>
      </c>
      <c r="J85" s="340">
        <f t="shared" si="15"/>
        <v>0.15277777777777779</v>
      </c>
      <c r="K85" s="341">
        <f t="shared" si="16"/>
        <v>11.916666666666666</v>
      </c>
      <c r="L85" s="333">
        <f t="shared" si="17"/>
        <v>1746.6428571428569</v>
      </c>
      <c r="M85" s="342">
        <f t="shared" si="18"/>
        <v>1747</v>
      </c>
      <c r="N85" s="343">
        <f t="shared" si="19"/>
        <v>11.916666666666664</v>
      </c>
      <c r="O85" s="343"/>
      <c r="P85" s="343">
        <f t="shared" si="20"/>
        <v>0</v>
      </c>
      <c r="Q85" s="344"/>
      <c r="R85" s="343">
        <f t="shared" si="21"/>
        <v>78.000000000000071</v>
      </c>
      <c r="S85" s="343">
        <f t="shared" si="22"/>
        <v>0</v>
      </c>
      <c r="T85" s="343"/>
      <c r="U85" s="343">
        <f t="shared" ca="1" si="12"/>
        <v>1.0000000000000002</v>
      </c>
      <c r="V85" s="345">
        <f t="shared" si="23"/>
        <v>22.392857142857142</v>
      </c>
      <c r="W85" s="186"/>
      <c r="X85" s="604" t="s">
        <v>528</v>
      </c>
      <c r="Y85" s="605"/>
    </row>
    <row r="86" spans="2:30" x14ac:dyDescent="0.3">
      <c r="B86" s="246">
        <v>79</v>
      </c>
      <c r="C86" s="437">
        <f>B86*MechanicalData!$B$22/360</f>
        <v>12.069444444444445</v>
      </c>
      <c r="D86" s="437">
        <f>MechanicalData!$B$22</f>
        <v>55</v>
      </c>
      <c r="E86" s="248">
        <v>79</v>
      </c>
      <c r="F86" s="453">
        <v>13.42</v>
      </c>
      <c r="G86" s="437">
        <v>67.459000000000003</v>
      </c>
      <c r="H86" s="339">
        <f t="shared" si="13"/>
        <v>79</v>
      </c>
      <c r="I86" s="451">
        <f t="shared" si="14"/>
        <v>55</v>
      </c>
      <c r="J86" s="340">
        <f t="shared" si="15"/>
        <v>0.15277777777777779</v>
      </c>
      <c r="K86" s="341">
        <f t="shared" si="16"/>
        <v>12.069444444444445</v>
      </c>
      <c r="L86" s="333">
        <f t="shared" si="17"/>
        <v>1769.0357142857144</v>
      </c>
      <c r="M86" s="342">
        <f t="shared" si="18"/>
        <v>1769</v>
      </c>
      <c r="N86" s="343">
        <f t="shared" si="19"/>
        <v>12.069444444444445</v>
      </c>
      <c r="O86" s="343"/>
      <c r="P86" s="343">
        <f t="shared" si="20"/>
        <v>0</v>
      </c>
      <c r="Q86" s="344"/>
      <c r="R86" s="343">
        <f t="shared" si="21"/>
        <v>79.000000000000114</v>
      </c>
      <c r="S86" s="343">
        <f t="shared" si="22"/>
        <v>-1.1368683772161603E-13</v>
      </c>
      <c r="T86" s="343"/>
      <c r="U86" s="343">
        <f t="shared" ca="1" si="12"/>
        <v>1.0000000000000002</v>
      </c>
      <c r="V86" s="345">
        <f t="shared" si="23"/>
        <v>22.392857142857142</v>
      </c>
      <c r="W86" s="186"/>
      <c r="X86" s="176" t="s">
        <v>565</v>
      </c>
      <c r="Y86" s="214">
        <v>3.5E-4</v>
      </c>
    </row>
    <row r="87" spans="2:30" x14ac:dyDescent="0.3">
      <c r="B87" s="246">
        <v>80</v>
      </c>
      <c r="C87" s="437">
        <f>B87*MechanicalData!$B$22/360</f>
        <v>12.222222222222221</v>
      </c>
      <c r="D87" s="437">
        <f>MechanicalData!$B$22</f>
        <v>55</v>
      </c>
      <c r="E87" s="248">
        <v>80</v>
      </c>
      <c r="F87" s="453">
        <v>13.606999999999999</v>
      </c>
      <c r="G87" s="437">
        <v>67.632999999999996</v>
      </c>
      <c r="H87" s="339">
        <f t="shared" si="13"/>
        <v>80</v>
      </c>
      <c r="I87" s="451">
        <f t="shared" si="14"/>
        <v>55</v>
      </c>
      <c r="J87" s="340">
        <f t="shared" si="15"/>
        <v>0.15277777777777779</v>
      </c>
      <c r="K87" s="341">
        <f t="shared" si="16"/>
        <v>12.222222222222221</v>
      </c>
      <c r="L87" s="333">
        <f t="shared" si="17"/>
        <v>1791.4285714285711</v>
      </c>
      <c r="M87" s="342">
        <f t="shared" si="18"/>
        <v>1791</v>
      </c>
      <c r="N87" s="343">
        <f t="shared" si="19"/>
        <v>12.22222222222222</v>
      </c>
      <c r="O87" s="343"/>
      <c r="P87" s="343">
        <f t="shared" si="20"/>
        <v>0</v>
      </c>
      <c r="Q87" s="344"/>
      <c r="R87" s="343">
        <f t="shared" si="21"/>
        <v>80.000000000000099</v>
      </c>
      <c r="S87" s="343">
        <f t="shared" si="22"/>
        <v>0</v>
      </c>
      <c r="T87" s="343"/>
      <c r="U87" s="343">
        <f t="shared" ca="1" si="12"/>
        <v>1.0000000000000002</v>
      </c>
      <c r="V87" s="345">
        <f t="shared" si="23"/>
        <v>22.392857142857142</v>
      </c>
      <c r="W87" s="186"/>
      <c r="X87" s="176" t="s">
        <v>566</v>
      </c>
      <c r="Y87" s="234">
        <v>2</v>
      </c>
    </row>
    <row r="88" spans="2:30" x14ac:dyDescent="0.3">
      <c r="B88" s="246">
        <v>81</v>
      </c>
      <c r="C88" s="437">
        <f>B88*MechanicalData!$B$22/360</f>
        <v>12.375</v>
      </c>
      <c r="D88" s="437">
        <f>MechanicalData!$B$22</f>
        <v>55</v>
      </c>
      <c r="E88" s="248">
        <v>81</v>
      </c>
      <c r="F88" s="453">
        <v>13.795999999999999</v>
      </c>
      <c r="G88" s="437">
        <v>67.802999999999997</v>
      </c>
      <c r="H88" s="339">
        <f t="shared" si="13"/>
        <v>81</v>
      </c>
      <c r="I88" s="451">
        <f t="shared" si="14"/>
        <v>55</v>
      </c>
      <c r="J88" s="340">
        <f t="shared" si="15"/>
        <v>0.15277777777777779</v>
      </c>
      <c r="K88" s="341">
        <f t="shared" si="16"/>
        <v>12.375</v>
      </c>
      <c r="L88" s="333">
        <f t="shared" si="17"/>
        <v>1813.8214285714287</v>
      </c>
      <c r="M88" s="342">
        <f t="shared" si="18"/>
        <v>1814</v>
      </c>
      <c r="N88" s="343">
        <f t="shared" si="19"/>
        <v>12.375</v>
      </c>
      <c r="O88" s="343"/>
      <c r="P88" s="343">
        <f t="shared" si="20"/>
        <v>0</v>
      </c>
      <c r="Q88" s="344"/>
      <c r="R88" s="343">
        <f t="shared" si="21"/>
        <v>81.000000000000114</v>
      </c>
      <c r="S88" s="343">
        <f t="shared" si="22"/>
        <v>-1.1368683772161603E-13</v>
      </c>
      <c r="T88" s="343"/>
      <c r="U88" s="343">
        <f t="shared" ca="1" si="12"/>
        <v>1.0000000000000002</v>
      </c>
      <c r="V88" s="345">
        <f t="shared" si="23"/>
        <v>22.392857142857142</v>
      </c>
      <c r="W88" s="186"/>
      <c r="X88" s="207"/>
    </row>
    <row r="89" spans="2:30" x14ac:dyDescent="0.3">
      <c r="B89" s="246">
        <v>82</v>
      </c>
      <c r="C89" s="437">
        <f>B89*MechanicalData!$B$22/360</f>
        <v>12.527777777777779</v>
      </c>
      <c r="D89" s="437">
        <f>MechanicalData!$B$22</f>
        <v>55</v>
      </c>
      <c r="E89" s="248">
        <v>82</v>
      </c>
      <c r="F89" s="453">
        <v>13.984</v>
      </c>
      <c r="G89" s="437">
        <v>67.968000000000004</v>
      </c>
      <c r="H89" s="339">
        <f t="shared" si="13"/>
        <v>82</v>
      </c>
      <c r="I89" s="451">
        <f t="shared" si="14"/>
        <v>55</v>
      </c>
      <c r="J89" s="340">
        <f t="shared" si="15"/>
        <v>0.15277777777777779</v>
      </c>
      <c r="K89" s="341">
        <f t="shared" si="16"/>
        <v>12.527777777777779</v>
      </c>
      <c r="L89" s="333">
        <f t="shared" si="17"/>
        <v>1836.2142857142858</v>
      </c>
      <c r="M89" s="342">
        <f t="shared" si="18"/>
        <v>1836</v>
      </c>
      <c r="N89" s="343">
        <f t="shared" si="19"/>
        <v>12.527777777777777</v>
      </c>
      <c r="O89" s="343"/>
      <c r="P89" s="343">
        <f t="shared" si="20"/>
        <v>0</v>
      </c>
      <c r="Q89" s="344"/>
      <c r="R89" s="343">
        <f t="shared" si="21"/>
        <v>82.000000000000114</v>
      </c>
      <c r="S89" s="343">
        <f t="shared" si="22"/>
        <v>-1.1368683772161603E-13</v>
      </c>
      <c r="T89" s="343"/>
      <c r="U89" s="343">
        <f t="shared" ca="1" si="12"/>
        <v>1.0000000000000002</v>
      </c>
      <c r="V89" s="345">
        <f t="shared" si="23"/>
        <v>22.392857142857142</v>
      </c>
      <c r="W89" s="186"/>
    </row>
    <row r="90" spans="2:30" ht="14" thickBot="1" x14ac:dyDescent="0.35">
      <c r="B90" s="246">
        <v>83</v>
      </c>
      <c r="C90" s="437">
        <f>B90*MechanicalData!$B$22/360</f>
        <v>12.680555555555555</v>
      </c>
      <c r="D90" s="437">
        <f>MechanicalData!$B$22</f>
        <v>55</v>
      </c>
      <c r="E90" s="248">
        <v>83</v>
      </c>
      <c r="F90" s="453">
        <v>14.173</v>
      </c>
      <c r="G90" s="437">
        <v>68.129000000000005</v>
      </c>
      <c r="H90" s="339">
        <f t="shared" si="13"/>
        <v>83</v>
      </c>
      <c r="I90" s="451">
        <f t="shared" si="14"/>
        <v>55</v>
      </c>
      <c r="J90" s="340">
        <f t="shared" si="15"/>
        <v>0.15277777777777779</v>
      </c>
      <c r="K90" s="341">
        <f t="shared" si="16"/>
        <v>12.680555555555555</v>
      </c>
      <c r="L90" s="333">
        <f t="shared" si="17"/>
        <v>1858.6071428571427</v>
      </c>
      <c r="M90" s="342">
        <f t="shared" si="18"/>
        <v>1859</v>
      </c>
      <c r="N90" s="343">
        <f t="shared" si="19"/>
        <v>12.680555555555554</v>
      </c>
      <c r="O90" s="343"/>
      <c r="P90" s="343">
        <f t="shared" si="20"/>
        <v>0</v>
      </c>
      <c r="Q90" s="344"/>
      <c r="R90" s="343">
        <f t="shared" si="21"/>
        <v>83.000000000000085</v>
      </c>
      <c r="S90" s="343">
        <f t="shared" si="22"/>
        <v>0</v>
      </c>
      <c r="T90" s="343"/>
      <c r="U90" s="343">
        <f t="shared" ca="1" si="12"/>
        <v>1.0000000000000002</v>
      </c>
      <c r="V90" s="345">
        <f t="shared" si="23"/>
        <v>22.392857142857142</v>
      </c>
      <c r="W90" s="186"/>
    </row>
    <row r="91" spans="2:30" x14ac:dyDescent="0.3">
      <c r="B91" s="246">
        <v>84</v>
      </c>
      <c r="C91" s="437">
        <f>B91*MechanicalData!$B$22/360</f>
        <v>12.833333333333334</v>
      </c>
      <c r="D91" s="437">
        <f>MechanicalData!$B$22</f>
        <v>55</v>
      </c>
      <c r="E91" s="248">
        <v>84</v>
      </c>
      <c r="F91" s="453">
        <v>14.363</v>
      </c>
      <c r="G91" s="437">
        <v>68.284000000000006</v>
      </c>
      <c r="H91" s="339">
        <f t="shared" si="13"/>
        <v>84</v>
      </c>
      <c r="I91" s="451">
        <f t="shared" si="14"/>
        <v>55</v>
      </c>
      <c r="J91" s="340">
        <f t="shared" si="15"/>
        <v>0.15277777777777779</v>
      </c>
      <c r="K91" s="341">
        <f t="shared" si="16"/>
        <v>12.833333333333334</v>
      </c>
      <c r="L91" s="333">
        <f t="shared" si="17"/>
        <v>1880.9999999999998</v>
      </c>
      <c r="M91" s="342">
        <f t="shared" si="18"/>
        <v>1881</v>
      </c>
      <c r="N91" s="343">
        <f t="shared" si="19"/>
        <v>12.833333333333332</v>
      </c>
      <c r="O91" s="343"/>
      <c r="P91" s="343">
        <f t="shared" si="20"/>
        <v>0</v>
      </c>
      <c r="Q91" s="344"/>
      <c r="R91" s="343">
        <f t="shared" si="21"/>
        <v>84.000000000000085</v>
      </c>
      <c r="S91" s="343">
        <f t="shared" si="22"/>
        <v>0</v>
      </c>
      <c r="T91" s="343"/>
      <c r="U91" s="343">
        <f t="shared" ca="1" si="12"/>
        <v>1.0000000000000002</v>
      </c>
      <c r="V91" s="345">
        <f t="shared" si="23"/>
        <v>22.392857142857142</v>
      </c>
      <c r="W91" s="186"/>
      <c r="X91" s="220" t="s">
        <v>516</v>
      </c>
      <c r="Y91" s="221" t="s">
        <v>517</v>
      </c>
      <c r="Z91" s="222"/>
      <c r="AA91" s="205"/>
    </row>
    <row r="92" spans="2:30" x14ac:dyDescent="0.3">
      <c r="B92" s="246">
        <v>85</v>
      </c>
      <c r="C92" s="437">
        <f>B92*MechanicalData!$B$22/360</f>
        <v>12.986111111111111</v>
      </c>
      <c r="D92" s="437">
        <f>MechanicalData!$B$22</f>
        <v>55</v>
      </c>
      <c r="E92" s="248">
        <v>85</v>
      </c>
      <c r="F92" s="453">
        <v>14.553000000000001</v>
      </c>
      <c r="G92" s="437">
        <v>68.433999999999997</v>
      </c>
      <c r="H92" s="339">
        <f t="shared" si="13"/>
        <v>85</v>
      </c>
      <c r="I92" s="451">
        <f t="shared" si="14"/>
        <v>55</v>
      </c>
      <c r="J92" s="340">
        <f t="shared" si="15"/>
        <v>0.15277777777777779</v>
      </c>
      <c r="K92" s="341">
        <f t="shared" si="16"/>
        <v>12.986111111111111</v>
      </c>
      <c r="L92" s="333">
        <f t="shared" si="17"/>
        <v>1903.3928571428569</v>
      </c>
      <c r="M92" s="342">
        <f t="shared" si="18"/>
        <v>1903</v>
      </c>
      <c r="N92" s="343">
        <f t="shared" si="19"/>
        <v>12.986111111111109</v>
      </c>
      <c r="O92" s="343"/>
      <c r="P92" s="343">
        <f t="shared" si="20"/>
        <v>0</v>
      </c>
      <c r="Q92" s="344"/>
      <c r="R92" s="343">
        <f t="shared" si="21"/>
        <v>85.000000000000085</v>
      </c>
      <c r="S92" s="343">
        <f t="shared" si="22"/>
        <v>0</v>
      </c>
      <c r="T92" s="343"/>
      <c r="U92" s="343">
        <f t="shared" ca="1" si="12"/>
        <v>1.0000000000000002</v>
      </c>
      <c r="V92" s="345">
        <f t="shared" si="23"/>
        <v>22.392857142857142</v>
      </c>
      <c r="W92" s="186"/>
      <c r="X92" s="223"/>
      <c r="Y92" s="205"/>
      <c r="Z92" s="205"/>
      <c r="AA92" s="205"/>
    </row>
    <row r="93" spans="2:30" x14ac:dyDescent="0.3">
      <c r="B93" s="246">
        <v>86</v>
      </c>
      <c r="C93" s="437">
        <f>B93*MechanicalData!$B$22/360</f>
        <v>13.138888888888889</v>
      </c>
      <c r="D93" s="437">
        <f>MechanicalData!$B$22</f>
        <v>55</v>
      </c>
      <c r="E93" s="248">
        <v>86</v>
      </c>
      <c r="F93" s="453">
        <v>14.743</v>
      </c>
      <c r="G93" s="437">
        <v>68.578000000000003</v>
      </c>
      <c r="H93" s="339">
        <f t="shared" si="13"/>
        <v>86</v>
      </c>
      <c r="I93" s="451">
        <f t="shared" si="14"/>
        <v>55</v>
      </c>
      <c r="J93" s="340">
        <f t="shared" si="15"/>
        <v>0.15277777777777779</v>
      </c>
      <c r="K93" s="341">
        <f t="shared" si="16"/>
        <v>13.138888888888889</v>
      </c>
      <c r="L93" s="333">
        <f t="shared" si="17"/>
        <v>1925.7857142857144</v>
      </c>
      <c r="M93" s="342">
        <f t="shared" si="18"/>
        <v>1926</v>
      </c>
      <c r="N93" s="343">
        <f t="shared" si="19"/>
        <v>13.138888888888889</v>
      </c>
      <c r="O93" s="343"/>
      <c r="P93" s="343">
        <f t="shared" si="20"/>
        <v>0</v>
      </c>
      <c r="Q93" s="344"/>
      <c r="R93" s="343">
        <f t="shared" si="21"/>
        <v>86.000000000000114</v>
      </c>
      <c r="S93" s="343">
        <f t="shared" si="22"/>
        <v>-1.1368683772161603E-13</v>
      </c>
      <c r="T93" s="343"/>
      <c r="U93" s="343">
        <f t="shared" ca="1" si="12"/>
        <v>1.0000000000000002</v>
      </c>
      <c r="V93" s="345">
        <f t="shared" si="23"/>
        <v>22.392857142857142</v>
      </c>
      <c r="W93" s="186"/>
      <c r="X93" s="351" t="s">
        <v>562</v>
      </c>
      <c r="Y93" s="352"/>
      <c r="Z93" s="352"/>
      <c r="AA93" s="347"/>
      <c r="AB93" s="348"/>
      <c r="AC93" s="348"/>
      <c r="AD93" s="348"/>
    </row>
    <row r="94" spans="2:30" x14ac:dyDescent="0.3">
      <c r="B94" s="246">
        <v>87</v>
      </c>
      <c r="C94" s="437">
        <f>B94*MechanicalData!$B$22/360</f>
        <v>13.291666666666666</v>
      </c>
      <c r="D94" s="437">
        <f>MechanicalData!$B$22</f>
        <v>55</v>
      </c>
      <c r="E94" s="248">
        <v>87</v>
      </c>
      <c r="F94" s="453">
        <v>14.933999999999999</v>
      </c>
      <c r="G94" s="437">
        <v>68.716999999999999</v>
      </c>
      <c r="H94" s="339">
        <f t="shared" si="13"/>
        <v>87</v>
      </c>
      <c r="I94" s="451">
        <f t="shared" si="14"/>
        <v>55</v>
      </c>
      <c r="J94" s="340">
        <f t="shared" si="15"/>
        <v>0.15277777777777779</v>
      </c>
      <c r="K94" s="341">
        <f t="shared" si="16"/>
        <v>13.291666666666666</v>
      </c>
      <c r="L94" s="333">
        <f t="shared" si="17"/>
        <v>1948.1785714285711</v>
      </c>
      <c r="M94" s="342">
        <f t="shared" si="18"/>
        <v>1948</v>
      </c>
      <c r="N94" s="343">
        <f t="shared" si="19"/>
        <v>13.291666666666664</v>
      </c>
      <c r="O94" s="343"/>
      <c r="P94" s="343">
        <f t="shared" si="20"/>
        <v>0</v>
      </c>
      <c r="Q94" s="344"/>
      <c r="R94" s="343">
        <f t="shared" si="21"/>
        <v>87.000000000000099</v>
      </c>
      <c r="S94" s="343">
        <f t="shared" si="22"/>
        <v>0</v>
      </c>
      <c r="T94" s="343"/>
      <c r="U94" s="343">
        <f t="shared" ca="1" si="12"/>
        <v>1.0000000000000002</v>
      </c>
      <c r="V94" s="345">
        <f t="shared" si="23"/>
        <v>22.392857142857142</v>
      </c>
      <c r="W94" s="186"/>
      <c r="X94" s="349" t="s">
        <v>567</v>
      </c>
      <c r="Y94" s="353" t="str">
        <f>Txt2Kon_1($X$72)&amp;Txt2Kon_1($X$73)&amp;Txt2Kon_1($X$74)&amp;Txt2Kon_1($X$75)&amp;Txt2Kon_1($X$76)&amp;Txt2Kon_1($X$77)&amp;Txt2Kon_1($X$78)&amp;Txt2Kon_1($X$79)&amp;Txt2Kon_1($X$80)&amp;Txt2Kon_1($X$81)&amp;Txt2Kon_1($X$82)&amp;Txt2Kon_1($X$83)&amp;Txt2Kon_1($X$84)</f>
        <v xml:space="preserve">0.0     604.0     604.1     604.2     604.3     604.4     604.5     604.6     604.7     604.8     604.9     605.0     605.1     </v>
      </c>
      <c r="Z94" s="353"/>
      <c r="AA94" s="353"/>
      <c r="AB94" s="353"/>
      <c r="AC94" s="353"/>
      <c r="AD94" s="353"/>
    </row>
    <row r="95" spans="2:30" x14ac:dyDescent="0.3">
      <c r="B95" s="246">
        <v>88</v>
      </c>
      <c r="C95" s="437">
        <f>B95*MechanicalData!$B$22/360</f>
        <v>13.444444444444445</v>
      </c>
      <c r="D95" s="437">
        <f>MechanicalData!$B$22</f>
        <v>55</v>
      </c>
      <c r="E95" s="248">
        <v>88</v>
      </c>
      <c r="F95" s="453">
        <v>15.125</v>
      </c>
      <c r="G95" s="437">
        <v>68.849000000000004</v>
      </c>
      <c r="H95" s="339">
        <f t="shared" si="13"/>
        <v>88</v>
      </c>
      <c r="I95" s="451">
        <f t="shared" si="14"/>
        <v>55</v>
      </c>
      <c r="J95" s="340">
        <f t="shared" si="15"/>
        <v>0.15277777777777779</v>
      </c>
      <c r="K95" s="341">
        <f t="shared" si="16"/>
        <v>13.444444444444445</v>
      </c>
      <c r="L95" s="333">
        <f t="shared" si="17"/>
        <v>1970.5714285714287</v>
      </c>
      <c r="M95" s="342">
        <f t="shared" si="18"/>
        <v>1971</v>
      </c>
      <c r="N95" s="343">
        <f t="shared" si="19"/>
        <v>13.444444444444445</v>
      </c>
      <c r="O95" s="343"/>
      <c r="P95" s="343">
        <f t="shared" si="20"/>
        <v>0</v>
      </c>
      <c r="Q95" s="344"/>
      <c r="R95" s="343">
        <f t="shared" si="21"/>
        <v>88.000000000000114</v>
      </c>
      <c r="S95" s="343">
        <f t="shared" si="22"/>
        <v>-1.1368683772161603E-13</v>
      </c>
      <c r="T95" s="343"/>
      <c r="U95" s="343">
        <f t="shared" ca="1" si="12"/>
        <v>1.0000000000000002</v>
      </c>
      <c r="V95" s="345">
        <f t="shared" si="23"/>
        <v>22.392857142857142</v>
      </c>
      <c r="W95" s="186"/>
      <c r="X95" s="349" t="s">
        <v>512</v>
      </c>
      <c r="Y95" s="602" t="str">
        <f>Txt2Kon_4($Y$72)&amp;Txt2Kon_4($Y$73)&amp;Txt2Kon_4($Y$74)&amp;Txt2Kon_4($Y$75)&amp;Txt2Kon_4($Y$76)&amp;Txt2Kon_4($Y$77)&amp;Txt2Kon_4($Y$78)&amp;Txt2Kon_4($Y$79)&amp;Txt2Kon_4($Y$80)&amp;Txt2Kon_4($Y$81)&amp;Txt2Kon_4($Y$82)&amp;Txt2Kon_4($Y$83)&amp;Txt2Kon_4($Y$84)</f>
        <v xml:space="preserve">1.0000     1.0000     1.0000     1.0000     1.0000     1.0000     1.0000     1.0000     1.0000     1.0000     1.0000     1.0000     1.0000     </v>
      </c>
      <c r="Z95" s="602"/>
      <c r="AA95" s="602"/>
      <c r="AB95" s="602"/>
      <c r="AC95" s="602"/>
      <c r="AD95" s="602"/>
    </row>
    <row r="96" spans="2:30" x14ac:dyDescent="0.3">
      <c r="B96" s="246">
        <v>89</v>
      </c>
      <c r="C96" s="437">
        <f>B96*MechanicalData!$B$22/360</f>
        <v>13.597222222222221</v>
      </c>
      <c r="D96" s="437">
        <f>MechanicalData!$B$22</f>
        <v>55</v>
      </c>
      <c r="E96" s="248">
        <v>89</v>
      </c>
      <c r="F96" s="453">
        <v>15.316000000000001</v>
      </c>
      <c r="G96" s="437">
        <v>68.974999999999994</v>
      </c>
      <c r="H96" s="339">
        <f t="shared" si="13"/>
        <v>89</v>
      </c>
      <c r="I96" s="451">
        <f t="shared" si="14"/>
        <v>55</v>
      </c>
      <c r="J96" s="340">
        <f t="shared" si="15"/>
        <v>0.15277777777777779</v>
      </c>
      <c r="K96" s="341">
        <f t="shared" si="16"/>
        <v>13.597222222222221</v>
      </c>
      <c r="L96" s="333">
        <f t="shared" si="17"/>
        <v>1992.9642857142853</v>
      </c>
      <c r="M96" s="342">
        <f t="shared" si="18"/>
        <v>1993</v>
      </c>
      <c r="N96" s="343">
        <f t="shared" si="19"/>
        <v>13.59722222222222</v>
      </c>
      <c r="O96" s="343"/>
      <c r="P96" s="343">
        <f t="shared" si="20"/>
        <v>0</v>
      </c>
      <c r="Q96" s="344"/>
      <c r="R96" s="343">
        <f t="shared" si="21"/>
        <v>89.000000000000099</v>
      </c>
      <c r="S96" s="343">
        <f t="shared" si="22"/>
        <v>0</v>
      </c>
      <c r="T96" s="343"/>
      <c r="U96" s="343">
        <f t="shared" ca="1" si="12"/>
        <v>1.0000000000000002</v>
      </c>
      <c r="V96" s="345">
        <f t="shared" si="23"/>
        <v>22.392857142857142</v>
      </c>
      <c r="W96" s="186"/>
      <c r="X96" s="349"/>
      <c r="Y96" s="347"/>
      <c r="Z96" s="347"/>
      <c r="AA96" s="347"/>
      <c r="AB96" s="348"/>
      <c r="AC96" s="348"/>
      <c r="AD96" s="348"/>
    </row>
    <row r="97" spans="2:30" x14ac:dyDescent="0.3">
      <c r="B97" s="246">
        <v>90</v>
      </c>
      <c r="C97" s="437">
        <f>B97*MechanicalData!$B$22/360</f>
        <v>13.75</v>
      </c>
      <c r="D97" s="437">
        <f>MechanicalData!$B$22</f>
        <v>55</v>
      </c>
      <c r="E97" s="248">
        <v>90</v>
      </c>
      <c r="F97" s="453">
        <v>15.507999999999999</v>
      </c>
      <c r="G97" s="437">
        <v>69.094999999999999</v>
      </c>
      <c r="H97" s="339">
        <f t="shared" si="13"/>
        <v>90</v>
      </c>
      <c r="I97" s="451">
        <f t="shared" si="14"/>
        <v>55</v>
      </c>
      <c r="J97" s="340">
        <f t="shared" si="15"/>
        <v>0.15277777777777779</v>
      </c>
      <c r="K97" s="341">
        <f t="shared" si="16"/>
        <v>13.75</v>
      </c>
      <c r="L97" s="333">
        <f t="shared" si="17"/>
        <v>2015.3571428571429</v>
      </c>
      <c r="M97" s="342">
        <f t="shared" si="18"/>
        <v>2015</v>
      </c>
      <c r="N97" s="343">
        <f t="shared" si="19"/>
        <v>13.75</v>
      </c>
      <c r="O97" s="343"/>
      <c r="P97" s="343">
        <f t="shared" si="20"/>
        <v>0</v>
      </c>
      <c r="Q97" s="344"/>
      <c r="R97" s="343">
        <f t="shared" si="21"/>
        <v>90.000000000000114</v>
      </c>
      <c r="S97" s="343">
        <f t="shared" si="22"/>
        <v>-1.1368683772161603E-13</v>
      </c>
      <c r="T97" s="343"/>
      <c r="U97" s="343">
        <f t="shared" ca="1" si="12"/>
        <v>1.0000000000000002</v>
      </c>
      <c r="V97" s="345">
        <f t="shared" si="23"/>
        <v>22.392857142857142</v>
      </c>
      <c r="W97" s="186"/>
      <c r="X97" s="351" t="s">
        <v>649</v>
      </c>
      <c r="Y97" s="352"/>
      <c r="Z97" s="352"/>
      <c r="AA97" s="347"/>
      <c r="AB97" s="348"/>
      <c r="AC97" s="348"/>
      <c r="AD97" s="348"/>
    </row>
    <row r="98" spans="2:30" x14ac:dyDescent="0.3">
      <c r="B98" s="246">
        <v>91</v>
      </c>
      <c r="C98" s="437">
        <f>B98*MechanicalData!$B$22/360</f>
        <v>13.902777777777779</v>
      </c>
      <c r="D98" s="437">
        <f>MechanicalData!$B$22</f>
        <v>55</v>
      </c>
      <c r="E98" s="248">
        <v>91</v>
      </c>
      <c r="F98" s="453">
        <v>15.7</v>
      </c>
      <c r="G98" s="437">
        <v>69.207999999999998</v>
      </c>
      <c r="H98" s="339">
        <f t="shared" si="13"/>
        <v>91</v>
      </c>
      <c r="I98" s="451">
        <f t="shared" si="14"/>
        <v>55</v>
      </c>
      <c r="J98" s="340">
        <f t="shared" si="15"/>
        <v>0.15277777777777779</v>
      </c>
      <c r="K98" s="341">
        <f t="shared" si="16"/>
        <v>13.902777777777779</v>
      </c>
      <c r="L98" s="333">
        <f t="shared" si="17"/>
        <v>2037.75</v>
      </c>
      <c r="M98" s="342">
        <f t="shared" si="18"/>
        <v>2038</v>
      </c>
      <c r="N98" s="343">
        <f t="shared" si="19"/>
        <v>13.902777777777777</v>
      </c>
      <c r="O98" s="343"/>
      <c r="P98" s="343">
        <f t="shared" si="20"/>
        <v>0</v>
      </c>
      <c r="Q98" s="344"/>
      <c r="R98" s="343">
        <f t="shared" si="21"/>
        <v>91.000000000000114</v>
      </c>
      <c r="S98" s="343">
        <f t="shared" si="22"/>
        <v>-1.1368683772161603E-13</v>
      </c>
      <c r="T98" s="343"/>
      <c r="U98" s="343">
        <f t="shared" ca="1" si="12"/>
        <v>1.0000000000000002</v>
      </c>
      <c r="V98" s="345">
        <f t="shared" si="23"/>
        <v>22.392857142857142</v>
      </c>
      <c r="W98" s="186"/>
      <c r="X98" s="349" t="s">
        <v>567</v>
      </c>
      <c r="Y98" s="353" t="str">
        <f>Txt2Kon_1($X$72)&amp;Txt2Kon_1($X$73)&amp;Txt2Kon_1($X$74)&amp;Txt2Kon_1($X$75)&amp;Txt2Kon_1($X$76)&amp;Txt2Kon_1($X$77)&amp;Txt2Kon_1($X$78)&amp;Txt2Kon_1($X$79)&amp;Txt2Kon_1($X$80)&amp;Txt2Kon_1($X$81)&amp;Txt2Kon_1($X$82)&amp;Txt2Kon_1($X$83)&amp;Txt2Kon_1($X$84)</f>
        <v xml:space="preserve">0.0     604.0     604.1     604.2     604.3     604.4     604.5     604.6     604.7     604.8     604.9     605.0     605.1     </v>
      </c>
      <c r="Z98" s="353"/>
      <c r="AA98" s="353"/>
      <c r="AB98" s="353"/>
      <c r="AC98" s="353"/>
      <c r="AD98" s="353"/>
    </row>
    <row r="99" spans="2:30" x14ac:dyDescent="0.3">
      <c r="B99" s="246">
        <v>92</v>
      </c>
      <c r="C99" s="437">
        <f>B99*MechanicalData!$B$22/360</f>
        <v>14.055555555555555</v>
      </c>
      <c r="D99" s="437">
        <f>MechanicalData!$B$22</f>
        <v>55</v>
      </c>
      <c r="E99" s="248">
        <v>92</v>
      </c>
      <c r="F99" s="453">
        <v>15.891999999999999</v>
      </c>
      <c r="G99" s="437">
        <v>69.313999999999993</v>
      </c>
      <c r="H99" s="339">
        <f t="shared" si="13"/>
        <v>92</v>
      </c>
      <c r="I99" s="451">
        <f t="shared" si="14"/>
        <v>55</v>
      </c>
      <c r="J99" s="340">
        <f t="shared" si="15"/>
        <v>0.15277777777777779</v>
      </c>
      <c r="K99" s="341">
        <f t="shared" si="16"/>
        <v>14.055555555555555</v>
      </c>
      <c r="L99" s="333">
        <f t="shared" si="17"/>
        <v>2060.1428571428569</v>
      </c>
      <c r="M99" s="342">
        <f t="shared" si="18"/>
        <v>2060</v>
      </c>
      <c r="N99" s="343">
        <f t="shared" si="19"/>
        <v>14.055555555555554</v>
      </c>
      <c r="O99" s="343"/>
      <c r="P99" s="343">
        <f t="shared" si="20"/>
        <v>0</v>
      </c>
      <c r="Q99" s="344"/>
      <c r="R99" s="343">
        <f t="shared" si="21"/>
        <v>92.000000000000099</v>
      </c>
      <c r="S99" s="343">
        <f t="shared" si="22"/>
        <v>0</v>
      </c>
      <c r="T99" s="343"/>
      <c r="U99" s="343">
        <f t="shared" ca="1" si="12"/>
        <v>1.0000000000000002</v>
      </c>
      <c r="V99" s="345">
        <f t="shared" si="23"/>
        <v>22.392857142857142</v>
      </c>
      <c r="W99" s="186"/>
      <c r="X99" s="349" t="s">
        <v>512</v>
      </c>
      <c r="Y99" s="602" t="str">
        <f>Txt2Kon_4($Y$72)&amp;Txt2Kon_4($Y$73)&amp;Txt2Kon_4($Y$74)&amp;Txt2Kon_4($Y$75)&amp;Txt2Kon_4($Y$76)&amp;Txt2Kon_4($Y$77)&amp;Txt2Kon_4($Y$78)&amp;Txt2Kon_4($Y$79)&amp;Txt2Kon_4($Y$80)&amp;Txt2Kon_4($Y$81)&amp;Txt2Kon_4($Y$82)&amp;Txt2Kon_4($Y$83)&amp;Txt2Kon_4($Y$84)</f>
        <v xml:space="preserve">1.0000     1.0000     1.0000     1.0000     1.0000     1.0000     1.0000     1.0000     1.0000     1.0000     1.0000     1.0000     1.0000     </v>
      </c>
      <c r="Z99" s="602"/>
      <c r="AA99" s="602"/>
      <c r="AB99" s="602"/>
      <c r="AC99" s="602"/>
      <c r="AD99" s="602"/>
    </row>
    <row r="100" spans="2:30" x14ac:dyDescent="0.3">
      <c r="B100" s="246">
        <v>93</v>
      </c>
      <c r="C100" s="437">
        <f>B100*MechanicalData!$B$22/360</f>
        <v>14.208333333333334</v>
      </c>
      <c r="D100" s="437">
        <f>MechanicalData!$B$22</f>
        <v>55</v>
      </c>
      <c r="E100" s="248">
        <v>93</v>
      </c>
      <c r="F100" s="453">
        <v>16.085000000000001</v>
      </c>
      <c r="G100" s="437">
        <v>69.412999999999997</v>
      </c>
      <c r="H100" s="339">
        <f t="shared" si="13"/>
        <v>93</v>
      </c>
      <c r="I100" s="451">
        <f t="shared" si="14"/>
        <v>55</v>
      </c>
      <c r="J100" s="340">
        <f t="shared" si="15"/>
        <v>0.15277777777777779</v>
      </c>
      <c r="K100" s="341">
        <f t="shared" si="16"/>
        <v>14.208333333333334</v>
      </c>
      <c r="L100" s="333">
        <f t="shared" si="17"/>
        <v>2082.5357142857142</v>
      </c>
      <c r="M100" s="342">
        <f t="shared" si="18"/>
        <v>2083</v>
      </c>
      <c r="N100" s="343">
        <f t="shared" si="19"/>
        <v>14.208333333333332</v>
      </c>
      <c r="O100" s="343"/>
      <c r="P100" s="343">
        <f t="shared" si="20"/>
        <v>0</v>
      </c>
      <c r="Q100" s="344"/>
      <c r="R100" s="343">
        <f t="shared" si="21"/>
        <v>93.000000000000114</v>
      </c>
      <c r="S100" s="343">
        <f t="shared" si="22"/>
        <v>-1.1368683772161603E-13</v>
      </c>
      <c r="T100" s="343"/>
      <c r="U100" s="343">
        <f t="shared" ca="1" si="12"/>
        <v>1.0000000000000002</v>
      </c>
      <c r="V100" s="345">
        <f t="shared" si="23"/>
        <v>22.392857142857142</v>
      </c>
      <c r="W100" s="186"/>
      <c r="X100" s="207"/>
    </row>
    <row r="101" spans="2:30" x14ac:dyDescent="0.3">
      <c r="B101" s="246">
        <v>94</v>
      </c>
      <c r="C101" s="437">
        <f>B101*MechanicalData!$B$22/360</f>
        <v>14.361111111111111</v>
      </c>
      <c r="D101" s="437">
        <f>MechanicalData!$B$22</f>
        <v>55</v>
      </c>
      <c r="E101" s="248">
        <v>94</v>
      </c>
      <c r="F101" s="453">
        <v>16.277999999999999</v>
      </c>
      <c r="G101" s="437">
        <v>69.504999999999995</v>
      </c>
      <c r="H101" s="339">
        <f t="shared" si="13"/>
        <v>94</v>
      </c>
      <c r="I101" s="451">
        <f t="shared" si="14"/>
        <v>55</v>
      </c>
      <c r="J101" s="340">
        <f t="shared" si="15"/>
        <v>0.15277777777777779</v>
      </c>
      <c r="K101" s="341">
        <f t="shared" si="16"/>
        <v>14.361111111111111</v>
      </c>
      <c r="L101" s="333">
        <f t="shared" si="17"/>
        <v>2104.9285714285711</v>
      </c>
      <c r="M101" s="342">
        <f t="shared" si="18"/>
        <v>2105</v>
      </c>
      <c r="N101" s="343">
        <f t="shared" si="19"/>
        <v>14.361111111111107</v>
      </c>
      <c r="O101" s="343"/>
      <c r="P101" s="343">
        <f t="shared" si="20"/>
        <v>0</v>
      </c>
      <c r="Q101" s="344"/>
      <c r="R101" s="343">
        <f t="shared" si="21"/>
        <v>94.000000000000114</v>
      </c>
      <c r="S101" s="343">
        <f t="shared" si="22"/>
        <v>-1.1368683772161603E-13</v>
      </c>
      <c r="T101" s="343"/>
      <c r="U101" s="343">
        <f t="shared" ca="1" si="12"/>
        <v>1.0000000000000002</v>
      </c>
      <c r="V101" s="345">
        <f t="shared" si="23"/>
        <v>22.392857142857142</v>
      </c>
      <c r="W101" s="186"/>
      <c r="X101" s="207"/>
    </row>
    <row r="102" spans="2:30" s="229" customFormat="1" x14ac:dyDescent="0.3">
      <c r="B102" s="246">
        <v>95</v>
      </c>
      <c r="C102" s="437">
        <f>B102*MechanicalData!$B$22/360</f>
        <v>14.513888888888889</v>
      </c>
      <c r="D102" s="437">
        <f>MechanicalData!$B$22</f>
        <v>55</v>
      </c>
      <c r="E102" s="248">
        <v>95</v>
      </c>
      <c r="F102" s="453">
        <v>16.471</v>
      </c>
      <c r="G102" s="437">
        <v>69.588999999999999</v>
      </c>
      <c r="H102" s="339">
        <f t="shared" si="13"/>
        <v>95</v>
      </c>
      <c r="I102" s="451">
        <f t="shared" si="14"/>
        <v>55</v>
      </c>
      <c r="J102" s="340">
        <f t="shared" si="15"/>
        <v>0.15277777777777779</v>
      </c>
      <c r="K102" s="341">
        <f t="shared" si="16"/>
        <v>14.513888888888889</v>
      </c>
      <c r="L102" s="333">
        <f t="shared" si="17"/>
        <v>2127.3214285714284</v>
      </c>
      <c r="M102" s="342">
        <f t="shared" si="18"/>
        <v>2127</v>
      </c>
      <c r="N102" s="343">
        <f t="shared" si="19"/>
        <v>14.513888888888888</v>
      </c>
      <c r="O102" s="343"/>
      <c r="P102" s="343">
        <f t="shared" si="20"/>
        <v>0</v>
      </c>
      <c r="Q102" s="344"/>
      <c r="R102" s="343">
        <f t="shared" si="21"/>
        <v>95.000000000000114</v>
      </c>
      <c r="S102" s="343">
        <f t="shared" si="22"/>
        <v>-1.1368683772161603E-13</v>
      </c>
      <c r="T102" s="343"/>
      <c r="U102" s="343">
        <f t="shared" ca="1" si="12"/>
        <v>1.0000000000000002</v>
      </c>
      <c r="V102" s="345">
        <f t="shared" si="23"/>
        <v>22.392857142857142</v>
      </c>
      <c r="W102" s="227"/>
      <c r="X102" s="228"/>
    </row>
    <row r="103" spans="2:30" x14ac:dyDescent="0.3">
      <c r="B103" s="246">
        <v>96</v>
      </c>
      <c r="C103" s="437">
        <f>B103*MechanicalData!$B$22/360</f>
        <v>14.666666666666666</v>
      </c>
      <c r="D103" s="437">
        <f>MechanicalData!$B$22</f>
        <v>55</v>
      </c>
      <c r="E103" s="248">
        <v>96</v>
      </c>
      <c r="F103" s="453">
        <v>16.664000000000001</v>
      </c>
      <c r="G103" s="437">
        <v>69.665999999999997</v>
      </c>
      <c r="H103" s="339">
        <f t="shared" si="13"/>
        <v>96</v>
      </c>
      <c r="I103" s="451">
        <f t="shared" si="14"/>
        <v>55</v>
      </c>
      <c r="J103" s="340">
        <f t="shared" si="15"/>
        <v>0.15277777777777779</v>
      </c>
      <c r="K103" s="341">
        <f t="shared" si="16"/>
        <v>14.666666666666666</v>
      </c>
      <c r="L103" s="333">
        <f t="shared" si="17"/>
        <v>2149.7142857142853</v>
      </c>
      <c r="M103" s="342">
        <f t="shared" si="18"/>
        <v>2150</v>
      </c>
      <c r="N103" s="343">
        <f t="shared" si="19"/>
        <v>14.666666666666663</v>
      </c>
      <c r="O103" s="343"/>
      <c r="P103" s="343">
        <f t="shared" si="20"/>
        <v>0</v>
      </c>
      <c r="Q103" s="344"/>
      <c r="R103" s="343">
        <f t="shared" si="21"/>
        <v>96.000000000000114</v>
      </c>
      <c r="S103" s="343">
        <f t="shared" si="22"/>
        <v>-1.1368683772161603E-13</v>
      </c>
      <c r="T103" s="343"/>
      <c r="U103" s="343">
        <f t="shared" ca="1" si="12"/>
        <v>1.0000000000000002</v>
      </c>
      <c r="V103" s="345">
        <f t="shared" si="23"/>
        <v>22.392857142857142</v>
      </c>
      <c r="W103" s="186"/>
      <c r="X103" s="207"/>
    </row>
    <row r="104" spans="2:30" x14ac:dyDescent="0.3">
      <c r="B104" s="246">
        <v>97</v>
      </c>
      <c r="C104" s="437">
        <f>B104*MechanicalData!$B$22/360</f>
        <v>14.819444444444445</v>
      </c>
      <c r="D104" s="437">
        <f>MechanicalData!$B$22</f>
        <v>55</v>
      </c>
      <c r="E104" s="248">
        <v>97</v>
      </c>
      <c r="F104" s="453">
        <v>16.858000000000001</v>
      </c>
      <c r="G104" s="437">
        <v>69.734999999999999</v>
      </c>
      <c r="H104" s="339">
        <f t="shared" si="13"/>
        <v>97</v>
      </c>
      <c r="I104" s="451">
        <f t="shared" si="14"/>
        <v>55</v>
      </c>
      <c r="J104" s="340">
        <f t="shared" si="15"/>
        <v>0.15277777777777779</v>
      </c>
      <c r="K104" s="341">
        <f t="shared" si="16"/>
        <v>14.819444444444445</v>
      </c>
      <c r="L104" s="333">
        <f t="shared" si="17"/>
        <v>2172.1071428571427</v>
      </c>
      <c r="M104" s="342">
        <f t="shared" si="18"/>
        <v>2172</v>
      </c>
      <c r="N104" s="343">
        <f t="shared" si="19"/>
        <v>14.819444444444441</v>
      </c>
      <c r="O104" s="343"/>
      <c r="P104" s="343">
        <f t="shared" si="20"/>
        <v>0</v>
      </c>
      <c r="Q104" s="344"/>
      <c r="R104" s="343">
        <f t="shared" si="21"/>
        <v>97.000000000000099</v>
      </c>
      <c r="S104" s="343">
        <f t="shared" si="22"/>
        <v>0</v>
      </c>
      <c r="T104" s="343"/>
      <c r="U104" s="343">
        <f t="shared" ca="1" si="12"/>
        <v>1.0000000000000002</v>
      </c>
      <c r="V104" s="345">
        <f t="shared" si="23"/>
        <v>22.392857142857142</v>
      </c>
      <c r="W104" s="186"/>
      <c r="X104" s="207"/>
    </row>
    <row r="105" spans="2:30" x14ac:dyDescent="0.3">
      <c r="B105" s="246">
        <v>98</v>
      </c>
      <c r="C105" s="437">
        <f>B105*MechanicalData!$B$22/360</f>
        <v>14.972222222222221</v>
      </c>
      <c r="D105" s="437">
        <f>MechanicalData!$B$22</f>
        <v>55</v>
      </c>
      <c r="E105" s="248">
        <v>98</v>
      </c>
      <c r="F105" s="453">
        <v>17.052</v>
      </c>
      <c r="G105" s="437">
        <v>69.796000000000006</v>
      </c>
      <c r="H105" s="339">
        <f t="shared" si="13"/>
        <v>98</v>
      </c>
      <c r="I105" s="451">
        <f t="shared" si="14"/>
        <v>55</v>
      </c>
      <c r="J105" s="340">
        <f t="shared" si="15"/>
        <v>0.15277777777777779</v>
      </c>
      <c r="K105" s="341">
        <f t="shared" si="16"/>
        <v>14.972222222222221</v>
      </c>
      <c r="L105" s="333">
        <f t="shared" si="17"/>
        <v>2194.5</v>
      </c>
      <c r="M105" s="342">
        <f t="shared" si="18"/>
        <v>2195</v>
      </c>
      <c r="N105" s="343">
        <f t="shared" si="19"/>
        <v>14.972222222222221</v>
      </c>
      <c r="O105" s="343"/>
      <c r="P105" s="343">
        <f t="shared" si="20"/>
        <v>0</v>
      </c>
      <c r="Q105" s="344"/>
      <c r="R105" s="343">
        <f t="shared" si="21"/>
        <v>98.000000000000128</v>
      </c>
      <c r="S105" s="343">
        <f t="shared" si="22"/>
        <v>-1.2789769243681803E-13</v>
      </c>
      <c r="T105" s="343"/>
      <c r="U105" s="343">
        <f t="shared" ca="1" si="12"/>
        <v>1.0000000000000002</v>
      </c>
      <c r="V105" s="345">
        <f t="shared" si="23"/>
        <v>22.392857142857142</v>
      </c>
      <c r="W105" s="186"/>
      <c r="X105" s="207"/>
    </row>
    <row r="106" spans="2:30" x14ac:dyDescent="0.3">
      <c r="B106" s="246">
        <v>99</v>
      </c>
      <c r="C106" s="437">
        <f>B106*MechanicalData!$B$22/360</f>
        <v>15.125</v>
      </c>
      <c r="D106" s="437">
        <f>MechanicalData!$B$22</f>
        <v>55</v>
      </c>
      <c r="E106" s="248">
        <v>99</v>
      </c>
      <c r="F106" s="453">
        <v>17.245999999999999</v>
      </c>
      <c r="G106" s="437">
        <v>69.849000000000004</v>
      </c>
      <c r="H106" s="339">
        <f t="shared" si="13"/>
        <v>99</v>
      </c>
      <c r="I106" s="451">
        <f t="shared" si="14"/>
        <v>55</v>
      </c>
      <c r="J106" s="340">
        <f t="shared" si="15"/>
        <v>0.15277777777777779</v>
      </c>
      <c r="K106" s="341">
        <f t="shared" si="16"/>
        <v>15.125</v>
      </c>
      <c r="L106" s="333">
        <f t="shared" si="17"/>
        <v>2216.8928571428569</v>
      </c>
      <c r="M106" s="342">
        <f t="shared" si="18"/>
        <v>2217</v>
      </c>
      <c r="N106" s="343">
        <f t="shared" si="19"/>
        <v>15.124999999999996</v>
      </c>
      <c r="O106" s="343"/>
      <c r="P106" s="343">
        <f t="shared" si="20"/>
        <v>0</v>
      </c>
      <c r="Q106" s="344"/>
      <c r="R106" s="343">
        <f t="shared" si="21"/>
        <v>99.000000000000099</v>
      </c>
      <c r="S106" s="343">
        <f t="shared" si="22"/>
        <v>0</v>
      </c>
      <c r="T106" s="343"/>
      <c r="U106" s="343">
        <f t="shared" ca="1" si="12"/>
        <v>1.0000000000000002</v>
      </c>
      <c r="V106" s="345">
        <f t="shared" si="23"/>
        <v>22.392857142857142</v>
      </c>
      <c r="W106" s="186"/>
      <c r="X106" s="207"/>
    </row>
    <row r="107" spans="2:30" x14ac:dyDescent="0.3">
      <c r="B107" s="246">
        <v>100</v>
      </c>
      <c r="C107" s="437">
        <f>B107*MechanicalData!$B$22/360</f>
        <v>15.277777777777779</v>
      </c>
      <c r="D107" s="437">
        <f>MechanicalData!$B$22</f>
        <v>55</v>
      </c>
      <c r="E107" s="248">
        <v>100</v>
      </c>
      <c r="F107" s="453">
        <v>17.440000000000001</v>
      </c>
      <c r="G107" s="437">
        <v>69.894000000000005</v>
      </c>
      <c r="H107" s="339">
        <f t="shared" si="13"/>
        <v>100</v>
      </c>
      <c r="I107" s="451">
        <f t="shared" si="14"/>
        <v>55</v>
      </c>
      <c r="J107" s="340">
        <f t="shared" si="15"/>
        <v>0.15277777777777779</v>
      </c>
      <c r="K107" s="341">
        <f t="shared" si="16"/>
        <v>15.277777777777779</v>
      </c>
      <c r="L107" s="333">
        <f t="shared" si="17"/>
        <v>2239.2857142857142</v>
      </c>
      <c r="M107" s="342">
        <f t="shared" si="18"/>
        <v>2239</v>
      </c>
      <c r="N107" s="343">
        <f t="shared" si="19"/>
        <v>15.277777777777775</v>
      </c>
      <c r="O107" s="343"/>
      <c r="P107" s="343">
        <f t="shared" si="20"/>
        <v>0</v>
      </c>
      <c r="Q107" s="344"/>
      <c r="R107" s="343">
        <f t="shared" si="21"/>
        <v>100.00000000000011</v>
      </c>
      <c r="S107" s="343">
        <f t="shared" si="22"/>
        <v>-1.1368683772161603E-13</v>
      </c>
      <c r="T107" s="343"/>
      <c r="U107" s="343">
        <f t="shared" ca="1" si="12"/>
        <v>1.0000000000000002</v>
      </c>
      <c r="V107" s="345">
        <f t="shared" si="23"/>
        <v>22.392857142857142</v>
      </c>
      <c r="W107" s="186"/>
      <c r="X107" s="207"/>
    </row>
    <row r="108" spans="2:30" x14ac:dyDescent="0.3">
      <c r="B108" s="246">
        <v>101</v>
      </c>
      <c r="C108" s="437">
        <f>B108*MechanicalData!$B$22/360</f>
        <v>15.430555555555555</v>
      </c>
      <c r="D108" s="437">
        <f>MechanicalData!$B$22</f>
        <v>55</v>
      </c>
      <c r="E108" s="248">
        <v>101</v>
      </c>
      <c r="F108" s="453">
        <v>17.634</v>
      </c>
      <c r="G108" s="437">
        <v>69.930999999999997</v>
      </c>
      <c r="H108" s="339">
        <f t="shared" si="13"/>
        <v>101</v>
      </c>
      <c r="I108" s="451">
        <f t="shared" si="14"/>
        <v>55</v>
      </c>
      <c r="J108" s="340">
        <f t="shared" si="15"/>
        <v>0.15277777777777779</v>
      </c>
      <c r="K108" s="341">
        <f t="shared" si="16"/>
        <v>15.430555555555555</v>
      </c>
      <c r="L108" s="333">
        <f t="shared" si="17"/>
        <v>2261.6785714285711</v>
      </c>
      <c r="M108" s="342">
        <f t="shared" si="18"/>
        <v>2262</v>
      </c>
      <c r="N108" s="343">
        <f t="shared" si="19"/>
        <v>15.430555555555552</v>
      </c>
      <c r="O108" s="343"/>
      <c r="P108" s="343">
        <f t="shared" si="20"/>
        <v>0</v>
      </c>
      <c r="Q108" s="344"/>
      <c r="R108" s="343">
        <f t="shared" si="21"/>
        <v>101.00000000000011</v>
      </c>
      <c r="S108" s="343">
        <f t="shared" si="22"/>
        <v>-1.1368683772161603E-13</v>
      </c>
      <c r="T108" s="343"/>
      <c r="U108" s="343">
        <f t="shared" ca="1" si="12"/>
        <v>1.0000000000000002</v>
      </c>
      <c r="V108" s="345">
        <f t="shared" si="23"/>
        <v>22.392857142857142</v>
      </c>
      <c r="W108" s="186"/>
      <c r="X108" s="207"/>
    </row>
    <row r="109" spans="2:30" ht="12.75" customHeight="1" x14ac:dyDescent="0.3">
      <c r="B109" s="246">
        <v>102</v>
      </c>
      <c r="C109" s="437">
        <f>B109*MechanicalData!$B$22/360</f>
        <v>15.583333333333334</v>
      </c>
      <c r="D109" s="437">
        <f>MechanicalData!$B$22</f>
        <v>55</v>
      </c>
      <c r="E109" s="248">
        <v>102</v>
      </c>
      <c r="F109" s="453">
        <v>17.827999999999999</v>
      </c>
      <c r="G109" s="437">
        <v>69.959999999999994</v>
      </c>
      <c r="H109" s="339">
        <f t="shared" si="13"/>
        <v>102</v>
      </c>
      <c r="I109" s="451">
        <f t="shared" si="14"/>
        <v>55</v>
      </c>
      <c r="J109" s="340">
        <f t="shared" si="15"/>
        <v>0.15277777777777779</v>
      </c>
      <c r="K109" s="341">
        <f t="shared" si="16"/>
        <v>15.583333333333334</v>
      </c>
      <c r="L109" s="333">
        <f t="shared" si="17"/>
        <v>2284.0714285714289</v>
      </c>
      <c r="M109" s="342">
        <f t="shared" si="18"/>
        <v>2284</v>
      </c>
      <c r="N109" s="343">
        <f t="shared" si="19"/>
        <v>15.583333333333336</v>
      </c>
      <c r="O109" s="343"/>
      <c r="P109" s="343">
        <f t="shared" si="20"/>
        <v>0</v>
      </c>
      <c r="Q109" s="344"/>
      <c r="R109" s="343">
        <f t="shared" si="21"/>
        <v>102.00000000000013</v>
      </c>
      <c r="S109" s="343">
        <f t="shared" si="22"/>
        <v>-1.2789769243681803E-13</v>
      </c>
      <c r="T109" s="343"/>
      <c r="U109" s="343">
        <f t="shared" ca="1" si="12"/>
        <v>1.0000000000000002</v>
      </c>
      <c r="V109" s="345">
        <f t="shared" si="23"/>
        <v>22.392857142857142</v>
      </c>
      <c r="W109" s="186"/>
      <c r="X109" s="207"/>
    </row>
    <row r="110" spans="2:30" ht="12.75" customHeight="1" x14ac:dyDescent="0.3">
      <c r="B110" s="246">
        <v>103</v>
      </c>
      <c r="C110" s="437">
        <f>B110*MechanicalData!$B$22/360</f>
        <v>15.736111111111111</v>
      </c>
      <c r="D110" s="437">
        <f>MechanicalData!$B$22</f>
        <v>55</v>
      </c>
      <c r="E110" s="248">
        <v>103</v>
      </c>
      <c r="F110" s="453">
        <v>18.023</v>
      </c>
      <c r="G110" s="437">
        <v>69.980999999999995</v>
      </c>
      <c r="H110" s="339">
        <f t="shared" si="13"/>
        <v>103</v>
      </c>
      <c r="I110" s="451">
        <f t="shared" si="14"/>
        <v>55</v>
      </c>
      <c r="J110" s="340">
        <f t="shared" si="15"/>
        <v>0.15277777777777779</v>
      </c>
      <c r="K110" s="341">
        <f t="shared" si="16"/>
        <v>15.736111111111111</v>
      </c>
      <c r="L110" s="333">
        <f t="shared" si="17"/>
        <v>2306.4642857142853</v>
      </c>
      <c r="M110" s="342">
        <f t="shared" si="18"/>
        <v>2306</v>
      </c>
      <c r="N110" s="343">
        <f t="shared" si="19"/>
        <v>15.736111111111107</v>
      </c>
      <c r="O110" s="343"/>
      <c r="P110" s="343">
        <f t="shared" si="20"/>
        <v>0</v>
      </c>
      <c r="Q110" s="344"/>
      <c r="R110" s="343">
        <f t="shared" si="21"/>
        <v>103.00000000000011</v>
      </c>
      <c r="S110" s="343">
        <f t="shared" si="22"/>
        <v>-1.1368683772161603E-13</v>
      </c>
      <c r="T110" s="343"/>
      <c r="U110" s="343">
        <f t="shared" ca="1" si="12"/>
        <v>1.0000000000000002</v>
      </c>
      <c r="V110" s="345">
        <f t="shared" si="23"/>
        <v>22.392857142857142</v>
      </c>
      <c r="W110" s="186"/>
      <c r="X110" s="207"/>
    </row>
    <row r="111" spans="2:30" ht="12.75" customHeight="1" x14ac:dyDescent="0.3">
      <c r="B111" s="246">
        <v>104</v>
      </c>
      <c r="C111" s="437">
        <f>B111*MechanicalData!$B$22/360</f>
        <v>15.888888888888889</v>
      </c>
      <c r="D111" s="437">
        <f>MechanicalData!$B$22</f>
        <v>55</v>
      </c>
      <c r="E111" s="248">
        <v>104</v>
      </c>
      <c r="F111" s="453">
        <v>18.216999999999999</v>
      </c>
      <c r="G111" s="437">
        <v>69.992999999999995</v>
      </c>
      <c r="H111" s="339">
        <f t="shared" si="13"/>
        <v>104</v>
      </c>
      <c r="I111" s="451">
        <f t="shared" si="14"/>
        <v>55</v>
      </c>
      <c r="J111" s="340">
        <f t="shared" si="15"/>
        <v>0.15277777777777779</v>
      </c>
      <c r="K111" s="341">
        <f t="shared" si="16"/>
        <v>15.888888888888889</v>
      </c>
      <c r="L111" s="333">
        <f t="shared" si="17"/>
        <v>2328.8571428571431</v>
      </c>
      <c r="M111" s="342">
        <f t="shared" si="18"/>
        <v>2329</v>
      </c>
      <c r="N111" s="343">
        <f t="shared" si="19"/>
        <v>15.888888888888891</v>
      </c>
      <c r="O111" s="343"/>
      <c r="P111" s="343">
        <f t="shared" si="20"/>
        <v>0</v>
      </c>
      <c r="Q111" s="344"/>
      <c r="R111" s="343">
        <f t="shared" si="21"/>
        <v>104.00000000000016</v>
      </c>
      <c r="S111" s="343">
        <f t="shared" si="22"/>
        <v>-1.5631940186722204E-13</v>
      </c>
      <c r="T111" s="343"/>
      <c r="U111" s="343">
        <f t="shared" ca="1" si="12"/>
        <v>1.0000000000000002</v>
      </c>
      <c r="V111" s="345">
        <f t="shared" si="23"/>
        <v>22.392857142857142</v>
      </c>
      <c r="W111" s="186"/>
      <c r="X111" s="207"/>
    </row>
    <row r="112" spans="2:30" ht="12.75" customHeight="1" x14ac:dyDescent="0.3">
      <c r="B112" s="246">
        <v>105</v>
      </c>
      <c r="C112" s="437">
        <f>B112*MechanicalData!$B$22/360</f>
        <v>16.041666666666668</v>
      </c>
      <c r="D112" s="437">
        <f>MechanicalData!$B$22</f>
        <v>55</v>
      </c>
      <c r="E112" s="248">
        <v>105</v>
      </c>
      <c r="F112" s="453">
        <v>18.411999999999999</v>
      </c>
      <c r="G112" s="437">
        <v>69.998000000000005</v>
      </c>
      <c r="H112" s="339">
        <f t="shared" si="13"/>
        <v>105</v>
      </c>
      <c r="I112" s="451">
        <f t="shared" si="14"/>
        <v>55</v>
      </c>
      <c r="J112" s="340">
        <f t="shared" si="15"/>
        <v>0.15277777777777779</v>
      </c>
      <c r="K112" s="341">
        <f t="shared" si="16"/>
        <v>16.041666666666668</v>
      </c>
      <c r="L112" s="333">
        <f t="shared" si="17"/>
        <v>2351.25</v>
      </c>
      <c r="M112" s="342">
        <f t="shared" si="18"/>
        <v>2351</v>
      </c>
      <c r="N112" s="343">
        <f t="shared" si="19"/>
        <v>16.041666666666664</v>
      </c>
      <c r="O112" s="343"/>
      <c r="P112" s="343">
        <f t="shared" si="20"/>
        <v>0</v>
      </c>
      <c r="Q112" s="344"/>
      <c r="R112" s="343">
        <f t="shared" si="21"/>
        <v>105.00000000000013</v>
      </c>
      <c r="S112" s="343">
        <f t="shared" si="22"/>
        <v>-1.2789769243681803E-13</v>
      </c>
      <c r="T112" s="343"/>
      <c r="U112" s="343">
        <f t="shared" ca="1" si="12"/>
        <v>1.0000000000000002</v>
      </c>
      <c r="V112" s="345">
        <f t="shared" si="23"/>
        <v>22.392857142857142</v>
      </c>
      <c r="W112" s="186"/>
      <c r="X112" s="207"/>
    </row>
    <row r="113" spans="2:24" ht="12.75" customHeight="1" x14ac:dyDescent="0.3">
      <c r="B113" s="246">
        <v>106</v>
      </c>
      <c r="C113" s="437">
        <f>B113*MechanicalData!$B$22/360</f>
        <v>16.194444444444443</v>
      </c>
      <c r="D113" s="437">
        <f>MechanicalData!$B$22</f>
        <v>55</v>
      </c>
      <c r="E113" s="248">
        <v>106</v>
      </c>
      <c r="F113" s="453">
        <v>18.606000000000002</v>
      </c>
      <c r="G113" s="437">
        <v>69.998000000000005</v>
      </c>
      <c r="H113" s="339">
        <f t="shared" si="13"/>
        <v>106</v>
      </c>
      <c r="I113" s="451">
        <f t="shared" si="14"/>
        <v>55</v>
      </c>
      <c r="J113" s="340">
        <f t="shared" si="15"/>
        <v>0.15277777777777779</v>
      </c>
      <c r="K113" s="341">
        <f t="shared" si="16"/>
        <v>16.194444444444443</v>
      </c>
      <c r="L113" s="333">
        <f t="shared" si="17"/>
        <v>2373.6428571428569</v>
      </c>
      <c r="M113" s="342">
        <f t="shared" si="18"/>
        <v>2374</v>
      </c>
      <c r="N113" s="343">
        <f t="shared" si="19"/>
        <v>16.194444444444443</v>
      </c>
      <c r="O113" s="343"/>
      <c r="P113" s="343">
        <f t="shared" si="20"/>
        <v>0</v>
      </c>
      <c r="Q113" s="344"/>
      <c r="R113" s="343">
        <f t="shared" si="21"/>
        <v>106.00000000000011</v>
      </c>
      <c r="S113" s="343">
        <f t="shared" si="22"/>
        <v>-1.1368683772161603E-13</v>
      </c>
      <c r="T113" s="343"/>
      <c r="U113" s="343">
        <f t="shared" ca="1" si="12"/>
        <v>1.0000000000000002</v>
      </c>
      <c r="V113" s="345">
        <f t="shared" si="23"/>
        <v>22.392857142857142</v>
      </c>
      <c r="W113" s="186"/>
      <c r="X113" s="207"/>
    </row>
    <row r="114" spans="2:24" ht="12.75" customHeight="1" x14ac:dyDescent="0.3">
      <c r="B114" s="246">
        <v>107</v>
      </c>
      <c r="C114" s="437">
        <f>B114*MechanicalData!$B$22/360</f>
        <v>16.347222222222221</v>
      </c>
      <c r="D114" s="437">
        <f>MechanicalData!$B$22</f>
        <v>55</v>
      </c>
      <c r="E114" s="248">
        <v>107</v>
      </c>
      <c r="F114" s="453">
        <v>18.8</v>
      </c>
      <c r="G114" s="437">
        <v>69.998000000000005</v>
      </c>
      <c r="H114" s="339">
        <f t="shared" si="13"/>
        <v>107</v>
      </c>
      <c r="I114" s="451">
        <f t="shared" si="14"/>
        <v>55</v>
      </c>
      <c r="J114" s="340">
        <f t="shared" si="15"/>
        <v>0.15277777777777779</v>
      </c>
      <c r="K114" s="341">
        <f t="shared" si="16"/>
        <v>16.347222222222221</v>
      </c>
      <c r="L114" s="333">
        <f t="shared" si="17"/>
        <v>2396.0357142857142</v>
      </c>
      <c r="M114" s="342">
        <f t="shared" si="18"/>
        <v>2396</v>
      </c>
      <c r="N114" s="343">
        <f t="shared" si="19"/>
        <v>16.347222222222221</v>
      </c>
      <c r="O114" s="343"/>
      <c r="P114" s="343">
        <f t="shared" si="20"/>
        <v>0</v>
      </c>
      <c r="Q114" s="344"/>
      <c r="R114" s="343">
        <f t="shared" si="21"/>
        <v>107.00000000000013</v>
      </c>
      <c r="S114" s="343">
        <f t="shared" si="22"/>
        <v>-1.2789769243681803E-13</v>
      </c>
      <c r="T114" s="343"/>
      <c r="U114" s="343">
        <f t="shared" ca="1" si="12"/>
        <v>1.0000000000000002</v>
      </c>
      <c r="V114" s="345">
        <f t="shared" si="23"/>
        <v>22.392857142857142</v>
      </c>
      <c r="W114" s="186"/>
      <c r="X114" s="207"/>
    </row>
    <row r="115" spans="2:24" ht="12.75" customHeight="1" x14ac:dyDescent="0.3">
      <c r="B115" s="246">
        <v>108</v>
      </c>
      <c r="C115" s="437">
        <f>B115*MechanicalData!$B$22/360</f>
        <v>16.5</v>
      </c>
      <c r="D115" s="437">
        <f>MechanicalData!$B$22</f>
        <v>55</v>
      </c>
      <c r="E115" s="248">
        <v>108</v>
      </c>
      <c r="F115" s="453">
        <v>18.995000000000001</v>
      </c>
      <c r="G115" s="437">
        <v>69.998000000000005</v>
      </c>
      <c r="H115" s="339">
        <f t="shared" si="13"/>
        <v>108</v>
      </c>
      <c r="I115" s="451">
        <f t="shared" si="14"/>
        <v>55</v>
      </c>
      <c r="J115" s="340">
        <f t="shared" si="15"/>
        <v>0.15277777777777779</v>
      </c>
      <c r="K115" s="341">
        <f t="shared" si="16"/>
        <v>16.5</v>
      </c>
      <c r="L115" s="333">
        <f t="shared" si="17"/>
        <v>2418.4285714285711</v>
      </c>
      <c r="M115" s="342">
        <f t="shared" si="18"/>
        <v>2418</v>
      </c>
      <c r="N115" s="343">
        <f t="shared" si="19"/>
        <v>16.499999999999996</v>
      </c>
      <c r="O115" s="343"/>
      <c r="P115" s="343">
        <f t="shared" si="20"/>
        <v>0</v>
      </c>
      <c r="Q115" s="344"/>
      <c r="R115" s="343">
        <f t="shared" si="21"/>
        <v>108.00000000000013</v>
      </c>
      <c r="S115" s="343">
        <f t="shared" si="22"/>
        <v>-1.2789769243681803E-13</v>
      </c>
      <c r="T115" s="343"/>
      <c r="U115" s="343">
        <f t="shared" ca="1" si="12"/>
        <v>1.0000000000000002</v>
      </c>
      <c r="V115" s="345">
        <f t="shared" si="23"/>
        <v>22.392857142857142</v>
      </c>
      <c r="W115" s="186"/>
      <c r="X115" s="207"/>
    </row>
    <row r="116" spans="2:24" ht="12.75" customHeight="1" x14ac:dyDescent="0.3">
      <c r="B116" s="246">
        <v>109</v>
      </c>
      <c r="C116" s="437">
        <f>B116*MechanicalData!$B$22/360</f>
        <v>16.652777777777779</v>
      </c>
      <c r="D116" s="437">
        <f>MechanicalData!$B$22</f>
        <v>55</v>
      </c>
      <c r="E116" s="248">
        <v>109</v>
      </c>
      <c r="F116" s="453">
        <v>19.189</v>
      </c>
      <c r="G116" s="437">
        <v>69.998000000000005</v>
      </c>
      <c r="H116" s="339">
        <f t="shared" si="13"/>
        <v>109</v>
      </c>
      <c r="I116" s="451">
        <f t="shared" si="14"/>
        <v>55</v>
      </c>
      <c r="J116" s="340">
        <f t="shared" si="15"/>
        <v>0.15277777777777779</v>
      </c>
      <c r="K116" s="341">
        <f t="shared" si="16"/>
        <v>16.652777777777779</v>
      </c>
      <c r="L116" s="333">
        <f t="shared" si="17"/>
        <v>2440.8214285714289</v>
      </c>
      <c r="M116" s="342">
        <f t="shared" si="18"/>
        <v>2441</v>
      </c>
      <c r="N116" s="343">
        <f t="shared" si="19"/>
        <v>16.652777777777779</v>
      </c>
      <c r="O116" s="343"/>
      <c r="P116" s="343">
        <f t="shared" si="20"/>
        <v>0</v>
      </c>
      <c r="Q116" s="344"/>
      <c r="R116" s="343">
        <f t="shared" si="21"/>
        <v>109.00000000000014</v>
      </c>
      <c r="S116" s="343">
        <f t="shared" si="22"/>
        <v>-1.4210854715202004E-13</v>
      </c>
      <c r="T116" s="343"/>
      <c r="U116" s="343">
        <f t="shared" ca="1" si="12"/>
        <v>1.0000000000000002</v>
      </c>
      <c r="V116" s="345">
        <f t="shared" si="23"/>
        <v>22.392857142857142</v>
      </c>
      <c r="W116" s="186"/>
      <c r="X116" s="207"/>
    </row>
    <row r="117" spans="2:24" ht="12.75" customHeight="1" x14ac:dyDescent="0.3">
      <c r="B117" s="246">
        <v>110</v>
      </c>
      <c r="C117" s="437">
        <f>B117*MechanicalData!$B$22/360</f>
        <v>16.805555555555557</v>
      </c>
      <c r="D117" s="437">
        <f>MechanicalData!$B$22</f>
        <v>55</v>
      </c>
      <c r="E117" s="248">
        <v>110</v>
      </c>
      <c r="F117" s="453">
        <v>19.384</v>
      </c>
      <c r="G117" s="437">
        <v>69.998000000000005</v>
      </c>
      <c r="H117" s="339">
        <f t="shared" si="13"/>
        <v>110</v>
      </c>
      <c r="I117" s="451">
        <f t="shared" si="14"/>
        <v>55</v>
      </c>
      <c r="J117" s="340">
        <f t="shared" si="15"/>
        <v>0.15277777777777779</v>
      </c>
      <c r="K117" s="341">
        <f t="shared" si="16"/>
        <v>16.805555555555557</v>
      </c>
      <c r="L117" s="333">
        <f t="shared" si="17"/>
        <v>2463.2142857142858</v>
      </c>
      <c r="M117" s="342">
        <f t="shared" si="18"/>
        <v>2463</v>
      </c>
      <c r="N117" s="343">
        <f t="shared" si="19"/>
        <v>16.805555555555554</v>
      </c>
      <c r="O117" s="343"/>
      <c r="P117" s="343">
        <f t="shared" si="20"/>
        <v>0</v>
      </c>
      <c r="Q117" s="344"/>
      <c r="R117" s="343">
        <f t="shared" si="21"/>
        <v>110.00000000000014</v>
      </c>
      <c r="S117" s="343">
        <f t="shared" si="22"/>
        <v>-1.4210854715202004E-13</v>
      </c>
      <c r="T117" s="343"/>
      <c r="U117" s="343">
        <f t="shared" ca="1" si="12"/>
        <v>1.0000000000000002</v>
      </c>
      <c r="V117" s="345">
        <f t="shared" si="23"/>
        <v>22.392857142857142</v>
      </c>
      <c r="W117" s="186"/>
      <c r="X117" s="207"/>
    </row>
    <row r="118" spans="2:24" ht="12.75" customHeight="1" x14ac:dyDescent="0.3">
      <c r="B118" s="246">
        <v>111</v>
      </c>
      <c r="C118" s="437">
        <f>B118*MechanicalData!$B$22/360</f>
        <v>16.958333333333332</v>
      </c>
      <c r="D118" s="437">
        <f>MechanicalData!$B$22</f>
        <v>55</v>
      </c>
      <c r="E118" s="248">
        <v>111</v>
      </c>
      <c r="F118" s="453">
        <v>19.577999999999999</v>
      </c>
      <c r="G118" s="437">
        <v>69.998000000000005</v>
      </c>
      <c r="H118" s="339">
        <f t="shared" si="13"/>
        <v>111</v>
      </c>
      <c r="I118" s="451">
        <f t="shared" si="14"/>
        <v>55</v>
      </c>
      <c r="J118" s="340">
        <f t="shared" si="15"/>
        <v>0.15277777777777779</v>
      </c>
      <c r="K118" s="341">
        <f t="shared" si="16"/>
        <v>16.958333333333332</v>
      </c>
      <c r="L118" s="333">
        <f t="shared" si="17"/>
        <v>2485.6071428571427</v>
      </c>
      <c r="M118" s="342">
        <f t="shared" si="18"/>
        <v>2486</v>
      </c>
      <c r="N118" s="343">
        <f t="shared" si="19"/>
        <v>16.958333333333332</v>
      </c>
      <c r="O118" s="343"/>
      <c r="P118" s="343">
        <f t="shared" si="20"/>
        <v>0</v>
      </c>
      <c r="Q118" s="344"/>
      <c r="R118" s="343">
        <f t="shared" si="21"/>
        <v>111.00000000000013</v>
      </c>
      <c r="S118" s="343">
        <f t="shared" si="22"/>
        <v>-1.2789769243681803E-13</v>
      </c>
      <c r="T118" s="343"/>
      <c r="U118" s="343">
        <f t="shared" ca="1" si="12"/>
        <v>1.0000000000000002</v>
      </c>
      <c r="V118" s="345">
        <f t="shared" si="23"/>
        <v>22.392857142857142</v>
      </c>
      <c r="W118" s="186"/>
      <c r="X118" s="207"/>
    </row>
    <row r="119" spans="2:24" ht="12.75" customHeight="1" x14ac:dyDescent="0.3">
      <c r="B119" s="246">
        <v>112</v>
      </c>
      <c r="C119" s="437">
        <f>B119*MechanicalData!$B$22/360</f>
        <v>17.111111111111111</v>
      </c>
      <c r="D119" s="437">
        <f>MechanicalData!$B$22</f>
        <v>55</v>
      </c>
      <c r="E119" s="248">
        <v>112</v>
      </c>
      <c r="F119" s="453">
        <v>19.773</v>
      </c>
      <c r="G119" s="437">
        <v>69.998000000000005</v>
      </c>
      <c r="H119" s="339">
        <f t="shared" si="13"/>
        <v>112</v>
      </c>
      <c r="I119" s="451">
        <f t="shared" si="14"/>
        <v>55</v>
      </c>
      <c r="J119" s="340">
        <f t="shared" si="15"/>
        <v>0.15277777777777779</v>
      </c>
      <c r="K119" s="341">
        <f t="shared" si="16"/>
        <v>17.111111111111111</v>
      </c>
      <c r="L119" s="333">
        <f t="shared" si="17"/>
        <v>2507.9999999999995</v>
      </c>
      <c r="M119" s="342">
        <f t="shared" si="18"/>
        <v>2508</v>
      </c>
      <c r="N119" s="343">
        <f t="shared" si="19"/>
        <v>17.111111111111107</v>
      </c>
      <c r="O119" s="343"/>
      <c r="P119" s="343">
        <f t="shared" si="20"/>
        <v>0</v>
      </c>
      <c r="Q119" s="344"/>
      <c r="R119" s="343">
        <f t="shared" si="21"/>
        <v>112.00000000000013</v>
      </c>
      <c r="S119" s="343">
        <f t="shared" si="22"/>
        <v>-1.2789769243681803E-13</v>
      </c>
      <c r="T119" s="343"/>
      <c r="U119" s="343">
        <f t="shared" ca="1" si="12"/>
        <v>1.0000000000000002</v>
      </c>
      <c r="V119" s="345">
        <f t="shared" si="23"/>
        <v>22.392857142857142</v>
      </c>
      <c r="W119" s="186"/>
      <c r="X119" s="207"/>
    </row>
    <row r="120" spans="2:24" ht="12.75" customHeight="1" x14ac:dyDescent="0.3">
      <c r="B120" s="246">
        <v>113</v>
      </c>
      <c r="C120" s="437">
        <f>B120*MechanicalData!$B$22/360</f>
        <v>17.263888888888889</v>
      </c>
      <c r="D120" s="437">
        <f>MechanicalData!$B$22</f>
        <v>55</v>
      </c>
      <c r="E120" s="248">
        <v>113</v>
      </c>
      <c r="F120" s="453">
        <v>19.966999999999999</v>
      </c>
      <c r="G120" s="437">
        <v>69.998000000000005</v>
      </c>
      <c r="H120" s="339">
        <f t="shared" si="13"/>
        <v>113</v>
      </c>
      <c r="I120" s="451">
        <f t="shared" si="14"/>
        <v>55</v>
      </c>
      <c r="J120" s="340">
        <f t="shared" si="15"/>
        <v>0.15277777777777779</v>
      </c>
      <c r="K120" s="341">
        <f t="shared" si="16"/>
        <v>17.263888888888889</v>
      </c>
      <c r="L120" s="333">
        <f t="shared" si="17"/>
        <v>2530.3928571428573</v>
      </c>
      <c r="M120" s="342">
        <f t="shared" si="18"/>
        <v>2530</v>
      </c>
      <c r="N120" s="343">
        <f t="shared" si="19"/>
        <v>17.263888888888889</v>
      </c>
      <c r="O120" s="343"/>
      <c r="P120" s="343">
        <f t="shared" si="20"/>
        <v>0</v>
      </c>
      <c r="Q120" s="344"/>
      <c r="R120" s="343">
        <f t="shared" si="21"/>
        <v>113.00000000000016</v>
      </c>
      <c r="S120" s="343">
        <f t="shared" si="22"/>
        <v>-1.5631940186722204E-13</v>
      </c>
      <c r="T120" s="343"/>
      <c r="U120" s="343">
        <f t="shared" ca="1" si="12"/>
        <v>1.0000000000000002</v>
      </c>
      <c r="V120" s="345">
        <f t="shared" si="23"/>
        <v>22.392857142857142</v>
      </c>
      <c r="W120" s="186"/>
      <c r="X120" s="207"/>
    </row>
    <row r="121" spans="2:24" ht="12.75" customHeight="1" x14ac:dyDescent="0.3">
      <c r="B121" s="246">
        <v>114</v>
      </c>
      <c r="C121" s="437">
        <f>B121*MechanicalData!$B$22/360</f>
        <v>17.416666666666668</v>
      </c>
      <c r="D121" s="437">
        <f>MechanicalData!$B$22</f>
        <v>55</v>
      </c>
      <c r="E121" s="248">
        <v>114</v>
      </c>
      <c r="F121" s="453">
        <v>20.161999999999999</v>
      </c>
      <c r="G121" s="437">
        <v>69.998000000000005</v>
      </c>
      <c r="H121" s="339">
        <f t="shared" si="13"/>
        <v>114</v>
      </c>
      <c r="I121" s="451">
        <f t="shared" si="14"/>
        <v>55</v>
      </c>
      <c r="J121" s="340">
        <f t="shared" si="15"/>
        <v>0.15277777777777779</v>
      </c>
      <c r="K121" s="341">
        <f t="shared" si="16"/>
        <v>17.416666666666668</v>
      </c>
      <c r="L121" s="333">
        <f t="shared" si="17"/>
        <v>2552.7857142857142</v>
      </c>
      <c r="M121" s="342">
        <f t="shared" si="18"/>
        <v>2553</v>
      </c>
      <c r="N121" s="343">
        <f t="shared" si="19"/>
        <v>17.416666666666664</v>
      </c>
      <c r="O121" s="343"/>
      <c r="P121" s="343">
        <f t="shared" si="20"/>
        <v>0</v>
      </c>
      <c r="Q121" s="344"/>
      <c r="R121" s="343">
        <f t="shared" si="21"/>
        <v>114.00000000000014</v>
      </c>
      <c r="S121" s="343">
        <f t="shared" si="22"/>
        <v>-1.4210854715202004E-13</v>
      </c>
      <c r="T121" s="343"/>
      <c r="U121" s="343">
        <f t="shared" ca="1" si="12"/>
        <v>1.0000000000000002</v>
      </c>
      <c r="V121" s="345">
        <f t="shared" si="23"/>
        <v>22.392857142857142</v>
      </c>
      <c r="W121" s="186"/>
      <c r="X121" s="207"/>
    </row>
    <row r="122" spans="2:24" ht="12.75" customHeight="1" x14ac:dyDescent="0.3">
      <c r="B122" s="246">
        <v>115</v>
      </c>
      <c r="C122" s="437">
        <f>B122*MechanicalData!$B$22/360</f>
        <v>17.569444444444443</v>
      </c>
      <c r="D122" s="437">
        <f>MechanicalData!$B$22</f>
        <v>55</v>
      </c>
      <c r="E122" s="248">
        <v>115</v>
      </c>
      <c r="F122" s="453">
        <v>20.356000000000002</v>
      </c>
      <c r="G122" s="437">
        <v>69.998000000000005</v>
      </c>
      <c r="H122" s="339">
        <f t="shared" si="13"/>
        <v>115</v>
      </c>
      <c r="I122" s="451">
        <f t="shared" si="14"/>
        <v>55</v>
      </c>
      <c r="J122" s="340">
        <f t="shared" si="15"/>
        <v>0.15277777777777779</v>
      </c>
      <c r="K122" s="341">
        <f t="shared" si="16"/>
        <v>17.569444444444443</v>
      </c>
      <c r="L122" s="333">
        <f t="shared" si="17"/>
        <v>2575.1785714285711</v>
      </c>
      <c r="M122" s="342">
        <f t="shared" si="18"/>
        <v>2575</v>
      </c>
      <c r="N122" s="343">
        <f t="shared" si="19"/>
        <v>17.569444444444443</v>
      </c>
      <c r="O122" s="343"/>
      <c r="P122" s="343">
        <f t="shared" si="20"/>
        <v>0</v>
      </c>
      <c r="Q122" s="344"/>
      <c r="R122" s="343">
        <f t="shared" si="21"/>
        <v>115.00000000000014</v>
      </c>
      <c r="S122" s="343">
        <f t="shared" si="22"/>
        <v>-1.4210854715202004E-13</v>
      </c>
      <c r="T122" s="343"/>
      <c r="U122" s="343">
        <f t="shared" ca="1" si="12"/>
        <v>1.0000000000000002</v>
      </c>
      <c r="V122" s="345">
        <f t="shared" si="23"/>
        <v>22.392857142857142</v>
      </c>
      <c r="W122" s="186"/>
      <c r="X122" s="207"/>
    </row>
    <row r="123" spans="2:24" x14ac:dyDescent="0.3">
      <c r="B123" s="246">
        <v>116</v>
      </c>
      <c r="C123" s="437">
        <f>B123*MechanicalData!$B$22/360</f>
        <v>17.722222222222221</v>
      </c>
      <c r="D123" s="437">
        <f>MechanicalData!$B$22</f>
        <v>55</v>
      </c>
      <c r="E123" s="248">
        <v>116</v>
      </c>
      <c r="F123" s="453">
        <v>20.55</v>
      </c>
      <c r="G123" s="437">
        <v>69.998000000000005</v>
      </c>
      <c r="H123" s="339">
        <f t="shared" si="13"/>
        <v>116</v>
      </c>
      <c r="I123" s="451">
        <f t="shared" si="14"/>
        <v>55</v>
      </c>
      <c r="J123" s="340">
        <f t="shared" si="15"/>
        <v>0.15277777777777779</v>
      </c>
      <c r="K123" s="341">
        <f t="shared" si="16"/>
        <v>17.722222222222221</v>
      </c>
      <c r="L123" s="333">
        <f t="shared" si="17"/>
        <v>2597.5714285714284</v>
      </c>
      <c r="M123" s="342">
        <f t="shared" si="18"/>
        <v>2598</v>
      </c>
      <c r="N123" s="343">
        <f t="shared" si="19"/>
        <v>17.722222222222221</v>
      </c>
      <c r="O123" s="343"/>
      <c r="P123" s="343">
        <f t="shared" si="20"/>
        <v>0</v>
      </c>
      <c r="Q123" s="344"/>
      <c r="R123" s="343">
        <f t="shared" si="21"/>
        <v>116.00000000000014</v>
      </c>
      <c r="S123" s="343">
        <f t="shared" si="22"/>
        <v>-1.4210854715202004E-13</v>
      </c>
      <c r="T123" s="343"/>
      <c r="U123" s="343">
        <f t="shared" ca="1" si="12"/>
        <v>1.0000000000000002</v>
      </c>
      <c r="V123" s="345">
        <f t="shared" si="23"/>
        <v>22.392857142857142</v>
      </c>
      <c r="W123" s="186"/>
      <c r="X123" s="207"/>
    </row>
    <row r="124" spans="2:24" x14ac:dyDescent="0.3">
      <c r="B124" s="246">
        <v>117</v>
      </c>
      <c r="C124" s="437">
        <f>B124*MechanicalData!$B$22/360</f>
        <v>17.875</v>
      </c>
      <c r="D124" s="437">
        <f>MechanicalData!$B$22</f>
        <v>55</v>
      </c>
      <c r="E124" s="248">
        <v>117</v>
      </c>
      <c r="F124" s="453">
        <v>20.745000000000001</v>
      </c>
      <c r="G124" s="437">
        <v>69.998000000000005</v>
      </c>
      <c r="H124" s="339">
        <f t="shared" si="13"/>
        <v>117</v>
      </c>
      <c r="I124" s="451">
        <f t="shared" si="14"/>
        <v>55</v>
      </c>
      <c r="J124" s="340">
        <f t="shared" si="15"/>
        <v>0.15277777777777779</v>
      </c>
      <c r="K124" s="341">
        <f t="shared" si="16"/>
        <v>17.875</v>
      </c>
      <c r="L124" s="333">
        <f t="shared" si="17"/>
        <v>2619.9642857142858</v>
      </c>
      <c r="M124" s="342">
        <f t="shared" si="18"/>
        <v>2620</v>
      </c>
      <c r="N124" s="343">
        <f t="shared" si="19"/>
        <v>17.875</v>
      </c>
      <c r="O124" s="343"/>
      <c r="P124" s="343">
        <f t="shared" si="20"/>
        <v>0</v>
      </c>
      <c r="Q124" s="344"/>
      <c r="R124" s="343">
        <f t="shared" si="21"/>
        <v>117.00000000000016</v>
      </c>
      <c r="S124" s="343">
        <f t="shared" si="22"/>
        <v>-1.5631940186722204E-13</v>
      </c>
      <c r="T124" s="343"/>
      <c r="U124" s="343">
        <f t="shared" ca="1" si="12"/>
        <v>1.0000000000000002</v>
      </c>
      <c r="V124" s="345">
        <f t="shared" si="23"/>
        <v>22.392857142857142</v>
      </c>
      <c r="W124" s="186"/>
      <c r="X124" s="207"/>
    </row>
    <row r="125" spans="2:24" x14ac:dyDescent="0.3">
      <c r="B125" s="246">
        <v>118</v>
      </c>
      <c r="C125" s="437">
        <f>B125*MechanicalData!$B$22/360</f>
        <v>18.027777777777779</v>
      </c>
      <c r="D125" s="437">
        <f>MechanicalData!$B$22</f>
        <v>55</v>
      </c>
      <c r="E125" s="248">
        <v>118</v>
      </c>
      <c r="F125" s="453">
        <v>20.939</v>
      </c>
      <c r="G125" s="437">
        <v>69.998000000000005</v>
      </c>
      <c r="H125" s="339">
        <f t="shared" si="13"/>
        <v>118</v>
      </c>
      <c r="I125" s="451">
        <f t="shared" si="14"/>
        <v>55</v>
      </c>
      <c r="J125" s="340">
        <f t="shared" si="15"/>
        <v>0.15277777777777779</v>
      </c>
      <c r="K125" s="341">
        <f t="shared" si="16"/>
        <v>18.027777777777779</v>
      </c>
      <c r="L125" s="333">
        <f t="shared" si="17"/>
        <v>2642.3571428571431</v>
      </c>
      <c r="M125" s="342">
        <f t="shared" si="18"/>
        <v>2642</v>
      </c>
      <c r="N125" s="343">
        <f t="shared" si="19"/>
        <v>18.027777777777779</v>
      </c>
      <c r="O125" s="343"/>
      <c r="P125" s="343">
        <f t="shared" si="20"/>
        <v>0</v>
      </c>
      <c r="Q125" s="344"/>
      <c r="R125" s="343">
        <f t="shared" si="21"/>
        <v>118.00000000000017</v>
      </c>
      <c r="S125" s="343">
        <f t="shared" si="22"/>
        <v>-1.7053025658242404E-13</v>
      </c>
      <c r="T125" s="343"/>
      <c r="U125" s="343">
        <f t="shared" ca="1" si="12"/>
        <v>1.0000000000000002</v>
      </c>
      <c r="V125" s="345">
        <f t="shared" si="23"/>
        <v>22.392857142857142</v>
      </c>
      <c r="W125" s="186"/>
      <c r="X125" s="207"/>
    </row>
    <row r="126" spans="2:24" x14ac:dyDescent="0.3">
      <c r="B126" s="246">
        <v>119</v>
      </c>
      <c r="C126" s="437">
        <f>B126*MechanicalData!$B$22/360</f>
        <v>18.180555555555557</v>
      </c>
      <c r="D126" s="437">
        <f>MechanicalData!$B$22</f>
        <v>55</v>
      </c>
      <c r="E126" s="248">
        <v>119</v>
      </c>
      <c r="F126" s="453">
        <v>21.134</v>
      </c>
      <c r="G126" s="437">
        <v>69.998000000000005</v>
      </c>
      <c r="H126" s="339">
        <f t="shared" si="13"/>
        <v>119</v>
      </c>
      <c r="I126" s="451">
        <f t="shared" si="14"/>
        <v>55</v>
      </c>
      <c r="J126" s="340">
        <f t="shared" si="15"/>
        <v>0.15277777777777779</v>
      </c>
      <c r="K126" s="341">
        <f t="shared" si="16"/>
        <v>18.180555555555557</v>
      </c>
      <c r="L126" s="333">
        <f t="shared" si="17"/>
        <v>2664.75</v>
      </c>
      <c r="M126" s="342">
        <f t="shared" si="18"/>
        <v>2665</v>
      </c>
      <c r="N126" s="343">
        <f t="shared" si="19"/>
        <v>18.180555555555554</v>
      </c>
      <c r="O126" s="343"/>
      <c r="P126" s="343">
        <f t="shared" si="20"/>
        <v>0</v>
      </c>
      <c r="Q126" s="344"/>
      <c r="R126" s="343">
        <f t="shared" si="21"/>
        <v>119.00000000000014</v>
      </c>
      <c r="S126" s="343">
        <f t="shared" si="22"/>
        <v>-1.4210854715202004E-13</v>
      </c>
      <c r="T126" s="343"/>
      <c r="U126" s="343">
        <f t="shared" ca="1" si="12"/>
        <v>1.0000000000000002</v>
      </c>
      <c r="V126" s="345">
        <f t="shared" si="23"/>
        <v>22.392857142857142</v>
      </c>
      <c r="W126" s="186"/>
      <c r="X126" s="207"/>
    </row>
    <row r="127" spans="2:24" x14ac:dyDescent="0.3">
      <c r="B127" s="246">
        <v>120</v>
      </c>
      <c r="C127" s="437">
        <f>B127*MechanicalData!$B$22/360</f>
        <v>18.333333333333332</v>
      </c>
      <c r="D127" s="437">
        <f>MechanicalData!$B$22</f>
        <v>55</v>
      </c>
      <c r="E127" s="248">
        <v>120</v>
      </c>
      <c r="F127" s="453">
        <v>21.327999999999999</v>
      </c>
      <c r="G127" s="437">
        <v>69.998000000000005</v>
      </c>
      <c r="H127" s="339">
        <f t="shared" si="13"/>
        <v>120</v>
      </c>
      <c r="I127" s="451">
        <f t="shared" si="14"/>
        <v>55</v>
      </c>
      <c r="J127" s="340">
        <f t="shared" si="15"/>
        <v>0.15277777777777779</v>
      </c>
      <c r="K127" s="341">
        <f t="shared" si="16"/>
        <v>18.333333333333332</v>
      </c>
      <c r="L127" s="333">
        <f t="shared" si="17"/>
        <v>2687.1428571428569</v>
      </c>
      <c r="M127" s="342">
        <f t="shared" si="18"/>
        <v>2687</v>
      </c>
      <c r="N127" s="343">
        <f t="shared" si="19"/>
        <v>18.333333333333329</v>
      </c>
      <c r="O127" s="343"/>
      <c r="P127" s="343">
        <f t="shared" si="20"/>
        <v>0</v>
      </c>
      <c r="Q127" s="344"/>
      <c r="R127" s="343">
        <f t="shared" si="21"/>
        <v>120.00000000000013</v>
      </c>
      <c r="S127" s="343">
        <f t="shared" si="22"/>
        <v>-1.2789769243681803E-13</v>
      </c>
      <c r="T127" s="343"/>
      <c r="U127" s="343">
        <f t="shared" ca="1" si="12"/>
        <v>1.0000000000000002</v>
      </c>
      <c r="V127" s="345">
        <f t="shared" si="23"/>
        <v>22.392857142857142</v>
      </c>
      <c r="W127" s="186"/>
      <c r="X127" s="207"/>
    </row>
    <row r="128" spans="2:24" x14ac:dyDescent="0.3">
      <c r="B128" s="246">
        <v>121</v>
      </c>
      <c r="C128" s="437">
        <f>B128*MechanicalData!$B$22/360</f>
        <v>18.486111111111111</v>
      </c>
      <c r="D128" s="437">
        <f>MechanicalData!$B$22</f>
        <v>55</v>
      </c>
      <c r="E128" s="248">
        <v>121</v>
      </c>
      <c r="F128" s="453">
        <v>21.523</v>
      </c>
      <c r="G128" s="437">
        <v>69.998000000000005</v>
      </c>
      <c r="H128" s="339">
        <f t="shared" si="13"/>
        <v>121</v>
      </c>
      <c r="I128" s="451">
        <f t="shared" si="14"/>
        <v>55</v>
      </c>
      <c r="J128" s="340">
        <f t="shared" si="15"/>
        <v>0.15277777777777779</v>
      </c>
      <c r="K128" s="341">
        <f t="shared" si="16"/>
        <v>18.486111111111111</v>
      </c>
      <c r="L128" s="333">
        <f t="shared" si="17"/>
        <v>2709.5357142857142</v>
      </c>
      <c r="M128" s="342">
        <f t="shared" si="18"/>
        <v>2710</v>
      </c>
      <c r="N128" s="343">
        <f t="shared" si="19"/>
        <v>18.486111111111111</v>
      </c>
      <c r="O128" s="343"/>
      <c r="P128" s="343">
        <f t="shared" si="20"/>
        <v>0</v>
      </c>
      <c r="Q128" s="344"/>
      <c r="R128" s="343">
        <f t="shared" si="21"/>
        <v>121.00000000000014</v>
      </c>
      <c r="S128" s="343">
        <f t="shared" si="22"/>
        <v>-1.4210854715202004E-13</v>
      </c>
      <c r="T128" s="343"/>
      <c r="U128" s="343">
        <f t="shared" ca="1" si="12"/>
        <v>1.0000000000000002</v>
      </c>
      <c r="V128" s="345">
        <f t="shared" si="23"/>
        <v>22.392857142857142</v>
      </c>
      <c r="W128" s="186"/>
      <c r="X128" s="207"/>
    </row>
    <row r="129" spans="2:24" x14ac:dyDescent="0.3">
      <c r="B129" s="246">
        <v>122</v>
      </c>
      <c r="C129" s="437">
        <f>B129*MechanicalData!$B$22/360</f>
        <v>18.638888888888889</v>
      </c>
      <c r="D129" s="437">
        <f>MechanicalData!$B$22</f>
        <v>55</v>
      </c>
      <c r="E129" s="248">
        <v>122</v>
      </c>
      <c r="F129" s="453">
        <v>21.716999999999999</v>
      </c>
      <c r="G129" s="437">
        <v>69.998000000000005</v>
      </c>
      <c r="H129" s="339">
        <f t="shared" si="13"/>
        <v>122</v>
      </c>
      <c r="I129" s="451">
        <f t="shared" si="14"/>
        <v>55</v>
      </c>
      <c r="J129" s="340">
        <f t="shared" si="15"/>
        <v>0.15277777777777779</v>
      </c>
      <c r="K129" s="341">
        <f t="shared" si="16"/>
        <v>18.638888888888889</v>
      </c>
      <c r="L129" s="333">
        <f t="shared" si="17"/>
        <v>2731.9285714285716</v>
      </c>
      <c r="M129" s="342">
        <f t="shared" si="18"/>
        <v>2732</v>
      </c>
      <c r="N129" s="343">
        <f t="shared" si="19"/>
        <v>18.638888888888889</v>
      </c>
      <c r="O129" s="343"/>
      <c r="P129" s="343">
        <f t="shared" si="20"/>
        <v>0</v>
      </c>
      <c r="Q129" s="344"/>
      <c r="R129" s="343">
        <f t="shared" si="21"/>
        <v>122.00000000000016</v>
      </c>
      <c r="S129" s="343">
        <f t="shared" si="22"/>
        <v>-1.5631940186722204E-13</v>
      </c>
      <c r="T129" s="343"/>
      <c r="U129" s="343">
        <f t="shared" ca="1" si="12"/>
        <v>1.0000000000000002</v>
      </c>
      <c r="V129" s="345">
        <f t="shared" si="23"/>
        <v>22.392857142857142</v>
      </c>
      <c r="W129" s="186"/>
      <c r="X129" s="207"/>
    </row>
    <row r="130" spans="2:24" x14ac:dyDescent="0.3">
      <c r="B130" s="246">
        <v>123</v>
      </c>
      <c r="C130" s="437">
        <f>B130*MechanicalData!$B$22/360</f>
        <v>18.791666666666668</v>
      </c>
      <c r="D130" s="437">
        <f>MechanicalData!$B$22</f>
        <v>55</v>
      </c>
      <c r="E130" s="248">
        <v>123</v>
      </c>
      <c r="F130" s="453">
        <v>21.911000000000001</v>
      </c>
      <c r="G130" s="437">
        <v>69.998000000000005</v>
      </c>
      <c r="H130" s="339">
        <f t="shared" si="13"/>
        <v>123</v>
      </c>
      <c r="I130" s="451">
        <f t="shared" si="14"/>
        <v>55</v>
      </c>
      <c r="J130" s="340">
        <f t="shared" si="15"/>
        <v>0.15277777777777779</v>
      </c>
      <c r="K130" s="341">
        <f t="shared" si="16"/>
        <v>18.791666666666668</v>
      </c>
      <c r="L130" s="333">
        <f t="shared" si="17"/>
        <v>2754.3214285714284</v>
      </c>
      <c r="M130" s="342">
        <f t="shared" si="18"/>
        <v>2754</v>
      </c>
      <c r="N130" s="343">
        <f t="shared" si="19"/>
        <v>18.791666666666664</v>
      </c>
      <c r="O130" s="343"/>
      <c r="P130" s="343">
        <f t="shared" si="20"/>
        <v>0</v>
      </c>
      <c r="Q130" s="344"/>
      <c r="R130" s="343">
        <f t="shared" si="21"/>
        <v>123.00000000000014</v>
      </c>
      <c r="S130" s="343">
        <f t="shared" si="22"/>
        <v>-1.4210854715202004E-13</v>
      </c>
      <c r="T130" s="343"/>
      <c r="U130" s="343">
        <f t="shared" ca="1" si="12"/>
        <v>1.0000000000000002</v>
      </c>
      <c r="V130" s="345">
        <f t="shared" si="23"/>
        <v>22.392857142857142</v>
      </c>
      <c r="W130" s="186"/>
      <c r="X130" s="207"/>
    </row>
    <row r="131" spans="2:24" x14ac:dyDescent="0.3">
      <c r="B131" s="246">
        <v>124</v>
      </c>
      <c r="C131" s="437">
        <f>B131*MechanicalData!$B$22/360</f>
        <v>18.944444444444443</v>
      </c>
      <c r="D131" s="437">
        <f>MechanicalData!$B$22</f>
        <v>55</v>
      </c>
      <c r="E131" s="248">
        <v>124</v>
      </c>
      <c r="F131" s="453">
        <v>22.106000000000002</v>
      </c>
      <c r="G131" s="437">
        <v>69.998000000000005</v>
      </c>
      <c r="H131" s="339">
        <f t="shared" si="13"/>
        <v>124</v>
      </c>
      <c r="I131" s="451">
        <f t="shared" si="14"/>
        <v>55</v>
      </c>
      <c r="J131" s="340">
        <f t="shared" si="15"/>
        <v>0.15277777777777779</v>
      </c>
      <c r="K131" s="341">
        <f t="shared" si="16"/>
        <v>18.944444444444443</v>
      </c>
      <c r="L131" s="333">
        <f t="shared" si="17"/>
        <v>2776.7142857142853</v>
      </c>
      <c r="M131" s="342">
        <f t="shared" si="18"/>
        <v>2777</v>
      </c>
      <c r="N131" s="343">
        <f t="shared" si="19"/>
        <v>18.944444444444439</v>
      </c>
      <c r="O131" s="343"/>
      <c r="P131" s="343">
        <f t="shared" si="20"/>
        <v>0</v>
      </c>
      <c r="Q131" s="344"/>
      <c r="R131" s="343">
        <f t="shared" si="21"/>
        <v>124.00000000000014</v>
      </c>
      <c r="S131" s="343">
        <f t="shared" si="22"/>
        <v>-1.4210854715202004E-13</v>
      </c>
      <c r="T131" s="343"/>
      <c r="U131" s="343">
        <f t="shared" ca="1" si="12"/>
        <v>1.0000000000000002</v>
      </c>
      <c r="V131" s="345">
        <f t="shared" si="23"/>
        <v>22.392857142857142</v>
      </c>
      <c r="W131" s="186"/>
      <c r="X131" s="207"/>
    </row>
    <row r="132" spans="2:24" x14ac:dyDescent="0.3">
      <c r="B132" s="246">
        <v>125</v>
      </c>
      <c r="C132" s="437">
        <f>B132*MechanicalData!$B$22/360</f>
        <v>19.097222222222221</v>
      </c>
      <c r="D132" s="437">
        <f>MechanicalData!$B$22</f>
        <v>55</v>
      </c>
      <c r="E132" s="248">
        <v>125</v>
      </c>
      <c r="F132" s="453">
        <v>22.3</v>
      </c>
      <c r="G132" s="437">
        <v>69.998000000000005</v>
      </c>
      <c r="H132" s="339">
        <f t="shared" si="13"/>
        <v>125</v>
      </c>
      <c r="I132" s="451">
        <f t="shared" si="14"/>
        <v>55</v>
      </c>
      <c r="J132" s="340">
        <f t="shared" si="15"/>
        <v>0.15277777777777779</v>
      </c>
      <c r="K132" s="341">
        <f t="shared" si="16"/>
        <v>19.097222222222221</v>
      </c>
      <c r="L132" s="333">
        <f t="shared" si="17"/>
        <v>2799.1071428571427</v>
      </c>
      <c r="M132" s="342">
        <f t="shared" si="18"/>
        <v>2799</v>
      </c>
      <c r="N132" s="343">
        <f t="shared" si="19"/>
        <v>19.097222222222218</v>
      </c>
      <c r="O132" s="343"/>
      <c r="P132" s="343">
        <f t="shared" si="20"/>
        <v>0</v>
      </c>
      <c r="Q132" s="344"/>
      <c r="R132" s="343">
        <f t="shared" si="21"/>
        <v>125.00000000000014</v>
      </c>
      <c r="S132" s="343">
        <f t="shared" si="22"/>
        <v>-1.4210854715202004E-13</v>
      </c>
      <c r="T132" s="343"/>
      <c r="U132" s="343">
        <f t="shared" ca="1" si="12"/>
        <v>1.0000000000000002</v>
      </c>
      <c r="V132" s="345">
        <f t="shared" si="23"/>
        <v>22.392857142857142</v>
      </c>
      <c r="W132" s="186"/>
      <c r="X132" s="207"/>
    </row>
    <row r="133" spans="2:24" x14ac:dyDescent="0.3">
      <c r="B133" s="246">
        <v>126</v>
      </c>
      <c r="C133" s="437">
        <f>B133*MechanicalData!$B$22/360</f>
        <v>19.25</v>
      </c>
      <c r="D133" s="437">
        <f>MechanicalData!$B$22</f>
        <v>55</v>
      </c>
      <c r="E133" s="248">
        <v>126</v>
      </c>
      <c r="F133" s="453">
        <v>22.495000000000001</v>
      </c>
      <c r="G133" s="437">
        <v>69.998000000000005</v>
      </c>
      <c r="H133" s="339">
        <f t="shared" si="13"/>
        <v>126</v>
      </c>
      <c r="I133" s="451">
        <f t="shared" si="14"/>
        <v>55</v>
      </c>
      <c r="J133" s="340">
        <f t="shared" si="15"/>
        <v>0.15277777777777779</v>
      </c>
      <c r="K133" s="341">
        <f t="shared" si="16"/>
        <v>19.25</v>
      </c>
      <c r="L133" s="333">
        <f t="shared" si="17"/>
        <v>2821.5</v>
      </c>
      <c r="M133" s="342">
        <f t="shared" si="18"/>
        <v>2822</v>
      </c>
      <c r="N133" s="343">
        <f t="shared" si="19"/>
        <v>19.249999999999996</v>
      </c>
      <c r="O133" s="343"/>
      <c r="P133" s="343">
        <f t="shared" si="20"/>
        <v>0</v>
      </c>
      <c r="Q133" s="344"/>
      <c r="R133" s="343">
        <f t="shared" si="21"/>
        <v>126.00000000000016</v>
      </c>
      <c r="S133" s="343">
        <f t="shared" si="22"/>
        <v>-1.5631940186722204E-13</v>
      </c>
      <c r="T133" s="343"/>
      <c r="U133" s="343">
        <f t="shared" ca="1" si="12"/>
        <v>1.0000000000000002</v>
      </c>
      <c r="V133" s="345">
        <f t="shared" si="23"/>
        <v>22.392857142857142</v>
      </c>
      <c r="W133" s="186"/>
      <c r="X133" s="207"/>
    </row>
    <row r="134" spans="2:24" x14ac:dyDescent="0.3">
      <c r="B134" s="246">
        <v>127</v>
      </c>
      <c r="C134" s="437">
        <f>B134*MechanicalData!$B$22/360</f>
        <v>19.402777777777779</v>
      </c>
      <c r="D134" s="437">
        <f>MechanicalData!$B$22</f>
        <v>55</v>
      </c>
      <c r="E134" s="248">
        <v>127</v>
      </c>
      <c r="F134" s="453">
        <v>22.689</v>
      </c>
      <c r="G134" s="437">
        <v>69.998000000000005</v>
      </c>
      <c r="H134" s="339">
        <f t="shared" si="13"/>
        <v>127</v>
      </c>
      <c r="I134" s="451">
        <f t="shared" si="14"/>
        <v>55</v>
      </c>
      <c r="J134" s="340">
        <f t="shared" si="15"/>
        <v>0.15277777777777779</v>
      </c>
      <c r="K134" s="341">
        <f t="shared" si="16"/>
        <v>19.402777777777779</v>
      </c>
      <c r="L134" s="333">
        <f t="shared" si="17"/>
        <v>2843.8928571428573</v>
      </c>
      <c r="M134" s="342">
        <f t="shared" si="18"/>
        <v>2844</v>
      </c>
      <c r="N134" s="343">
        <f t="shared" si="19"/>
        <v>19.402777777777779</v>
      </c>
      <c r="O134" s="343"/>
      <c r="P134" s="343">
        <f t="shared" si="20"/>
        <v>0</v>
      </c>
      <c r="Q134" s="344"/>
      <c r="R134" s="343">
        <f t="shared" si="21"/>
        <v>127.00000000000017</v>
      </c>
      <c r="S134" s="343">
        <f t="shared" si="22"/>
        <v>-1.7053025658242404E-13</v>
      </c>
      <c r="T134" s="343"/>
      <c r="U134" s="343">
        <f t="shared" ca="1" si="12"/>
        <v>1.0000000000000002</v>
      </c>
      <c r="V134" s="345">
        <f t="shared" si="23"/>
        <v>22.392857142857142</v>
      </c>
      <c r="W134" s="186"/>
      <c r="X134" s="207"/>
    </row>
    <row r="135" spans="2:24" x14ac:dyDescent="0.3">
      <c r="B135" s="246">
        <v>128</v>
      </c>
      <c r="C135" s="437">
        <f>B135*MechanicalData!$B$22/360</f>
        <v>19.555555555555557</v>
      </c>
      <c r="D135" s="437">
        <f>MechanicalData!$B$22</f>
        <v>55</v>
      </c>
      <c r="E135" s="248">
        <v>128</v>
      </c>
      <c r="F135" s="453">
        <v>22.884</v>
      </c>
      <c r="G135" s="437">
        <v>69.998000000000005</v>
      </c>
      <c r="H135" s="339">
        <f t="shared" si="13"/>
        <v>128</v>
      </c>
      <c r="I135" s="451">
        <f t="shared" si="14"/>
        <v>55</v>
      </c>
      <c r="J135" s="340">
        <f t="shared" si="15"/>
        <v>0.15277777777777779</v>
      </c>
      <c r="K135" s="341">
        <f t="shared" si="16"/>
        <v>19.555555555555557</v>
      </c>
      <c r="L135" s="333">
        <f t="shared" si="17"/>
        <v>2866.2857142857142</v>
      </c>
      <c r="M135" s="342">
        <f t="shared" si="18"/>
        <v>2866</v>
      </c>
      <c r="N135" s="343">
        <f t="shared" si="19"/>
        <v>19.555555555555557</v>
      </c>
      <c r="O135" s="343"/>
      <c r="P135" s="343">
        <f t="shared" si="20"/>
        <v>0</v>
      </c>
      <c r="Q135" s="344"/>
      <c r="R135" s="343">
        <f t="shared" si="21"/>
        <v>128.00000000000014</v>
      </c>
      <c r="S135" s="343">
        <f t="shared" si="22"/>
        <v>0</v>
      </c>
      <c r="T135" s="343"/>
      <c r="U135" s="343">
        <f t="shared" ca="1" si="12"/>
        <v>1.0000000000000002</v>
      </c>
      <c r="V135" s="345">
        <f t="shared" si="23"/>
        <v>22.392857142857142</v>
      </c>
      <c r="W135" s="186"/>
      <c r="X135" s="207"/>
    </row>
    <row r="136" spans="2:24" x14ac:dyDescent="0.3">
      <c r="B136" s="246">
        <v>129</v>
      </c>
      <c r="C136" s="437">
        <f>B136*MechanicalData!$B$22/360</f>
        <v>19.708333333333332</v>
      </c>
      <c r="D136" s="437">
        <f>MechanicalData!$B$22</f>
        <v>55</v>
      </c>
      <c r="E136" s="248">
        <v>129</v>
      </c>
      <c r="F136" s="453">
        <v>23.077999999999999</v>
      </c>
      <c r="G136" s="437">
        <v>69.998000000000005</v>
      </c>
      <c r="H136" s="339">
        <f t="shared" si="13"/>
        <v>129</v>
      </c>
      <c r="I136" s="451">
        <f t="shared" si="14"/>
        <v>55</v>
      </c>
      <c r="J136" s="340">
        <f t="shared" si="15"/>
        <v>0.15277777777777779</v>
      </c>
      <c r="K136" s="341">
        <f t="shared" si="16"/>
        <v>19.708333333333332</v>
      </c>
      <c r="L136" s="333">
        <f t="shared" si="17"/>
        <v>2888.6785714285711</v>
      </c>
      <c r="M136" s="342">
        <f t="shared" si="18"/>
        <v>2889</v>
      </c>
      <c r="N136" s="343">
        <f t="shared" si="19"/>
        <v>19.708333333333329</v>
      </c>
      <c r="O136" s="343"/>
      <c r="P136" s="343">
        <f t="shared" si="20"/>
        <v>0</v>
      </c>
      <c r="Q136" s="344"/>
      <c r="R136" s="343">
        <f t="shared" si="21"/>
        <v>129.00000000000014</v>
      </c>
      <c r="S136" s="343">
        <f t="shared" si="22"/>
        <v>0</v>
      </c>
      <c r="T136" s="343"/>
      <c r="U136" s="343">
        <f t="shared" ref="U136:U199" ca="1" si="25">$V136/$Z$9</f>
        <v>1.0000000000000002</v>
      </c>
      <c r="V136" s="345">
        <f t="shared" si="23"/>
        <v>22.392857142857142</v>
      </c>
      <c r="W136" s="186"/>
      <c r="X136" s="207"/>
    </row>
    <row r="137" spans="2:24" x14ac:dyDescent="0.3">
      <c r="B137" s="246">
        <v>130</v>
      </c>
      <c r="C137" s="437">
        <f>B137*MechanicalData!$B$22/360</f>
        <v>19.861111111111111</v>
      </c>
      <c r="D137" s="437">
        <f>MechanicalData!$B$22</f>
        <v>55</v>
      </c>
      <c r="E137" s="248">
        <v>130</v>
      </c>
      <c r="F137" s="453">
        <v>23.273</v>
      </c>
      <c r="G137" s="437">
        <v>69.998000000000005</v>
      </c>
      <c r="H137" s="339">
        <f t="shared" ref="H137:H200" si="26">B137</f>
        <v>130</v>
      </c>
      <c r="I137" s="451">
        <f t="shared" ref="I137:I200" si="27">D137</f>
        <v>55</v>
      </c>
      <c r="J137" s="340">
        <f t="shared" ref="J137:J200" si="28">I137/360</f>
        <v>0.15277777777777779</v>
      </c>
      <c r="K137" s="341">
        <f t="shared" ref="K137:K200" si="29">C137</f>
        <v>19.861111111111111</v>
      </c>
      <c r="L137" s="333">
        <f t="shared" ref="L137:L200" si="30">K137/$Z$7*360</f>
        <v>2911.0714285714284</v>
      </c>
      <c r="M137" s="342">
        <f t="shared" ref="M137:M200" si="31">ROUND(L137, 0)</f>
        <v>2911</v>
      </c>
      <c r="N137" s="343">
        <f t="shared" ref="N137:N200" si="32">InterpolXY(L137,$Y$22:$Y$31,$X$22:$X$31)</f>
        <v>19.861111111111111</v>
      </c>
      <c r="O137" s="343"/>
      <c r="P137" s="343">
        <f t="shared" ref="P137:P200" si="33">K137-N137</f>
        <v>0</v>
      </c>
      <c r="Q137" s="344"/>
      <c r="R137" s="343">
        <f t="shared" ref="R137:R200" si="34">InterpolXY(L137,$Y$22:$Y$31,$AC$22:$AC$31)</f>
        <v>130.00000000000014</v>
      </c>
      <c r="S137" s="343">
        <f t="shared" ref="S137:S200" si="35">H137-R137</f>
        <v>0</v>
      </c>
      <c r="T137" s="343"/>
      <c r="U137" s="343">
        <f t="shared" ca="1" si="25"/>
        <v>1.0000000000000002</v>
      </c>
      <c r="V137" s="345">
        <f t="shared" ref="V137:V200" si="36">$I137/$Z$7</f>
        <v>22.392857142857142</v>
      </c>
      <c r="W137" s="186"/>
      <c r="X137" s="207"/>
    </row>
    <row r="138" spans="2:24" x14ac:dyDescent="0.3">
      <c r="B138" s="246">
        <v>131</v>
      </c>
      <c r="C138" s="437">
        <f>B138*MechanicalData!$B$22/360</f>
        <v>20.013888888888889</v>
      </c>
      <c r="D138" s="437">
        <f>MechanicalData!$B$22</f>
        <v>55</v>
      </c>
      <c r="E138" s="248">
        <v>131</v>
      </c>
      <c r="F138" s="453">
        <v>23.466999999999999</v>
      </c>
      <c r="G138" s="437">
        <v>69.998000000000005</v>
      </c>
      <c r="H138" s="339">
        <f t="shared" si="26"/>
        <v>131</v>
      </c>
      <c r="I138" s="451">
        <f t="shared" si="27"/>
        <v>55</v>
      </c>
      <c r="J138" s="340">
        <f t="shared" si="28"/>
        <v>0.15277777777777779</v>
      </c>
      <c r="K138" s="341">
        <f t="shared" si="29"/>
        <v>20.013888888888889</v>
      </c>
      <c r="L138" s="333">
        <f t="shared" si="30"/>
        <v>2933.4642857142858</v>
      </c>
      <c r="M138" s="342">
        <f t="shared" si="31"/>
        <v>2933</v>
      </c>
      <c r="N138" s="343">
        <f t="shared" si="32"/>
        <v>20.013888888888889</v>
      </c>
      <c r="O138" s="343"/>
      <c r="P138" s="343">
        <f t="shared" si="33"/>
        <v>0</v>
      </c>
      <c r="Q138" s="344"/>
      <c r="R138" s="343">
        <f t="shared" si="34"/>
        <v>131.00000000000017</v>
      </c>
      <c r="S138" s="343">
        <f t="shared" si="35"/>
        <v>0</v>
      </c>
      <c r="T138" s="343"/>
      <c r="U138" s="343">
        <f t="shared" ca="1" si="25"/>
        <v>1.0000000000000002</v>
      </c>
      <c r="V138" s="345">
        <f t="shared" si="36"/>
        <v>22.392857142857142</v>
      </c>
      <c r="W138" s="186"/>
      <c r="X138" s="207"/>
    </row>
    <row r="139" spans="2:24" x14ac:dyDescent="0.3">
      <c r="B139" s="246">
        <v>132</v>
      </c>
      <c r="C139" s="437">
        <f>B139*MechanicalData!$B$22/360</f>
        <v>20.166666666666668</v>
      </c>
      <c r="D139" s="437">
        <f>MechanicalData!$B$22</f>
        <v>55</v>
      </c>
      <c r="E139" s="248">
        <v>132</v>
      </c>
      <c r="F139" s="453">
        <v>23.661000000000001</v>
      </c>
      <c r="G139" s="437">
        <v>69.998000000000005</v>
      </c>
      <c r="H139" s="339">
        <f t="shared" si="26"/>
        <v>132</v>
      </c>
      <c r="I139" s="451">
        <f t="shared" si="27"/>
        <v>55</v>
      </c>
      <c r="J139" s="340">
        <f t="shared" si="28"/>
        <v>0.15277777777777779</v>
      </c>
      <c r="K139" s="341">
        <f t="shared" si="29"/>
        <v>20.166666666666668</v>
      </c>
      <c r="L139" s="333">
        <f t="shared" si="30"/>
        <v>2955.8571428571427</v>
      </c>
      <c r="M139" s="342">
        <f t="shared" si="31"/>
        <v>2956</v>
      </c>
      <c r="N139" s="343">
        <f t="shared" si="32"/>
        <v>20.166666666666661</v>
      </c>
      <c r="O139" s="343"/>
      <c r="P139" s="343">
        <f t="shared" si="33"/>
        <v>0</v>
      </c>
      <c r="Q139" s="344"/>
      <c r="R139" s="343">
        <f t="shared" si="34"/>
        <v>132.00000000000014</v>
      </c>
      <c r="S139" s="343">
        <f t="shared" si="35"/>
        <v>0</v>
      </c>
      <c r="T139" s="343"/>
      <c r="U139" s="343">
        <f t="shared" ca="1" si="25"/>
        <v>1.0000000000000002</v>
      </c>
      <c r="V139" s="345">
        <f t="shared" si="36"/>
        <v>22.392857142857142</v>
      </c>
      <c r="W139" s="186"/>
      <c r="X139" s="207"/>
    </row>
    <row r="140" spans="2:24" x14ac:dyDescent="0.3">
      <c r="B140" s="246">
        <v>133</v>
      </c>
      <c r="C140" s="437">
        <f>B140*MechanicalData!$B$22/360</f>
        <v>20.319444444444443</v>
      </c>
      <c r="D140" s="437">
        <f>MechanicalData!$B$22</f>
        <v>55</v>
      </c>
      <c r="E140" s="248">
        <v>133</v>
      </c>
      <c r="F140" s="453">
        <v>23.856000000000002</v>
      </c>
      <c r="G140" s="437">
        <v>69.998000000000005</v>
      </c>
      <c r="H140" s="339">
        <f t="shared" si="26"/>
        <v>133</v>
      </c>
      <c r="I140" s="451">
        <f t="shared" si="27"/>
        <v>55</v>
      </c>
      <c r="J140" s="340">
        <f t="shared" si="28"/>
        <v>0.15277777777777779</v>
      </c>
      <c r="K140" s="341">
        <f t="shared" si="29"/>
        <v>20.319444444444443</v>
      </c>
      <c r="L140" s="333">
        <f t="shared" si="30"/>
        <v>2978.2499999999995</v>
      </c>
      <c r="M140" s="342">
        <f t="shared" si="31"/>
        <v>2978</v>
      </c>
      <c r="N140" s="343">
        <f t="shared" si="32"/>
        <v>20.319444444444443</v>
      </c>
      <c r="O140" s="343"/>
      <c r="P140" s="343">
        <f t="shared" si="33"/>
        <v>0</v>
      </c>
      <c r="Q140" s="344"/>
      <c r="R140" s="343">
        <f t="shared" si="34"/>
        <v>133.00000000000014</v>
      </c>
      <c r="S140" s="343">
        <f t="shared" si="35"/>
        <v>0</v>
      </c>
      <c r="T140" s="343"/>
      <c r="U140" s="343">
        <f t="shared" ca="1" si="25"/>
        <v>1.0000000000000002</v>
      </c>
      <c r="V140" s="345">
        <f t="shared" si="36"/>
        <v>22.392857142857142</v>
      </c>
      <c r="W140" s="186"/>
      <c r="X140" s="207"/>
    </row>
    <row r="141" spans="2:24" x14ac:dyDescent="0.3">
      <c r="B141" s="246">
        <v>134</v>
      </c>
      <c r="C141" s="437">
        <f>B141*MechanicalData!$B$22/360</f>
        <v>20.472222222222221</v>
      </c>
      <c r="D141" s="437">
        <f>MechanicalData!$B$22</f>
        <v>55</v>
      </c>
      <c r="E141" s="248">
        <v>134</v>
      </c>
      <c r="F141" s="453">
        <v>24.05</v>
      </c>
      <c r="G141" s="437">
        <v>69.998000000000005</v>
      </c>
      <c r="H141" s="339">
        <f t="shared" si="26"/>
        <v>134</v>
      </c>
      <c r="I141" s="451">
        <f t="shared" si="27"/>
        <v>55</v>
      </c>
      <c r="J141" s="340">
        <f t="shared" si="28"/>
        <v>0.15277777777777779</v>
      </c>
      <c r="K141" s="341">
        <f t="shared" si="29"/>
        <v>20.472222222222221</v>
      </c>
      <c r="L141" s="333">
        <f t="shared" si="30"/>
        <v>3000.6428571428569</v>
      </c>
      <c r="M141" s="342">
        <f t="shared" si="31"/>
        <v>3001</v>
      </c>
      <c r="N141" s="343">
        <f t="shared" si="32"/>
        <v>20.472222222222221</v>
      </c>
      <c r="O141" s="343"/>
      <c r="P141" s="343">
        <f t="shared" si="33"/>
        <v>0</v>
      </c>
      <c r="Q141" s="344"/>
      <c r="R141" s="343">
        <f t="shared" si="34"/>
        <v>134.00000000000014</v>
      </c>
      <c r="S141" s="343">
        <f t="shared" si="35"/>
        <v>0</v>
      </c>
      <c r="T141" s="343"/>
      <c r="U141" s="343">
        <f t="shared" ca="1" si="25"/>
        <v>1.0000000000000002</v>
      </c>
      <c r="V141" s="345">
        <f t="shared" si="36"/>
        <v>22.392857142857142</v>
      </c>
      <c r="W141" s="186"/>
      <c r="X141" s="207"/>
    </row>
    <row r="142" spans="2:24" x14ac:dyDescent="0.3">
      <c r="B142" s="246">
        <v>135</v>
      </c>
      <c r="C142" s="437">
        <f>B142*MechanicalData!$B$22/360</f>
        <v>20.625</v>
      </c>
      <c r="D142" s="437">
        <f>MechanicalData!$B$22</f>
        <v>55</v>
      </c>
      <c r="E142" s="248">
        <v>135</v>
      </c>
      <c r="F142" s="453">
        <v>24.245000000000001</v>
      </c>
      <c r="G142" s="437">
        <v>69.998000000000005</v>
      </c>
      <c r="H142" s="339">
        <f t="shared" si="26"/>
        <v>135</v>
      </c>
      <c r="I142" s="451">
        <f t="shared" si="27"/>
        <v>55</v>
      </c>
      <c r="J142" s="340">
        <f t="shared" si="28"/>
        <v>0.15277777777777779</v>
      </c>
      <c r="K142" s="341">
        <f t="shared" si="29"/>
        <v>20.625</v>
      </c>
      <c r="L142" s="333">
        <f t="shared" si="30"/>
        <v>3023.0357142857142</v>
      </c>
      <c r="M142" s="342">
        <f t="shared" si="31"/>
        <v>3023</v>
      </c>
      <c r="N142" s="343">
        <f t="shared" si="32"/>
        <v>20.625</v>
      </c>
      <c r="O142" s="343"/>
      <c r="P142" s="343">
        <f t="shared" si="33"/>
        <v>0</v>
      </c>
      <c r="Q142" s="344"/>
      <c r="R142" s="343">
        <f t="shared" si="34"/>
        <v>135.00000000000017</v>
      </c>
      <c r="S142" s="343">
        <f t="shared" si="35"/>
        <v>0</v>
      </c>
      <c r="T142" s="343"/>
      <c r="U142" s="343">
        <f t="shared" ca="1" si="25"/>
        <v>1.0000000000000002</v>
      </c>
      <c r="V142" s="345">
        <f t="shared" si="36"/>
        <v>22.392857142857142</v>
      </c>
      <c r="W142" s="186"/>
      <c r="X142" s="207"/>
    </row>
    <row r="143" spans="2:24" x14ac:dyDescent="0.3">
      <c r="B143" s="246">
        <v>136</v>
      </c>
      <c r="C143" s="437">
        <f>B143*MechanicalData!$B$22/360</f>
        <v>20.777777777777779</v>
      </c>
      <c r="D143" s="437">
        <f>MechanicalData!$B$22</f>
        <v>55</v>
      </c>
      <c r="E143" s="248">
        <v>136</v>
      </c>
      <c r="F143" s="453">
        <v>24.439</v>
      </c>
      <c r="G143" s="437">
        <v>69.998000000000005</v>
      </c>
      <c r="H143" s="339">
        <f t="shared" si="26"/>
        <v>136</v>
      </c>
      <c r="I143" s="451">
        <f t="shared" si="27"/>
        <v>55</v>
      </c>
      <c r="J143" s="340">
        <f t="shared" si="28"/>
        <v>0.15277777777777779</v>
      </c>
      <c r="K143" s="341">
        <f t="shared" si="29"/>
        <v>20.777777777777779</v>
      </c>
      <c r="L143" s="333">
        <f t="shared" si="30"/>
        <v>3045.4285714285711</v>
      </c>
      <c r="M143" s="342">
        <f t="shared" si="31"/>
        <v>3045</v>
      </c>
      <c r="N143" s="343">
        <f t="shared" si="32"/>
        <v>20.777777777777771</v>
      </c>
      <c r="O143" s="343"/>
      <c r="P143" s="343">
        <f t="shared" si="33"/>
        <v>0</v>
      </c>
      <c r="Q143" s="344"/>
      <c r="R143" s="343">
        <f t="shared" si="34"/>
        <v>136.00000000000017</v>
      </c>
      <c r="S143" s="343">
        <f t="shared" si="35"/>
        <v>0</v>
      </c>
      <c r="T143" s="343"/>
      <c r="U143" s="343">
        <f t="shared" ca="1" si="25"/>
        <v>1.0000000000000002</v>
      </c>
      <c r="V143" s="345">
        <f t="shared" si="36"/>
        <v>22.392857142857142</v>
      </c>
      <c r="W143" s="186"/>
      <c r="X143" s="207"/>
    </row>
    <row r="144" spans="2:24" x14ac:dyDescent="0.3">
      <c r="B144" s="246">
        <v>137</v>
      </c>
      <c r="C144" s="437">
        <f>B144*MechanicalData!$B$22/360</f>
        <v>20.930555555555557</v>
      </c>
      <c r="D144" s="437">
        <f>MechanicalData!$B$22</f>
        <v>55</v>
      </c>
      <c r="E144" s="248">
        <v>137</v>
      </c>
      <c r="F144" s="453">
        <v>24.634</v>
      </c>
      <c r="G144" s="437">
        <v>69.998000000000005</v>
      </c>
      <c r="H144" s="339">
        <f t="shared" si="26"/>
        <v>137</v>
      </c>
      <c r="I144" s="451">
        <f t="shared" si="27"/>
        <v>55</v>
      </c>
      <c r="J144" s="340">
        <f t="shared" si="28"/>
        <v>0.15277777777777779</v>
      </c>
      <c r="K144" s="341">
        <f t="shared" si="29"/>
        <v>20.930555555555557</v>
      </c>
      <c r="L144" s="333">
        <f t="shared" si="30"/>
        <v>3067.8214285714284</v>
      </c>
      <c r="M144" s="342">
        <f t="shared" si="31"/>
        <v>3068</v>
      </c>
      <c r="N144" s="343">
        <f t="shared" si="32"/>
        <v>20.930555555555554</v>
      </c>
      <c r="O144" s="343"/>
      <c r="P144" s="343">
        <f t="shared" si="33"/>
        <v>0</v>
      </c>
      <c r="Q144" s="344"/>
      <c r="R144" s="343">
        <f t="shared" si="34"/>
        <v>137.00000000000017</v>
      </c>
      <c r="S144" s="343">
        <f t="shared" si="35"/>
        <v>0</v>
      </c>
      <c r="T144" s="343"/>
      <c r="U144" s="343">
        <f t="shared" ca="1" si="25"/>
        <v>1.0000000000000002</v>
      </c>
      <c r="V144" s="345">
        <f t="shared" si="36"/>
        <v>22.392857142857142</v>
      </c>
      <c r="W144" s="186"/>
      <c r="X144" s="207"/>
    </row>
    <row r="145" spans="2:24" x14ac:dyDescent="0.3">
      <c r="B145" s="246">
        <v>138</v>
      </c>
      <c r="C145" s="437">
        <f>B145*MechanicalData!$B$22/360</f>
        <v>21.083333333333332</v>
      </c>
      <c r="D145" s="437">
        <f>MechanicalData!$B$22</f>
        <v>55</v>
      </c>
      <c r="E145" s="248">
        <v>138</v>
      </c>
      <c r="F145" s="453">
        <v>24.827999999999999</v>
      </c>
      <c r="G145" s="437">
        <v>69.998000000000005</v>
      </c>
      <c r="H145" s="339">
        <f t="shared" si="26"/>
        <v>138</v>
      </c>
      <c r="I145" s="451">
        <f t="shared" si="27"/>
        <v>55</v>
      </c>
      <c r="J145" s="340">
        <f t="shared" si="28"/>
        <v>0.15277777777777779</v>
      </c>
      <c r="K145" s="341">
        <f t="shared" si="29"/>
        <v>21.083333333333332</v>
      </c>
      <c r="L145" s="333">
        <f t="shared" si="30"/>
        <v>3090.2142857142853</v>
      </c>
      <c r="M145" s="342">
        <f t="shared" si="31"/>
        <v>3090</v>
      </c>
      <c r="N145" s="343">
        <f t="shared" si="32"/>
        <v>21.083333333333332</v>
      </c>
      <c r="O145" s="343"/>
      <c r="P145" s="343">
        <f t="shared" si="33"/>
        <v>0</v>
      </c>
      <c r="Q145" s="344"/>
      <c r="R145" s="343">
        <f t="shared" si="34"/>
        <v>138.00000000000017</v>
      </c>
      <c r="S145" s="343">
        <f t="shared" si="35"/>
        <v>0</v>
      </c>
      <c r="T145" s="343"/>
      <c r="U145" s="343">
        <f t="shared" ca="1" si="25"/>
        <v>1.0000000000000002</v>
      </c>
      <c r="V145" s="345">
        <f t="shared" si="36"/>
        <v>22.392857142857142</v>
      </c>
      <c r="W145" s="186"/>
      <c r="X145" s="207"/>
    </row>
    <row r="146" spans="2:24" x14ac:dyDescent="0.3">
      <c r="B146" s="246">
        <v>139</v>
      </c>
      <c r="C146" s="437">
        <f>B146*MechanicalData!$B$22/360</f>
        <v>21.236111111111111</v>
      </c>
      <c r="D146" s="437">
        <f>MechanicalData!$B$22</f>
        <v>55</v>
      </c>
      <c r="E146" s="248">
        <v>139</v>
      </c>
      <c r="F146" s="453">
        <v>25.023</v>
      </c>
      <c r="G146" s="437">
        <v>69.998000000000005</v>
      </c>
      <c r="H146" s="339">
        <f t="shared" si="26"/>
        <v>139</v>
      </c>
      <c r="I146" s="451">
        <f t="shared" si="27"/>
        <v>55</v>
      </c>
      <c r="J146" s="340">
        <f t="shared" si="28"/>
        <v>0.15277777777777779</v>
      </c>
      <c r="K146" s="341">
        <f t="shared" si="29"/>
        <v>21.236111111111111</v>
      </c>
      <c r="L146" s="333">
        <f t="shared" si="30"/>
        <v>3112.6071428571427</v>
      </c>
      <c r="M146" s="342">
        <f t="shared" si="31"/>
        <v>3113</v>
      </c>
      <c r="N146" s="343">
        <f t="shared" si="32"/>
        <v>21.236111111111111</v>
      </c>
      <c r="O146" s="343"/>
      <c r="P146" s="343">
        <f t="shared" si="33"/>
        <v>0</v>
      </c>
      <c r="Q146" s="344"/>
      <c r="R146" s="343">
        <f t="shared" si="34"/>
        <v>139.00000000000017</v>
      </c>
      <c r="S146" s="343">
        <f t="shared" si="35"/>
        <v>0</v>
      </c>
      <c r="T146" s="343"/>
      <c r="U146" s="343">
        <f t="shared" ca="1" si="25"/>
        <v>1.0000000000000002</v>
      </c>
      <c r="V146" s="345">
        <f t="shared" si="36"/>
        <v>22.392857142857142</v>
      </c>
      <c r="W146" s="186"/>
      <c r="X146" s="207"/>
    </row>
    <row r="147" spans="2:24" x14ac:dyDescent="0.3">
      <c r="B147" s="246">
        <v>140</v>
      </c>
      <c r="C147" s="437">
        <f>B147*MechanicalData!$B$22/360</f>
        <v>21.388888888888889</v>
      </c>
      <c r="D147" s="437">
        <f>MechanicalData!$B$22</f>
        <v>55</v>
      </c>
      <c r="E147" s="248">
        <v>140</v>
      </c>
      <c r="F147" s="453">
        <v>25.216999999999999</v>
      </c>
      <c r="G147" s="437">
        <v>69.998000000000005</v>
      </c>
      <c r="H147" s="339">
        <f t="shared" si="26"/>
        <v>140</v>
      </c>
      <c r="I147" s="451">
        <f t="shared" si="27"/>
        <v>55</v>
      </c>
      <c r="J147" s="340">
        <f t="shared" si="28"/>
        <v>0.15277777777777779</v>
      </c>
      <c r="K147" s="341">
        <f t="shared" si="29"/>
        <v>21.388888888888889</v>
      </c>
      <c r="L147" s="333">
        <f t="shared" si="30"/>
        <v>3135</v>
      </c>
      <c r="M147" s="342">
        <f t="shared" si="31"/>
        <v>3135</v>
      </c>
      <c r="N147" s="343">
        <f t="shared" si="32"/>
        <v>21.388888888888889</v>
      </c>
      <c r="O147" s="343"/>
      <c r="P147" s="343">
        <f t="shared" si="33"/>
        <v>0</v>
      </c>
      <c r="Q147" s="344"/>
      <c r="R147" s="343">
        <f t="shared" si="34"/>
        <v>140.00000000000017</v>
      </c>
      <c r="S147" s="343">
        <f t="shared" si="35"/>
        <v>0</v>
      </c>
      <c r="T147" s="343"/>
      <c r="U147" s="343">
        <f t="shared" ca="1" si="25"/>
        <v>1.0000000000000002</v>
      </c>
      <c r="V147" s="345">
        <f t="shared" si="36"/>
        <v>22.392857142857142</v>
      </c>
      <c r="W147" s="186"/>
      <c r="X147" s="207"/>
    </row>
    <row r="148" spans="2:24" x14ac:dyDescent="0.3">
      <c r="B148" s="246">
        <v>141</v>
      </c>
      <c r="C148" s="437">
        <f>B148*MechanicalData!$B$22/360</f>
        <v>21.541666666666668</v>
      </c>
      <c r="D148" s="437">
        <f>MechanicalData!$B$22</f>
        <v>55</v>
      </c>
      <c r="E148" s="248">
        <v>141</v>
      </c>
      <c r="F148" s="453">
        <v>25.411000000000001</v>
      </c>
      <c r="G148" s="437">
        <v>69.998000000000005</v>
      </c>
      <c r="H148" s="339">
        <f t="shared" si="26"/>
        <v>141</v>
      </c>
      <c r="I148" s="451">
        <f t="shared" si="27"/>
        <v>55</v>
      </c>
      <c r="J148" s="340">
        <f t="shared" si="28"/>
        <v>0.15277777777777779</v>
      </c>
      <c r="K148" s="341">
        <f t="shared" si="29"/>
        <v>21.541666666666668</v>
      </c>
      <c r="L148" s="333">
        <f t="shared" si="30"/>
        <v>3157.3928571428569</v>
      </c>
      <c r="M148" s="342">
        <f t="shared" si="31"/>
        <v>3157</v>
      </c>
      <c r="N148" s="343">
        <f t="shared" si="32"/>
        <v>21.541666666666664</v>
      </c>
      <c r="O148" s="343"/>
      <c r="P148" s="343">
        <f t="shared" si="33"/>
        <v>0</v>
      </c>
      <c r="Q148" s="344"/>
      <c r="R148" s="343">
        <f t="shared" si="34"/>
        <v>141.00000000000017</v>
      </c>
      <c r="S148" s="343">
        <f t="shared" si="35"/>
        <v>0</v>
      </c>
      <c r="T148" s="343"/>
      <c r="U148" s="343">
        <f t="shared" ca="1" si="25"/>
        <v>1.0000000000000002</v>
      </c>
      <c r="V148" s="345">
        <f t="shared" si="36"/>
        <v>22.392857142857142</v>
      </c>
      <c r="W148" s="186"/>
      <c r="X148" s="207"/>
    </row>
    <row r="149" spans="2:24" x14ac:dyDescent="0.3">
      <c r="B149" s="246">
        <v>142</v>
      </c>
      <c r="C149" s="437">
        <f>B149*MechanicalData!$B$22/360</f>
        <v>21.694444444444443</v>
      </c>
      <c r="D149" s="437">
        <f>MechanicalData!$B$22</f>
        <v>55</v>
      </c>
      <c r="E149" s="248">
        <v>142</v>
      </c>
      <c r="F149" s="453">
        <v>25.606000000000002</v>
      </c>
      <c r="G149" s="437">
        <v>69.998000000000005</v>
      </c>
      <c r="H149" s="339">
        <f t="shared" si="26"/>
        <v>142</v>
      </c>
      <c r="I149" s="451">
        <f t="shared" si="27"/>
        <v>55</v>
      </c>
      <c r="J149" s="340">
        <f t="shared" si="28"/>
        <v>0.15277777777777779</v>
      </c>
      <c r="K149" s="341">
        <f t="shared" si="29"/>
        <v>21.694444444444443</v>
      </c>
      <c r="L149" s="333">
        <f t="shared" si="30"/>
        <v>3179.7857142857138</v>
      </c>
      <c r="M149" s="342">
        <f t="shared" si="31"/>
        <v>3180</v>
      </c>
      <c r="N149" s="343">
        <f t="shared" si="32"/>
        <v>21.694444444444443</v>
      </c>
      <c r="O149" s="343"/>
      <c r="P149" s="343">
        <f t="shared" si="33"/>
        <v>0</v>
      </c>
      <c r="Q149" s="344"/>
      <c r="R149" s="343">
        <f t="shared" si="34"/>
        <v>142.00000000000014</v>
      </c>
      <c r="S149" s="343">
        <f t="shared" si="35"/>
        <v>0</v>
      </c>
      <c r="T149" s="343"/>
      <c r="U149" s="343">
        <f t="shared" ca="1" si="25"/>
        <v>1.0000000000000002</v>
      </c>
      <c r="V149" s="345">
        <f t="shared" si="36"/>
        <v>22.392857142857142</v>
      </c>
      <c r="W149" s="186"/>
      <c r="X149" s="207"/>
    </row>
    <row r="150" spans="2:24" x14ac:dyDescent="0.3">
      <c r="B150" s="246">
        <v>143</v>
      </c>
      <c r="C150" s="437">
        <f>B150*MechanicalData!$B$22/360</f>
        <v>21.847222222222221</v>
      </c>
      <c r="D150" s="437">
        <f>MechanicalData!$B$22</f>
        <v>55</v>
      </c>
      <c r="E150" s="248">
        <v>143</v>
      </c>
      <c r="F150" s="453">
        <v>25.8</v>
      </c>
      <c r="G150" s="437">
        <v>69.998000000000005</v>
      </c>
      <c r="H150" s="339">
        <f t="shared" si="26"/>
        <v>143</v>
      </c>
      <c r="I150" s="451">
        <f t="shared" si="27"/>
        <v>55</v>
      </c>
      <c r="J150" s="340">
        <f t="shared" si="28"/>
        <v>0.15277777777777779</v>
      </c>
      <c r="K150" s="341">
        <f t="shared" si="29"/>
        <v>21.847222222222221</v>
      </c>
      <c r="L150" s="333">
        <f t="shared" si="30"/>
        <v>3202.1785714285711</v>
      </c>
      <c r="M150" s="342">
        <f t="shared" si="31"/>
        <v>3202</v>
      </c>
      <c r="N150" s="343">
        <f t="shared" si="32"/>
        <v>21.847222222222221</v>
      </c>
      <c r="O150" s="343"/>
      <c r="P150" s="343">
        <f t="shared" si="33"/>
        <v>0</v>
      </c>
      <c r="Q150" s="344"/>
      <c r="R150" s="343">
        <f t="shared" si="34"/>
        <v>143.00000000000017</v>
      </c>
      <c r="S150" s="343">
        <f t="shared" si="35"/>
        <v>0</v>
      </c>
      <c r="T150" s="343"/>
      <c r="U150" s="343">
        <f t="shared" ca="1" si="25"/>
        <v>1.0000000000000002</v>
      </c>
      <c r="V150" s="345">
        <f t="shared" si="36"/>
        <v>22.392857142857142</v>
      </c>
      <c r="W150" s="186"/>
      <c r="X150" s="207"/>
    </row>
    <row r="151" spans="2:24" x14ac:dyDescent="0.3">
      <c r="B151" s="246">
        <v>144</v>
      </c>
      <c r="C151" s="437">
        <f>B151*MechanicalData!$B$22/360</f>
        <v>22</v>
      </c>
      <c r="D151" s="437">
        <f>MechanicalData!$B$22</f>
        <v>55</v>
      </c>
      <c r="E151" s="248">
        <v>144</v>
      </c>
      <c r="F151" s="453">
        <v>25.995000000000001</v>
      </c>
      <c r="G151" s="437">
        <v>69.998000000000005</v>
      </c>
      <c r="H151" s="339">
        <f t="shared" si="26"/>
        <v>144</v>
      </c>
      <c r="I151" s="451">
        <f t="shared" si="27"/>
        <v>55</v>
      </c>
      <c r="J151" s="340">
        <f t="shared" si="28"/>
        <v>0.15277777777777779</v>
      </c>
      <c r="K151" s="341">
        <f t="shared" si="29"/>
        <v>22</v>
      </c>
      <c r="L151" s="333">
        <f t="shared" si="30"/>
        <v>3224.5714285714284</v>
      </c>
      <c r="M151" s="342">
        <f t="shared" si="31"/>
        <v>3225</v>
      </c>
      <c r="N151" s="343">
        <f t="shared" si="32"/>
        <v>22</v>
      </c>
      <c r="O151" s="343"/>
      <c r="P151" s="343">
        <f t="shared" si="33"/>
        <v>0</v>
      </c>
      <c r="Q151" s="344"/>
      <c r="R151" s="343">
        <f t="shared" si="34"/>
        <v>144.00000000000017</v>
      </c>
      <c r="S151" s="343">
        <f t="shared" si="35"/>
        <v>0</v>
      </c>
      <c r="T151" s="343"/>
      <c r="U151" s="343">
        <f t="shared" ca="1" si="25"/>
        <v>1.0000000000000002</v>
      </c>
      <c r="V151" s="345">
        <f t="shared" si="36"/>
        <v>22.392857142857142</v>
      </c>
      <c r="W151" s="186"/>
      <c r="X151" s="207"/>
    </row>
    <row r="152" spans="2:24" x14ac:dyDescent="0.3">
      <c r="B152" s="246">
        <v>145</v>
      </c>
      <c r="C152" s="437">
        <f>B152*MechanicalData!$B$22/360</f>
        <v>22.152777777777779</v>
      </c>
      <c r="D152" s="437">
        <f>MechanicalData!$B$22</f>
        <v>55</v>
      </c>
      <c r="E152" s="248">
        <v>145</v>
      </c>
      <c r="F152" s="453">
        <v>26.189</v>
      </c>
      <c r="G152" s="437">
        <v>69.998000000000005</v>
      </c>
      <c r="H152" s="339">
        <f t="shared" si="26"/>
        <v>145</v>
      </c>
      <c r="I152" s="451">
        <f t="shared" si="27"/>
        <v>55</v>
      </c>
      <c r="J152" s="340">
        <f t="shared" si="28"/>
        <v>0.15277777777777779</v>
      </c>
      <c r="K152" s="341">
        <f t="shared" si="29"/>
        <v>22.152777777777779</v>
      </c>
      <c r="L152" s="333">
        <f t="shared" si="30"/>
        <v>3246.9642857142853</v>
      </c>
      <c r="M152" s="342">
        <f t="shared" si="31"/>
        <v>3247</v>
      </c>
      <c r="N152" s="343">
        <f t="shared" si="32"/>
        <v>22.152777777777775</v>
      </c>
      <c r="O152" s="343"/>
      <c r="P152" s="343">
        <f t="shared" si="33"/>
        <v>0</v>
      </c>
      <c r="Q152" s="344"/>
      <c r="R152" s="343">
        <f t="shared" si="34"/>
        <v>145.00000000000017</v>
      </c>
      <c r="S152" s="343">
        <f t="shared" si="35"/>
        <v>0</v>
      </c>
      <c r="T152" s="343"/>
      <c r="U152" s="343">
        <f t="shared" ca="1" si="25"/>
        <v>1.0000000000000002</v>
      </c>
      <c r="V152" s="345">
        <f t="shared" si="36"/>
        <v>22.392857142857142</v>
      </c>
      <c r="W152" s="186"/>
      <c r="X152" s="207"/>
    </row>
    <row r="153" spans="2:24" x14ac:dyDescent="0.3">
      <c r="B153" s="246">
        <v>146</v>
      </c>
      <c r="C153" s="437">
        <f>B153*MechanicalData!$B$22/360</f>
        <v>22.305555555555557</v>
      </c>
      <c r="D153" s="437">
        <f>MechanicalData!$B$22</f>
        <v>55</v>
      </c>
      <c r="E153" s="248">
        <v>146</v>
      </c>
      <c r="F153" s="453">
        <v>26.384</v>
      </c>
      <c r="G153" s="437">
        <v>69.998000000000005</v>
      </c>
      <c r="H153" s="339">
        <f t="shared" si="26"/>
        <v>146</v>
      </c>
      <c r="I153" s="451">
        <f t="shared" si="27"/>
        <v>55</v>
      </c>
      <c r="J153" s="340">
        <f t="shared" si="28"/>
        <v>0.15277777777777779</v>
      </c>
      <c r="K153" s="341">
        <f t="shared" si="29"/>
        <v>22.305555555555557</v>
      </c>
      <c r="L153" s="333">
        <f t="shared" si="30"/>
        <v>3269.3571428571427</v>
      </c>
      <c r="M153" s="342">
        <f t="shared" si="31"/>
        <v>3269</v>
      </c>
      <c r="N153" s="343">
        <f t="shared" si="32"/>
        <v>22.305555555555554</v>
      </c>
      <c r="O153" s="343"/>
      <c r="P153" s="343">
        <f t="shared" si="33"/>
        <v>0</v>
      </c>
      <c r="Q153" s="344"/>
      <c r="R153" s="343">
        <f t="shared" si="34"/>
        <v>146.00000000000017</v>
      </c>
      <c r="S153" s="343">
        <f t="shared" si="35"/>
        <v>0</v>
      </c>
      <c r="T153" s="343"/>
      <c r="U153" s="343">
        <f t="shared" ca="1" si="25"/>
        <v>1.0000000000000002</v>
      </c>
      <c r="V153" s="345">
        <f t="shared" si="36"/>
        <v>22.392857142857142</v>
      </c>
      <c r="W153" s="186"/>
      <c r="X153" s="207"/>
    </row>
    <row r="154" spans="2:24" x14ac:dyDescent="0.3">
      <c r="B154" s="246">
        <v>147</v>
      </c>
      <c r="C154" s="437">
        <f>B154*MechanicalData!$B$22/360</f>
        <v>22.458333333333332</v>
      </c>
      <c r="D154" s="437">
        <f>MechanicalData!$B$22</f>
        <v>55</v>
      </c>
      <c r="E154" s="248">
        <v>147</v>
      </c>
      <c r="F154" s="453">
        <v>26.577999999999999</v>
      </c>
      <c r="G154" s="437">
        <v>69.998000000000005</v>
      </c>
      <c r="H154" s="339">
        <f t="shared" si="26"/>
        <v>147</v>
      </c>
      <c r="I154" s="451">
        <f t="shared" si="27"/>
        <v>55</v>
      </c>
      <c r="J154" s="340">
        <f t="shared" si="28"/>
        <v>0.15277777777777779</v>
      </c>
      <c r="K154" s="341">
        <f t="shared" si="29"/>
        <v>22.458333333333332</v>
      </c>
      <c r="L154" s="333">
        <f t="shared" si="30"/>
        <v>3291.7499999999995</v>
      </c>
      <c r="M154" s="342">
        <f t="shared" si="31"/>
        <v>3292</v>
      </c>
      <c r="N154" s="343">
        <f t="shared" si="32"/>
        <v>22.458333333333329</v>
      </c>
      <c r="O154" s="343"/>
      <c r="P154" s="343">
        <f t="shared" si="33"/>
        <v>0</v>
      </c>
      <c r="Q154" s="344"/>
      <c r="R154" s="343">
        <f t="shared" si="34"/>
        <v>147.00000000000017</v>
      </c>
      <c r="S154" s="343">
        <f t="shared" si="35"/>
        <v>0</v>
      </c>
      <c r="T154" s="343"/>
      <c r="U154" s="343">
        <f t="shared" ca="1" si="25"/>
        <v>1.0000000000000002</v>
      </c>
      <c r="V154" s="345">
        <f t="shared" si="36"/>
        <v>22.392857142857142</v>
      </c>
      <c r="W154" s="186"/>
      <c r="X154" s="207"/>
    </row>
    <row r="155" spans="2:24" x14ac:dyDescent="0.3">
      <c r="B155" s="246">
        <v>148</v>
      </c>
      <c r="C155" s="437">
        <f>B155*MechanicalData!$B$22/360</f>
        <v>22.611111111111111</v>
      </c>
      <c r="D155" s="437">
        <f>MechanicalData!$B$22</f>
        <v>55</v>
      </c>
      <c r="E155" s="248">
        <v>148</v>
      </c>
      <c r="F155" s="453">
        <v>26.771999999999998</v>
      </c>
      <c r="G155" s="437">
        <v>69.998000000000005</v>
      </c>
      <c r="H155" s="339">
        <f t="shared" si="26"/>
        <v>148</v>
      </c>
      <c r="I155" s="451">
        <f t="shared" si="27"/>
        <v>55</v>
      </c>
      <c r="J155" s="340">
        <f t="shared" si="28"/>
        <v>0.15277777777777779</v>
      </c>
      <c r="K155" s="341">
        <f t="shared" si="29"/>
        <v>22.611111111111111</v>
      </c>
      <c r="L155" s="333">
        <f t="shared" si="30"/>
        <v>3314.1428571428569</v>
      </c>
      <c r="M155" s="342">
        <f t="shared" si="31"/>
        <v>3314</v>
      </c>
      <c r="N155" s="343">
        <f t="shared" si="32"/>
        <v>22.611111111111111</v>
      </c>
      <c r="O155" s="343"/>
      <c r="P155" s="343">
        <f t="shared" si="33"/>
        <v>0</v>
      </c>
      <c r="Q155" s="344"/>
      <c r="R155" s="343">
        <f t="shared" si="34"/>
        <v>148.00000000000017</v>
      </c>
      <c r="S155" s="343">
        <f t="shared" si="35"/>
        <v>0</v>
      </c>
      <c r="T155" s="343"/>
      <c r="U155" s="343">
        <f t="shared" ca="1" si="25"/>
        <v>1.0000000000000002</v>
      </c>
      <c r="V155" s="345">
        <f t="shared" si="36"/>
        <v>22.392857142857142</v>
      </c>
      <c r="W155" s="186"/>
      <c r="X155" s="207"/>
    </row>
    <row r="156" spans="2:24" x14ac:dyDescent="0.3">
      <c r="B156" s="246">
        <v>149</v>
      </c>
      <c r="C156" s="437">
        <f>B156*MechanicalData!$B$22/360</f>
        <v>22.763888888888889</v>
      </c>
      <c r="D156" s="437">
        <f>MechanicalData!$B$22</f>
        <v>55</v>
      </c>
      <c r="E156" s="248">
        <v>149</v>
      </c>
      <c r="F156" s="453">
        <v>26.966999999999999</v>
      </c>
      <c r="G156" s="437">
        <v>69.998000000000005</v>
      </c>
      <c r="H156" s="339">
        <f t="shared" si="26"/>
        <v>149</v>
      </c>
      <c r="I156" s="451">
        <f t="shared" si="27"/>
        <v>55</v>
      </c>
      <c r="J156" s="340">
        <f t="shared" si="28"/>
        <v>0.15277777777777779</v>
      </c>
      <c r="K156" s="341">
        <f t="shared" si="29"/>
        <v>22.763888888888889</v>
      </c>
      <c r="L156" s="333">
        <f t="shared" si="30"/>
        <v>3336.5357142857147</v>
      </c>
      <c r="M156" s="342">
        <f t="shared" si="31"/>
        <v>3337</v>
      </c>
      <c r="N156" s="343">
        <f t="shared" si="32"/>
        <v>22.763888888888889</v>
      </c>
      <c r="O156" s="343"/>
      <c r="P156" s="343">
        <f t="shared" si="33"/>
        <v>0</v>
      </c>
      <c r="Q156" s="344"/>
      <c r="R156" s="343">
        <f t="shared" si="34"/>
        <v>149.0000000000002</v>
      </c>
      <c r="S156" s="343">
        <f t="shared" si="35"/>
        <v>0</v>
      </c>
      <c r="T156" s="343"/>
      <c r="U156" s="343">
        <f t="shared" ca="1" si="25"/>
        <v>1.0000000000000002</v>
      </c>
      <c r="V156" s="345">
        <f t="shared" si="36"/>
        <v>22.392857142857142</v>
      </c>
      <c r="W156" s="186"/>
      <c r="X156" s="207"/>
    </row>
    <row r="157" spans="2:24" x14ac:dyDescent="0.3">
      <c r="B157" s="246">
        <v>150</v>
      </c>
      <c r="C157" s="437">
        <f>B157*MechanicalData!$B$22/360</f>
        <v>22.916666666666668</v>
      </c>
      <c r="D157" s="437">
        <f>MechanicalData!$B$22</f>
        <v>55</v>
      </c>
      <c r="E157" s="248">
        <v>150</v>
      </c>
      <c r="F157" s="453">
        <v>27.161000000000001</v>
      </c>
      <c r="G157" s="437">
        <v>69.998000000000005</v>
      </c>
      <c r="H157" s="339">
        <f t="shared" si="26"/>
        <v>150</v>
      </c>
      <c r="I157" s="451">
        <f t="shared" si="27"/>
        <v>55</v>
      </c>
      <c r="J157" s="340">
        <f t="shared" si="28"/>
        <v>0.15277777777777779</v>
      </c>
      <c r="K157" s="341">
        <f t="shared" si="29"/>
        <v>22.916666666666668</v>
      </c>
      <c r="L157" s="333">
        <f t="shared" si="30"/>
        <v>3358.9285714285711</v>
      </c>
      <c r="M157" s="342">
        <f t="shared" si="31"/>
        <v>3359</v>
      </c>
      <c r="N157" s="343">
        <f t="shared" si="32"/>
        <v>22.916666666666664</v>
      </c>
      <c r="O157" s="343"/>
      <c r="P157" s="343">
        <f t="shared" si="33"/>
        <v>0</v>
      </c>
      <c r="Q157" s="344"/>
      <c r="R157" s="343">
        <f t="shared" si="34"/>
        <v>150.00000000000017</v>
      </c>
      <c r="S157" s="343">
        <f t="shared" si="35"/>
        <v>0</v>
      </c>
      <c r="T157" s="343"/>
      <c r="U157" s="343">
        <f t="shared" ca="1" si="25"/>
        <v>1.0000000000000002</v>
      </c>
      <c r="V157" s="345">
        <f t="shared" si="36"/>
        <v>22.392857142857142</v>
      </c>
      <c r="W157" s="186"/>
      <c r="X157" s="207"/>
    </row>
    <row r="158" spans="2:24" x14ac:dyDescent="0.3">
      <c r="B158" s="246">
        <v>151</v>
      </c>
      <c r="C158" s="437">
        <f>B158*MechanicalData!$B$22/360</f>
        <v>23.069444444444443</v>
      </c>
      <c r="D158" s="437">
        <f>MechanicalData!$B$22</f>
        <v>55</v>
      </c>
      <c r="E158" s="248">
        <v>151</v>
      </c>
      <c r="F158" s="453">
        <v>27.356000000000002</v>
      </c>
      <c r="G158" s="437">
        <v>69.998000000000005</v>
      </c>
      <c r="H158" s="339">
        <f t="shared" si="26"/>
        <v>151</v>
      </c>
      <c r="I158" s="451">
        <f t="shared" si="27"/>
        <v>55</v>
      </c>
      <c r="J158" s="340">
        <f t="shared" si="28"/>
        <v>0.15277777777777779</v>
      </c>
      <c r="K158" s="341">
        <f t="shared" si="29"/>
        <v>23.069444444444443</v>
      </c>
      <c r="L158" s="333">
        <f t="shared" si="30"/>
        <v>3381.321428571428</v>
      </c>
      <c r="M158" s="342">
        <f t="shared" si="31"/>
        <v>3381</v>
      </c>
      <c r="N158" s="343">
        <f t="shared" si="32"/>
        <v>23.069444444444439</v>
      </c>
      <c r="O158" s="343"/>
      <c r="P158" s="343">
        <f t="shared" si="33"/>
        <v>0</v>
      </c>
      <c r="Q158" s="344"/>
      <c r="R158" s="343">
        <f t="shared" si="34"/>
        <v>151.00000000000017</v>
      </c>
      <c r="S158" s="343">
        <f t="shared" si="35"/>
        <v>0</v>
      </c>
      <c r="T158" s="343"/>
      <c r="U158" s="343">
        <f t="shared" ca="1" si="25"/>
        <v>1.0000000000000002</v>
      </c>
      <c r="V158" s="345">
        <f t="shared" si="36"/>
        <v>22.392857142857142</v>
      </c>
      <c r="W158" s="186"/>
      <c r="X158" s="207"/>
    </row>
    <row r="159" spans="2:24" x14ac:dyDescent="0.3">
      <c r="B159" s="246">
        <v>152</v>
      </c>
      <c r="C159" s="437">
        <f>B159*MechanicalData!$B$22/360</f>
        <v>23.222222222222221</v>
      </c>
      <c r="D159" s="437">
        <f>MechanicalData!$B$22</f>
        <v>55</v>
      </c>
      <c r="E159" s="248">
        <v>152</v>
      </c>
      <c r="F159" s="453">
        <v>27.55</v>
      </c>
      <c r="G159" s="437">
        <v>69.998000000000005</v>
      </c>
      <c r="H159" s="339">
        <f t="shared" si="26"/>
        <v>152</v>
      </c>
      <c r="I159" s="451">
        <f t="shared" si="27"/>
        <v>55</v>
      </c>
      <c r="J159" s="340">
        <f t="shared" si="28"/>
        <v>0.15277777777777779</v>
      </c>
      <c r="K159" s="341">
        <f t="shared" si="29"/>
        <v>23.222222222222221</v>
      </c>
      <c r="L159" s="333">
        <f t="shared" si="30"/>
        <v>3403.7142857142853</v>
      </c>
      <c r="M159" s="342">
        <f t="shared" si="31"/>
        <v>3404</v>
      </c>
      <c r="N159" s="343">
        <f t="shared" si="32"/>
        <v>23.222222222222218</v>
      </c>
      <c r="O159" s="343"/>
      <c r="P159" s="343">
        <f t="shared" si="33"/>
        <v>0</v>
      </c>
      <c r="Q159" s="344"/>
      <c r="R159" s="343">
        <f t="shared" si="34"/>
        <v>152.00000000000017</v>
      </c>
      <c r="S159" s="343">
        <f t="shared" si="35"/>
        <v>0</v>
      </c>
      <c r="T159" s="343"/>
      <c r="U159" s="343">
        <f t="shared" ca="1" si="25"/>
        <v>1.0000000000000002</v>
      </c>
      <c r="V159" s="345">
        <f t="shared" si="36"/>
        <v>22.392857142857142</v>
      </c>
      <c r="W159" s="186"/>
      <c r="X159" s="207"/>
    </row>
    <row r="160" spans="2:24" x14ac:dyDescent="0.3">
      <c r="B160" s="246">
        <v>153</v>
      </c>
      <c r="C160" s="437">
        <f>B160*MechanicalData!$B$22/360</f>
        <v>23.375</v>
      </c>
      <c r="D160" s="437">
        <f>MechanicalData!$B$22</f>
        <v>55</v>
      </c>
      <c r="E160" s="248">
        <v>153</v>
      </c>
      <c r="F160" s="453">
        <v>27.745000000000001</v>
      </c>
      <c r="G160" s="437">
        <v>69.998000000000005</v>
      </c>
      <c r="H160" s="339">
        <f t="shared" si="26"/>
        <v>153</v>
      </c>
      <c r="I160" s="451">
        <f t="shared" si="27"/>
        <v>55</v>
      </c>
      <c r="J160" s="340">
        <f t="shared" si="28"/>
        <v>0.15277777777777779</v>
      </c>
      <c r="K160" s="341">
        <f t="shared" si="29"/>
        <v>23.375</v>
      </c>
      <c r="L160" s="333">
        <f t="shared" si="30"/>
        <v>3426.1071428571427</v>
      </c>
      <c r="M160" s="342">
        <f t="shared" si="31"/>
        <v>3426</v>
      </c>
      <c r="N160" s="343">
        <f t="shared" si="32"/>
        <v>23.374999999999996</v>
      </c>
      <c r="O160" s="343"/>
      <c r="P160" s="343">
        <f t="shared" si="33"/>
        <v>0</v>
      </c>
      <c r="Q160" s="344"/>
      <c r="R160" s="343">
        <f t="shared" si="34"/>
        <v>153.00000000000017</v>
      </c>
      <c r="S160" s="343">
        <f t="shared" si="35"/>
        <v>0</v>
      </c>
      <c r="T160" s="343"/>
      <c r="U160" s="343">
        <f t="shared" ca="1" si="25"/>
        <v>1.0000000000000002</v>
      </c>
      <c r="V160" s="345">
        <f t="shared" si="36"/>
        <v>22.392857142857142</v>
      </c>
      <c r="W160" s="186"/>
      <c r="X160" s="207"/>
    </row>
    <row r="161" spans="2:24" x14ac:dyDescent="0.3">
      <c r="B161" s="246">
        <v>154</v>
      </c>
      <c r="C161" s="437">
        <f>B161*MechanicalData!$B$22/360</f>
        <v>23.527777777777779</v>
      </c>
      <c r="D161" s="437">
        <f>MechanicalData!$B$22</f>
        <v>55</v>
      </c>
      <c r="E161" s="248">
        <v>154</v>
      </c>
      <c r="F161" s="453">
        <v>27.939</v>
      </c>
      <c r="G161" s="437">
        <v>69.998000000000005</v>
      </c>
      <c r="H161" s="339">
        <f t="shared" si="26"/>
        <v>154</v>
      </c>
      <c r="I161" s="451">
        <f t="shared" si="27"/>
        <v>55</v>
      </c>
      <c r="J161" s="340">
        <f t="shared" si="28"/>
        <v>0.15277777777777779</v>
      </c>
      <c r="K161" s="341">
        <f t="shared" si="29"/>
        <v>23.527777777777779</v>
      </c>
      <c r="L161" s="333">
        <f t="shared" si="30"/>
        <v>3448.5000000000005</v>
      </c>
      <c r="M161" s="342">
        <f t="shared" si="31"/>
        <v>3449</v>
      </c>
      <c r="N161" s="343">
        <f t="shared" si="32"/>
        <v>23.527777777777779</v>
      </c>
      <c r="O161" s="343"/>
      <c r="P161" s="343">
        <f t="shared" si="33"/>
        <v>0</v>
      </c>
      <c r="Q161" s="344"/>
      <c r="R161" s="343">
        <f t="shared" si="34"/>
        <v>154.0000000000002</v>
      </c>
      <c r="S161" s="343">
        <f t="shared" si="35"/>
        <v>0</v>
      </c>
      <c r="T161" s="343"/>
      <c r="U161" s="343">
        <f t="shared" ca="1" si="25"/>
        <v>1.0000000000000002</v>
      </c>
      <c r="V161" s="345">
        <f t="shared" si="36"/>
        <v>22.392857142857142</v>
      </c>
      <c r="W161" s="186"/>
      <c r="X161" s="207"/>
    </row>
    <row r="162" spans="2:24" x14ac:dyDescent="0.3">
      <c r="B162" s="246">
        <v>155</v>
      </c>
      <c r="C162" s="437">
        <f>B162*MechanicalData!$B$22/360</f>
        <v>23.680555555555557</v>
      </c>
      <c r="D162" s="437">
        <f>MechanicalData!$B$22</f>
        <v>55</v>
      </c>
      <c r="E162" s="248">
        <v>155</v>
      </c>
      <c r="F162" s="453">
        <v>28.134</v>
      </c>
      <c r="G162" s="437">
        <v>69.998000000000005</v>
      </c>
      <c r="H162" s="339">
        <f t="shared" si="26"/>
        <v>155</v>
      </c>
      <c r="I162" s="451">
        <f t="shared" si="27"/>
        <v>55</v>
      </c>
      <c r="J162" s="340">
        <f t="shared" si="28"/>
        <v>0.15277777777777779</v>
      </c>
      <c r="K162" s="341">
        <f t="shared" si="29"/>
        <v>23.680555555555557</v>
      </c>
      <c r="L162" s="333">
        <f t="shared" si="30"/>
        <v>3470.8928571428569</v>
      </c>
      <c r="M162" s="342">
        <f t="shared" si="31"/>
        <v>3471</v>
      </c>
      <c r="N162" s="343">
        <f t="shared" si="32"/>
        <v>23.680555555555554</v>
      </c>
      <c r="O162" s="343"/>
      <c r="P162" s="343">
        <f t="shared" si="33"/>
        <v>0</v>
      </c>
      <c r="Q162" s="344"/>
      <c r="R162" s="343">
        <f t="shared" si="34"/>
        <v>155.00000000000017</v>
      </c>
      <c r="S162" s="343">
        <f t="shared" si="35"/>
        <v>0</v>
      </c>
      <c r="T162" s="343"/>
      <c r="U162" s="343">
        <f t="shared" ca="1" si="25"/>
        <v>1.0000000000000002</v>
      </c>
      <c r="V162" s="345">
        <f t="shared" si="36"/>
        <v>22.392857142857142</v>
      </c>
      <c r="W162" s="186"/>
      <c r="X162" s="207"/>
    </row>
    <row r="163" spans="2:24" x14ac:dyDescent="0.3">
      <c r="B163" s="246">
        <v>156</v>
      </c>
      <c r="C163" s="437">
        <f>B163*MechanicalData!$B$22/360</f>
        <v>23.833333333333332</v>
      </c>
      <c r="D163" s="437">
        <f>MechanicalData!$B$22</f>
        <v>55</v>
      </c>
      <c r="E163" s="248">
        <v>156</v>
      </c>
      <c r="F163" s="453">
        <v>28.327999999999999</v>
      </c>
      <c r="G163" s="437">
        <v>69.998000000000005</v>
      </c>
      <c r="H163" s="339">
        <f t="shared" si="26"/>
        <v>156</v>
      </c>
      <c r="I163" s="451">
        <f t="shared" si="27"/>
        <v>55</v>
      </c>
      <c r="J163" s="340">
        <f t="shared" si="28"/>
        <v>0.15277777777777779</v>
      </c>
      <c r="K163" s="341">
        <f t="shared" si="29"/>
        <v>23.833333333333332</v>
      </c>
      <c r="L163" s="333">
        <f t="shared" si="30"/>
        <v>3493.2857142857138</v>
      </c>
      <c r="M163" s="342">
        <f t="shared" si="31"/>
        <v>3493</v>
      </c>
      <c r="N163" s="343">
        <f t="shared" si="32"/>
        <v>23.833333333333329</v>
      </c>
      <c r="O163" s="343"/>
      <c r="P163" s="343">
        <f t="shared" si="33"/>
        <v>0</v>
      </c>
      <c r="Q163" s="344"/>
      <c r="R163" s="343">
        <f t="shared" si="34"/>
        <v>156.00000000000014</v>
      </c>
      <c r="S163" s="343">
        <f t="shared" si="35"/>
        <v>0</v>
      </c>
      <c r="T163" s="343"/>
      <c r="U163" s="343">
        <f t="shared" ca="1" si="25"/>
        <v>1.0000000000000002</v>
      </c>
      <c r="V163" s="345">
        <f t="shared" si="36"/>
        <v>22.392857142857142</v>
      </c>
      <c r="W163" s="186"/>
      <c r="X163" s="207"/>
    </row>
    <row r="164" spans="2:24" x14ac:dyDescent="0.3">
      <c r="B164" s="246">
        <v>157</v>
      </c>
      <c r="C164" s="437">
        <f>B164*MechanicalData!$B$22/360</f>
        <v>23.986111111111111</v>
      </c>
      <c r="D164" s="437">
        <f>MechanicalData!$B$22</f>
        <v>55</v>
      </c>
      <c r="E164" s="248">
        <v>157</v>
      </c>
      <c r="F164" s="453">
        <v>28.521999999999998</v>
      </c>
      <c r="G164" s="437">
        <v>69.998000000000005</v>
      </c>
      <c r="H164" s="339">
        <f t="shared" si="26"/>
        <v>157</v>
      </c>
      <c r="I164" s="451">
        <f t="shared" si="27"/>
        <v>55</v>
      </c>
      <c r="J164" s="340">
        <f t="shared" si="28"/>
        <v>0.15277777777777779</v>
      </c>
      <c r="K164" s="341">
        <f t="shared" si="29"/>
        <v>23.986111111111111</v>
      </c>
      <c r="L164" s="333">
        <f t="shared" si="30"/>
        <v>3515.6785714285711</v>
      </c>
      <c r="M164" s="342">
        <f t="shared" si="31"/>
        <v>3516</v>
      </c>
      <c r="N164" s="343">
        <f t="shared" si="32"/>
        <v>23.986111111111107</v>
      </c>
      <c r="O164" s="343"/>
      <c r="P164" s="343">
        <f t="shared" si="33"/>
        <v>0</v>
      </c>
      <c r="Q164" s="344"/>
      <c r="R164" s="343">
        <f t="shared" si="34"/>
        <v>157.00000000000017</v>
      </c>
      <c r="S164" s="343">
        <f t="shared" si="35"/>
        <v>0</v>
      </c>
      <c r="T164" s="343"/>
      <c r="U164" s="343">
        <f t="shared" ca="1" si="25"/>
        <v>1.0000000000000002</v>
      </c>
      <c r="V164" s="345">
        <f t="shared" si="36"/>
        <v>22.392857142857142</v>
      </c>
      <c r="W164" s="186"/>
      <c r="X164" s="207"/>
    </row>
    <row r="165" spans="2:24" x14ac:dyDescent="0.3">
      <c r="B165" s="246">
        <v>158</v>
      </c>
      <c r="C165" s="437">
        <f>B165*MechanicalData!$B$22/360</f>
        <v>24.138888888888889</v>
      </c>
      <c r="D165" s="437">
        <f>MechanicalData!$B$22</f>
        <v>55</v>
      </c>
      <c r="E165" s="248">
        <v>158</v>
      </c>
      <c r="F165" s="453">
        <v>28.716999999999999</v>
      </c>
      <c r="G165" s="437">
        <v>69.998000000000005</v>
      </c>
      <c r="H165" s="339">
        <f t="shared" si="26"/>
        <v>158</v>
      </c>
      <c r="I165" s="451">
        <f t="shared" si="27"/>
        <v>55</v>
      </c>
      <c r="J165" s="340">
        <f t="shared" si="28"/>
        <v>0.15277777777777779</v>
      </c>
      <c r="K165" s="341">
        <f t="shared" si="29"/>
        <v>24.138888888888889</v>
      </c>
      <c r="L165" s="333">
        <f t="shared" si="30"/>
        <v>3538.0714285714289</v>
      </c>
      <c r="M165" s="342">
        <f t="shared" si="31"/>
        <v>3538</v>
      </c>
      <c r="N165" s="343">
        <f t="shared" si="32"/>
        <v>24.138888888888889</v>
      </c>
      <c r="O165" s="343"/>
      <c r="P165" s="343">
        <f t="shared" si="33"/>
        <v>0</v>
      </c>
      <c r="Q165" s="344"/>
      <c r="R165" s="343">
        <f t="shared" si="34"/>
        <v>158.00000000000023</v>
      </c>
      <c r="S165" s="343">
        <f t="shared" si="35"/>
        <v>-2.2737367544323206E-13</v>
      </c>
      <c r="T165" s="343"/>
      <c r="U165" s="343">
        <f t="shared" ca="1" si="25"/>
        <v>1.0000000000000002</v>
      </c>
      <c r="V165" s="345">
        <f t="shared" si="36"/>
        <v>22.392857142857142</v>
      </c>
      <c r="W165" s="186"/>
      <c r="X165" s="207"/>
    </row>
    <row r="166" spans="2:24" x14ac:dyDescent="0.3">
      <c r="B166" s="246">
        <v>159</v>
      </c>
      <c r="C166" s="437">
        <f>B166*MechanicalData!$B$22/360</f>
        <v>24.291666666666668</v>
      </c>
      <c r="D166" s="437">
        <f>MechanicalData!$B$22</f>
        <v>55</v>
      </c>
      <c r="E166" s="248">
        <v>159</v>
      </c>
      <c r="F166" s="453">
        <v>28.911000000000001</v>
      </c>
      <c r="G166" s="437">
        <v>69.998000000000005</v>
      </c>
      <c r="H166" s="339">
        <f t="shared" si="26"/>
        <v>159</v>
      </c>
      <c r="I166" s="451">
        <f t="shared" si="27"/>
        <v>55</v>
      </c>
      <c r="J166" s="340">
        <f t="shared" si="28"/>
        <v>0.15277777777777779</v>
      </c>
      <c r="K166" s="341">
        <f t="shared" si="29"/>
        <v>24.291666666666668</v>
      </c>
      <c r="L166" s="333">
        <f t="shared" si="30"/>
        <v>3560.4642857142853</v>
      </c>
      <c r="M166" s="342">
        <f t="shared" si="31"/>
        <v>3560</v>
      </c>
      <c r="N166" s="343">
        <f t="shared" si="32"/>
        <v>24.291666666666664</v>
      </c>
      <c r="O166" s="343"/>
      <c r="P166" s="343">
        <f t="shared" si="33"/>
        <v>0</v>
      </c>
      <c r="Q166" s="344"/>
      <c r="R166" s="343">
        <f t="shared" si="34"/>
        <v>159.00000000000017</v>
      </c>
      <c r="S166" s="343">
        <f t="shared" si="35"/>
        <v>0</v>
      </c>
      <c r="T166" s="343"/>
      <c r="U166" s="343">
        <f t="shared" ca="1" si="25"/>
        <v>1.0000000000000002</v>
      </c>
      <c r="V166" s="345">
        <f t="shared" si="36"/>
        <v>22.392857142857142</v>
      </c>
      <c r="W166" s="186"/>
      <c r="X166" s="207"/>
    </row>
    <row r="167" spans="2:24" x14ac:dyDescent="0.3">
      <c r="B167" s="246">
        <v>160</v>
      </c>
      <c r="C167" s="437">
        <f>B167*MechanicalData!$B$22/360</f>
        <v>24.444444444444443</v>
      </c>
      <c r="D167" s="437">
        <f>MechanicalData!$B$22</f>
        <v>55</v>
      </c>
      <c r="E167" s="248">
        <v>160</v>
      </c>
      <c r="F167" s="453">
        <v>29.106000000000002</v>
      </c>
      <c r="G167" s="437">
        <v>69.998000000000005</v>
      </c>
      <c r="H167" s="339">
        <f t="shared" si="26"/>
        <v>160</v>
      </c>
      <c r="I167" s="451">
        <f t="shared" si="27"/>
        <v>55</v>
      </c>
      <c r="J167" s="340">
        <f t="shared" si="28"/>
        <v>0.15277777777777779</v>
      </c>
      <c r="K167" s="341">
        <f t="shared" si="29"/>
        <v>24.444444444444443</v>
      </c>
      <c r="L167" s="333">
        <f t="shared" si="30"/>
        <v>3582.8571428571422</v>
      </c>
      <c r="M167" s="342">
        <f t="shared" si="31"/>
        <v>3583</v>
      </c>
      <c r="N167" s="343">
        <f t="shared" si="32"/>
        <v>24.444444444444439</v>
      </c>
      <c r="O167" s="343"/>
      <c r="P167" s="343">
        <f t="shared" si="33"/>
        <v>0</v>
      </c>
      <c r="Q167" s="344"/>
      <c r="R167" s="343">
        <f t="shared" si="34"/>
        <v>160.0000000000002</v>
      </c>
      <c r="S167" s="343">
        <f t="shared" si="35"/>
        <v>0</v>
      </c>
      <c r="T167" s="343"/>
      <c r="U167" s="343">
        <f t="shared" ca="1" si="25"/>
        <v>1.0000000000000002</v>
      </c>
      <c r="V167" s="345">
        <f t="shared" si="36"/>
        <v>22.392857142857142</v>
      </c>
      <c r="W167" s="186"/>
      <c r="X167" s="207"/>
    </row>
    <row r="168" spans="2:24" x14ac:dyDescent="0.3">
      <c r="B168" s="246">
        <v>161</v>
      </c>
      <c r="C168" s="437">
        <f>B168*MechanicalData!$B$22/360</f>
        <v>24.597222222222221</v>
      </c>
      <c r="D168" s="437">
        <f>MechanicalData!$B$22</f>
        <v>55</v>
      </c>
      <c r="E168" s="248">
        <v>161</v>
      </c>
      <c r="F168" s="453">
        <v>29.3</v>
      </c>
      <c r="G168" s="437">
        <v>69.998000000000005</v>
      </c>
      <c r="H168" s="339">
        <f t="shared" si="26"/>
        <v>161</v>
      </c>
      <c r="I168" s="451">
        <f t="shared" si="27"/>
        <v>55</v>
      </c>
      <c r="J168" s="340">
        <f t="shared" si="28"/>
        <v>0.15277777777777779</v>
      </c>
      <c r="K168" s="341">
        <f t="shared" si="29"/>
        <v>24.597222222222221</v>
      </c>
      <c r="L168" s="333">
        <f t="shared" si="30"/>
        <v>3605.2499999999995</v>
      </c>
      <c r="M168" s="342">
        <f t="shared" si="31"/>
        <v>3605</v>
      </c>
      <c r="N168" s="343">
        <f t="shared" si="32"/>
        <v>24.597222222222218</v>
      </c>
      <c r="O168" s="343"/>
      <c r="P168" s="343">
        <f t="shared" si="33"/>
        <v>0</v>
      </c>
      <c r="Q168" s="344"/>
      <c r="R168" s="343">
        <f t="shared" si="34"/>
        <v>161.00000000000017</v>
      </c>
      <c r="S168" s="343">
        <f t="shared" si="35"/>
        <v>0</v>
      </c>
      <c r="T168" s="343"/>
      <c r="U168" s="343">
        <f t="shared" ca="1" si="25"/>
        <v>1.0000000000000002</v>
      </c>
      <c r="V168" s="345">
        <f t="shared" si="36"/>
        <v>22.392857142857142</v>
      </c>
      <c r="W168" s="186"/>
      <c r="X168" s="207"/>
    </row>
    <row r="169" spans="2:24" x14ac:dyDescent="0.3">
      <c r="B169" s="246">
        <v>162</v>
      </c>
      <c r="C169" s="437">
        <f>B169*MechanicalData!$B$22/360</f>
        <v>24.75</v>
      </c>
      <c r="D169" s="437">
        <f>MechanicalData!$B$22</f>
        <v>55</v>
      </c>
      <c r="E169" s="248">
        <v>162</v>
      </c>
      <c r="F169" s="453">
        <v>29.495000000000001</v>
      </c>
      <c r="G169" s="437">
        <v>69.998000000000005</v>
      </c>
      <c r="H169" s="339">
        <f t="shared" si="26"/>
        <v>162</v>
      </c>
      <c r="I169" s="451">
        <f t="shared" si="27"/>
        <v>55</v>
      </c>
      <c r="J169" s="340">
        <f t="shared" si="28"/>
        <v>0.15277777777777779</v>
      </c>
      <c r="K169" s="341">
        <f t="shared" si="29"/>
        <v>24.75</v>
      </c>
      <c r="L169" s="333">
        <f t="shared" si="30"/>
        <v>3627.6428571428573</v>
      </c>
      <c r="M169" s="342">
        <f t="shared" si="31"/>
        <v>3628</v>
      </c>
      <c r="N169" s="343">
        <f t="shared" si="32"/>
        <v>24.75</v>
      </c>
      <c r="O169" s="343"/>
      <c r="P169" s="343">
        <f t="shared" si="33"/>
        <v>0</v>
      </c>
      <c r="Q169" s="344"/>
      <c r="R169" s="343">
        <f t="shared" si="34"/>
        <v>162.00000000000023</v>
      </c>
      <c r="S169" s="343">
        <f t="shared" si="35"/>
        <v>-2.2737367544323206E-13</v>
      </c>
      <c r="T169" s="343"/>
      <c r="U169" s="343">
        <f t="shared" ca="1" si="25"/>
        <v>1.0000000000000002</v>
      </c>
      <c r="V169" s="345">
        <f t="shared" si="36"/>
        <v>22.392857142857142</v>
      </c>
      <c r="W169" s="186"/>
      <c r="X169" s="207"/>
    </row>
    <row r="170" spans="2:24" x14ac:dyDescent="0.3">
      <c r="B170" s="246">
        <v>163</v>
      </c>
      <c r="C170" s="437">
        <f>B170*MechanicalData!$B$22/360</f>
        <v>24.902777777777779</v>
      </c>
      <c r="D170" s="437">
        <f>MechanicalData!$B$22</f>
        <v>55</v>
      </c>
      <c r="E170" s="248">
        <v>163</v>
      </c>
      <c r="F170" s="453">
        <v>29.689</v>
      </c>
      <c r="G170" s="437">
        <v>69.998000000000005</v>
      </c>
      <c r="H170" s="339">
        <f t="shared" si="26"/>
        <v>163</v>
      </c>
      <c r="I170" s="451">
        <f t="shared" si="27"/>
        <v>55</v>
      </c>
      <c r="J170" s="340">
        <f t="shared" si="28"/>
        <v>0.15277777777777779</v>
      </c>
      <c r="K170" s="341">
        <f t="shared" si="29"/>
        <v>24.902777777777779</v>
      </c>
      <c r="L170" s="333">
        <f t="shared" si="30"/>
        <v>3650.0357142857147</v>
      </c>
      <c r="M170" s="342">
        <f t="shared" si="31"/>
        <v>3650</v>
      </c>
      <c r="N170" s="343">
        <f t="shared" si="32"/>
        <v>24.902777777777779</v>
      </c>
      <c r="O170" s="343"/>
      <c r="P170" s="343">
        <f t="shared" si="33"/>
        <v>0</v>
      </c>
      <c r="Q170" s="344"/>
      <c r="R170" s="343">
        <f t="shared" si="34"/>
        <v>163.00000000000023</v>
      </c>
      <c r="S170" s="343">
        <f t="shared" si="35"/>
        <v>-2.2737367544323206E-13</v>
      </c>
      <c r="T170" s="343"/>
      <c r="U170" s="343">
        <f t="shared" ca="1" si="25"/>
        <v>1.0000000000000002</v>
      </c>
      <c r="V170" s="345">
        <f t="shared" si="36"/>
        <v>22.392857142857142</v>
      </c>
      <c r="W170" s="186"/>
      <c r="X170" s="207"/>
    </row>
    <row r="171" spans="2:24" x14ac:dyDescent="0.3">
      <c r="B171" s="246">
        <v>164</v>
      </c>
      <c r="C171" s="437">
        <f>B171*MechanicalData!$B$22/360</f>
        <v>25.055555555555557</v>
      </c>
      <c r="D171" s="437">
        <f>MechanicalData!$B$22</f>
        <v>55</v>
      </c>
      <c r="E171" s="248">
        <v>164</v>
      </c>
      <c r="F171" s="453">
        <v>29.882999999999999</v>
      </c>
      <c r="G171" s="437">
        <v>69.998000000000005</v>
      </c>
      <c r="H171" s="339">
        <f t="shared" si="26"/>
        <v>164</v>
      </c>
      <c r="I171" s="451">
        <f t="shared" si="27"/>
        <v>55</v>
      </c>
      <c r="J171" s="340">
        <f t="shared" si="28"/>
        <v>0.15277777777777779</v>
      </c>
      <c r="K171" s="341">
        <f t="shared" si="29"/>
        <v>25.055555555555557</v>
      </c>
      <c r="L171" s="333">
        <f t="shared" si="30"/>
        <v>3672.4285714285716</v>
      </c>
      <c r="M171" s="342">
        <f t="shared" si="31"/>
        <v>3672</v>
      </c>
      <c r="N171" s="343">
        <f t="shared" si="32"/>
        <v>25.055555555555554</v>
      </c>
      <c r="O171" s="343"/>
      <c r="P171" s="343">
        <f t="shared" si="33"/>
        <v>0</v>
      </c>
      <c r="Q171" s="344"/>
      <c r="R171" s="343">
        <f t="shared" si="34"/>
        <v>164.00000000000023</v>
      </c>
      <c r="S171" s="343">
        <f t="shared" si="35"/>
        <v>-2.2737367544323206E-13</v>
      </c>
      <c r="T171" s="343"/>
      <c r="U171" s="343">
        <f t="shared" ca="1" si="25"/>
        <v>1.0000000000000002</v>
      </c>
      <c r="V171" s="345">
        <f t="shared" si="36"/>
        <v>22.392857142857142</v>
      </c>
      <c r="W171" s="186"/>
      <c r="X171" s="207"/>
    </row>
    <row r="172" spans="2:24" x14ac:dyDescent="0.3">
      <c r="B172" s="246">
        <v>165</v>
      </c>
      <c r="C172" s="437">
        <f>B172*MechanicalData!$B$22/360</f>
        <v>25.208333333333332</v>
      </c>
      <c r="D172" s="437">
        <f>MechanicalData!$B$22</f>
        <v>55</v>
      </c>
      <c r="E172" s="248">
        <v>165</v>
      </c>
      <c r="F172" s="453">
        <v>30.077999999999999</v>
      </c>
      <c r="G172" s="437">
        <v>69.998000000000005</v>
      </c>
      <c r="H172" s="339">
        <f t="shared" si="26"/>
        <v>165</v>
      </c>
      <c r="I172" s="451">
        <f t="shared" si="27"/>
        <v>55</v>
      </c>
      <c r="J172" s="340">
        <f t="shared" si="28"/>
        <v>0.15277777777777779</v>
      </c>
      <c r="K172" s="341">
        <f t="shared" si="29"/>
        <v>25.208333333333332</v>
      </c>
      <c r="L172" s="333">
        <f t="shared" si="30"/>
        <v>3694.821428571428</v>
      </c>
      <c r="M172" s="342">
        <f t="shared" si="31"/>
        <v>3695</v>
      </c>
      <c r="N172" s="343">
        <f t="shared" si="32"/>
        <v>25.208333333333329</v>
      </c>
      <c r="O172" s="343"/>
      <c r="P172" s="343">
        <f t="shared" si="33"/>
        <v>0</v>
      </c>
      <c r="Q172" s="344"/>
      <c r="R172" s="343">
        <f t="shared" si="34"/>
        <v>165.0000000000002</v>
      </c>
      <c r="S172" s="343">
        <f t="shared" si="35"/>
        <v>0</v>
      </c>
      <c r="T172" s="343"/>
      <c r="U172" s="343">
        <f t="shared" ca="1" si="25"/>
        <v>1.0000000000000002</v>
      </c>
      <c r="V172" s="345">
        <f t="shared" si="36"/>
        <v>22.392857142857142</v>
      </c>
      <c r="W172" s="186"/>
      <c r="X172" s="207"/>
    </row>
    <row r="173" spans="2:24" x14ac:dyDescent="0.3">
      <c r="B173" s="246">
        <v>166</v>
      </c>
      <c r="C173" s="437">
        <f>B173*MechanicalData!$B$22/360</f>
        <v>25.361111111111111</v>
      </c>
      <c r="D173" s="437">
        <f>MechanicalData!$B$22</f>
        <v>55</v>
      </c>
      <c r="E173" s="248">
        <v>166</v>
      </c>
      <c r="F173" s="453">
        <v>30.271999999999998</v>
      </c>
      <c r="G173" s="437">
        <v>69.998000000000005</v>
      </c>
      <c r="H173" s="339">
        <f t="shared" si="26"/>
        <v>166</v>
      </c>
      <c r="I173" s="451">
        <f t="shared" si="27"/>
        <v>55</v>
      </c>
      <c r="J173" s="340">
        <f t="shared" si="28"/>
        <v>0.15277777777777779</v>
      </c>
      <c r="K173" s="341">
        <f t="shared" si="29"/>
        <v>25.361111111111111</v>
      </c>
      <c r="L173" s="333">
        <f t="shared" si="30"/>
        <v>3717.2142857142853</v>
      </c>
      <c r="M173" s="342">
        <f t="shared" si="31"/>
        <v>3717</v>
      </c>
      <c r="N173" s="343">
        <f t="shared" si="32"/>
        <v>25.361111111111107</v>
      </c>
      <c r="O173" s="343"/>
      <c r="P173" s="343">
        <f t="shared" si="33"/>
        <v>0</v>
      </c>
      <c r="Q173" s="344"/>
      <c r="R173" s="343">
        <f t="shared" si="34"/>
        <v>166.00000000000017</v>
      </c>
      <c r="S173" s="343">
        <f t="shared" si="35"/>
        <v>0</v>
      </c>
      <c r="T173" s="343"/>
      <c r="U173" s="343">
        <f t="shared" ca="1" si="25"/>
        <v>1.0000000000000002</v>
      </c>
      <c r="V173" s="345">
        <f t="shared" si="36"/>
        <v>22.392857142857142</v>
      </c>
      <c r="W173" s="186"/>
      <c r="X173" s="207"/>
    </row>
    <row r="174" spans="2:24" x14ac:dyDescent="0.3">
      <c r="B174" s="246">
        <v>167</v>
      </c>
      <c r="C174" s="437">
        <f>B174*MechanicalData!$B$22/360</f>
        <v>25.513888888888889</v>
      </c>
      <c r="D174" s="437">
        <f>MechanicalData!$B$22</f>
        <v>55</v>
      </c>
      <c r="E174" s="248">
        <v>167</v>
      </c>
      <c r="F174" s="453">
        <v>30.466999999999999</v>
      </c>
      <c r="G174" s="437">
        <v>69.998000000000005</v>
      </c>
      <c r="H174" s="339">
        <f t="shared" si="26"/>
        <v>167</v>
      </c>
      <c r="I174" s="451">
        <f t="shared" si="27"/>
        <v>55</v>
      </c>
      <c r="J174" s="340">
        <f t="shared" si="28"/>
        <v>0.15277777777777779</v>
      </c>
      <c r="K174" s="341">
        <f t="shared" si="29"/>
        <v>25.513888888888889</v>
      </c>
      <c r="L174" s="333">
        <f t="shared" si="30"/>
        <v>3739.6071428571431</v>
      </c>
      <c r="M174" s="342">
        <f t="shared" si="31"/>
        <v>3740</v>
      </c>
      <c r="N174" s="343">
        <f t="shared" si="32"/>
        <v>25.513888888888889</v>
      </c>
      <c r="O174" s="343"/>
      <c r="P174" s="343">
        <f t="shared" si="33"/>
        <v>0</v>
      </c>
      <c r="Q174" s="344"/>
      <c r="R174" s="343">
        <f t="shared" si="34"/>
        <v>167.00000000000023</v>
      </c>
      <c r="S174" s="343">
        <f t="shared" si="35"/>
        <v>-2.2737367544323206E-13</v>
      </c>
      <c r="T174" s="343"/>
      <c r="U174" s="343">
        <f t="shared" ca="1" si="25"/>
        <v>1.0000000000000002</v>
      </c>
      <c r="V174" s="345">
        <f t="shared" si="36"/>
        <v>22.392857142857142</v>
      </c>
      <c r="W174" s="186"/>
      <c r="X174" s="207"/>
    </row>
    <row r="175" spans="2:24" x14ac:dyDescent="0.3">
      <c r="B175" s="246">
        <v>168</v>
      </c>
      <c r="C175" s="437">
        <f>B175*MechanicalData!$B$22/360</f>
        <v>25.666666666666668</v>
      </c>
      <c r="D175" s="437">
        <f>MechanicalData!$B$22</f>
        <v>55</v>
      </c>
      <c r="E175" s="248">
        <v>168</v>
      </c>
      <c r="F175" s="453">
        <v>30.661000000000001</v>
      </c>
      <c r="G175" s="437">
        <v>69.998000000000005</v>
      </c>
      <c r="H175" s="339">
        <f t="shared" si="26"/>
        <v>168</v>
      </c>
      <c r="I175" s="451">
        <f t="shared" si="27"/>
        <v>55</v>
      </c>
      <c r="J175" s="340">
        <f t="shared" si="28"/>
        <v>0.15277777777777779</v>
      </c>
      <c r="K175" s="341">
        <f t="shared" si="29"/>
        <v>25.666666666666668</v>
      </c>
      <c r="L175" s="333">
        <f t="shared" si="30"/>
        <v>3761.9999999999995</v>
      </c>
      <c r="M175" s="342">
        <f t="shared" si="31"/>
        <v>3762</v>
      </c>
      <c r="N175" s="343">
        <f t="shared" si="32"/>
        <v>25.666666666666664</v>
      </c>
      <c r="O175" s="343"/>
      <c r="P175" s="343">
        <f t="shared" si="33"/>
        <v>0</v>
      </c>
      <c r="Q175" s="344"/>
      <c r="R175" s="343">
        <f t="shared" si="34"/>
        <v>168.00000000000017</v>
      </c>
      <c r="S175" s="343">
        <f t="shared" si="35"/>
        <v>0</v>
      </c>
      <c r="T175" s="343"/>
      <c r="U175" s="343">
        <f t="shared" ca="1" si="25"/>
        <v>1.0000000000000002</v>
      </c>
      <c r="V175" s="345">
        <f t="shared" si="36"/>
        <v>22.392857142857142</v>
      </c>
      <c r="W175" s="186"/>
      <c r="X175" s="207"/>
    </row>
    <row r="176" spans="2:24" x14ac:dyDescent="0.3">
      <c r="B176" s="246">
        <v>169</v>
      </c>
      <c r="C176" s="437">
        <f>B176*MechanicalData!$B$22/360</f>
        <v>25.819444444444443</v>
      </c>
      <c r="D176" s="437">
        <f>MechanicalData!$B$22</f>
        <v>55</v>
      </c>
      <c r="E176" s="248">
        <v>169</v>
      </c>
      <c r="F176" s="453">
        <v>30.856000000000002</v>
      </c>
      <c r="G176" s="437">
        <v>69.998000000000005</v>
      </c>
      <c r="H176" s="339">
        <f t="shared" si="26"/>
        <v>169</v>
      </c>
      <c r="I176" s="451">
        <f t="shared" si="27"/>
        <v>55</v>
      </c>
      <c r="J176" s="340">
        <f t="shared" si="28"/>
        <v>0.15277777777777779</v>
      </c>
      <c r="K176" s="341">
        <f t="shared" si="29"/>
        <v>25.819444444444443</v>
      </c>
      <c r="L176" s="333">
        <f t="shared" si="30"/>
        <v>3784.3928571428564</v>
      </c>
      <c r="M176" s="342">
        <f t="shared" si="31"/>
        <v>3784</v>
      </c>
      <c r="N176" s="343">
        <f t="shared" si="32"/>
        <v>25.819444444444439</v>
      </c>
      <c r="O176" s="343"/>
      <c r="P176" s="343">
        <f t="shared" si="33"/>
        <v>0</v>
      </c>
      <c r="Q176" s="344"/>
      <c r="R176" s="343">
        <f t="shared" si="34"/>
        <v>169.0000000000002</v>
      </c>
      <c r="S176" s="343">
        <f t="shared" si="35"/>
        <v>0</v>
      </c>
      <c r="T176" s="343"/>
      <c r="U176" s="343">
        <f t="shared" ca="1" si="25"/>
        <v>1.0000000000000002</v>
      </c>
      <c r="V176" s="345">
        <f t="shared" si="36"/>
        <v>22.392857142857142</v>
      </c>
      <c r="W176" s="186"/>
      <c r="X176" s="207"/>
    </row>
    <row r="177" spans="2:24" x14ac:dyDescent="0.3">
      <c r="B177" s="246">
        <v>170</v>
      </c>
      <c r="C177" s="437">
        <f>B177*MechanicalData!$B$22/360</f>
        <v>25.972222222222221</v>
      </c>
      <c r="D177" s="437">
        <f>MechanicalData!$B$22</f>
        <v>55</v>
      </c>
      <c r="E177" s="248">
        <v>170</v>
      </c>
      <c r="F177" s="453">
        <v>31.05</v>
      </c>
      <c r="G177" s="437">
        <v>69.998000000000005</v>
      </c>
      <c r="H177" s="339">
        <f t="shared" si="26"/>
        <v>170</v>
      </c>
      <c r="I177" s="451">
        <f t="shared" si="27"/>
        <v>55</v>
      </c>
      <c r="J177" s="340">
        <f t="shared" si="28"/>
        <v>0.15277777777777779</v>
      </c>
      <c r="K177" s="341">
        <f t="shared" si="29"/>
        <v>25.972222222222221</v>
      </c>
      <c r="L177" s="333">
        <f t="shared" si="30"/>
        <v>3806.7857142857138</v>
      </c>
      <c r="M177" s="342">
        <f t="shared" si="31"/>
        <v>3807</v>
      </c>
      <c r="N177" s="343">
        <f t="shared" si="32"/>
        <v>25.972222222222218</v>
      </c>
      <c r="O177" s="343"/>
      <c r="P177" s="343">
        <f t="shared" si="33"/>
        <v>0</v>
      </c>
      <c r="Q177" s="344"/>
      <c r="R177" s="343">
        <f t="shared" si="34"/>
        <v>170.00000000000017</v>
      </c>
      <c r="S177" s="343">
        <f t="shared" si="35"/>
        <v>0</v>
      </c>
      <c r="T177" s="343"/>
      <c r="U177" s="343">
        <f t="shared" ca="1" si="25"/>
        <v>1.0000000000000002</v>
      </c>
      <c r="V177" s="345">
        <f t="shared" si="36"/>
        <v>22.392857142857142</v>
      </c>
      <c r="W177" s="186"/>
      <c r="X177" s="207"/>
    </row>
    <row r="178" spans="2:24" x14ac:dyDescent="0.3">
      <c r="B178" s="246">
        <v>171</v>
      </c>
      <c r="C178" s="437">
        <f>B178*MechanicalData!$B$22/360</f>
        <v>26.125</v>
      </c>
      <c r="D178" s="437">
        <f>MechanicalData!$B$22</f>
        <v>55</v>
      </c>
      <c r="E178" s="248">
        <v>171</v>
      </c>
      <c r="F178" s="453">
        <v>31.245000000000001</v>
      </c>
      <c r="G178" s="437">
        <v>69.998000000000005</v>
      </c>
      <c r="H178" s="339">
        <f t="shared" si="26"/>
        <v>171</v>
      </c>
      <c r="I178" s="451">
        <f t="shared" si="27"/>
        <v>55</v>
      </c>
      <c r="J178" s="340">
        <f t="shared" si="28"/>
        <v>0.15277777777777779</v>
      </c>
      <c r="K178" s="341">
        <f t="shared" si="29"/>
        <v>26.125</v>
      </c>
      <c r="L178" s="333">
        <f t="shared" si="30"/>
        <v>3829.1785714285716</v>
      </c>
      <c r="M178" s="342">
        <f t="shared" si="31"/>
        <v>3829</v>
      </c>
      <c r="N178" s="343">
        <f t="shared" si="32"/>
        <v>26.125</v>
      </c>
      <c r="O178" s="343"/>
      <c r="P178" s="343">
        <f t="shared" si="33"/>
        <v>0</v>
      </c>
      <c r="Q178" s="344"/>
      <c r="R178" s="343">
        <f t="shared" si="34"/>
        <v>171.00000000000023</v>
      </c>
      <c r="S178" s="343">
        <f t="shared" si="35"/>
        <v>-2.2737367544323206E-13</v>
      </c>
      <c r="T178" s="343"/>
      <c r="U178" s="343">
        <f t="shared" ca="1" si="25"/>
        <v>1.0000000000000002</v>
      </c>
      <c r="V178" s="345">
        <f t="shared" si="36"/>
        <v>22.392857142857142</v>
      </c>
      <c r="W178" s="186"/>
      <c r="X178" s="207"/>
    </row>
    <row r="179" spans="2:24" x14ac:dyDescent="0.3">
      <c r="B179" s="246">
        <v>172</v>
      </c>
      <c r="C179" s="437">
        <f>B179*MechanicalData!$B$22/360</f>
        <v>26.277777777777779</v>
      </c>
      <c r="D179" s="437">
        <f>MechanicalData!$B$22</f>
        <v>55</v>
      </c>
      <c r="E179" s="248">
        <v>172</v>
      </c>
      <c r="F179" s="453">
        <v>31.439</v>
      </c>
      <c r="G179" s="437">
        <v>69.998000000000005</v>
      </c>
      <c r="H179" s="339">
        <f t="shared" si="26"/>
        <v>172</v>
      </c>
      <c r="I179" s="451">
        <f t="shared" si="27"/>
        <v>55</v>
      </c>
      <c r="J179" s="340">
        <f t="shared" si="28"/>
        <v>0.15277777777777779</v>
      </c>
      <c r="K179" s="341">
        <f t="shared" si="29"/>
        <v>26.277777777777779</v>
      </c>
      <c r="L179" s="333">
        <f t="shared" si="30"/>
        <v>3851.5714285714289</v>
      </c>
      <c r="M179" s="342">
        <f t="shared" si="31"/>
        <v>3852</v>
      </c>
      <c r="N179" s="343">
        <f t="shared" si="32"/>
        <v>26.277777777777779</v>
      </c>
      <c r="O179" s="343"/>
      <c r="P179" s="343">
        <f t="shared" si="33"/>
        <v>0</v>
      </c>
      <c r="Q179" s="344"/>
      <c r="R179" s="343">
        <f t="shared" si="34"/>
        <v>172.00000000000023</v>
      </c>
      <c r="S179" s="343">
        <f t="shared" si="35"/>
        <v>-2.2737367544323206E-13</v>
      </c>
      <c r="T179" s="343"/>
      <c r="U179" s="343">
        <f t="shared" ca="1" si="25"/>
        <v>1.0000000000000002</v>
      </c>
      <c r="V179" s="345">
        <f t="shared" si="36"/>
        <v>22.392857142857142</v>
      </c>
      <c r="W179" s="186"/>
      <c r="X179" s="207"/>
    </row>
    <row r="180" spans="2:24" x14ac:dyDescent="0.3">
      <c r="B180" s="246">
        <v>173</v>
      </c>
      <c r="C180" s="437">
        <f>B180*MechanicalData!$B$22/360</f>
        <v>26.430555555555557</v>
      </c>
      <c r="D180" s="437">
        <f>MechanicalData!$B$22</f>
        <v>55</v>
      </c>
      <c r="E180" s="248">
        <v>173</v>
      </c>
      <c r="F180" s="453">
        <v>31.632999999999999</v>
      </c>
      <c r="G180" s="437">
        <v>69.998000000000005</v>
      </c>
      <c r="H180" s="339">
        <f t="shared" si="26"/>
        <v>173</v>
      </c>
      <c r="I180" s="451">
        <f t="shared" si="27"/>
        <v>55</v>
      </c>
      <c r="J180" s="340">
        <f t="shared" si="28"/>
        <v>0.15277777777777779</v>
      </c>
      <c r="K180" s="341">
        <f t="shared" si="29"/>
        <v>26.430555555555557</v>
      </c>
      <c r="L180" s="333">
        <f t="shared" si="30"/>
        <v>3873.9642857142858</v>
      </c>
      <c r="M180" s="342">
        <f t="shared" si="31"/>
        <v>3874</v>
      </c>
      <c r="N180" s="343">
        <f t="shared" si="32"/>
        <v>26.430555555555554</v>
      </c>
      <c r="O180" s="343"/>
      <c r="P180" s="343">
        <f t="shared" si="33"/>
        <v>0</v>
      </c>
      <c r="Q180" s="344"/>
      <c r="R180" s="343">
        <f t="shared" si="34"/>
        <v>173.00000000000023</v>
      </c>
      <c r="S180" s="343">
        <f t="shared" si="35"/>
        <v>-2.2737367544323206E-13</v>
      </c>
      <c r="T180" s="343"/>
      <c r="U180" s="343">
        <f t="shared" ca="1" si="25"/>
        <v>1.0000000000000002</v>
      </c>
      <c r="V180" s="345">
        <f t="shared" si="36"/>
        <v>22.392857142857142</v>
      </c>
      <c r="W180" s="186"/>
      <c r="X180" s="207"/>
    </row>
    <row r="181" spans="2:24" x14ac:dyDescent="0.3">
      <c r="B181" s="246">
        <v>174</v>
      </c>
      <c r="C181" s="437">
        <f>B181*MechanicalData!$B$22/360</f>
        <v>26.583333333333332</v>
      </c>
      <c r="D181" s="437">
        <f>MechanicalData!$B$22</f>
        <v>55</v>
      </c>
      <c r="E181" s="248">
        <v>174</v>
      </c>
      <c r="F181" s="453">
        <v>31.827999999999999</v>
      </c>
      <c r="G181" s="437">
        <v>69.998000000000005</v>
      </c>
      <c r="H181" s="339">
        <f t="shared" si="26"/>
        <v>174</v>
      </c>
      <c r="I181" s="451">
        <f t="shared" si="27"/>
        <v>55</v>
      </c>
      <c r="J181" s="340">
        <f t="shared" si="28"/>
        <v>0.15277777777777779</v>
      </c>
      <c r="K181" s="341">
        <f t="shared" si="29"/>
        <v>26.583333333333332</v>
      </c>
      <c r="L181" s="333">
        <f t="shared" si="30"/>
        <v>3896.3571428571422</v>
      </c>
      <c r="M181" s="342">
        <f t="shared" si="31"/>
        <v>3896</v>
      </c>
      <c r="N181" s="343">
        <f t="shared" si="32"/>
        <v>26.583333333333329</v>
      </c>
      <c r="O181" s="343"/>
      <c r="P181" s="343">
        <f t="shared" si="33"/>
        <v>0</v>
      </c>
      <c r="Q181" s="344"/>
      <c r="R181" s="343">
        <f t="shared" si="34"/>
        <v>174.0000000000002</v>
      </c>
      <c r="S181" s="343">
        <f t="shared" si="35"/>
        <v>0</v>
      </c>
      <c r="T181" s="343"/>
      <c r="U181" s="343">
        <f t="shared" ca="1" si="25"/>
        <v>1.0000000000000002</v>
      </c>
      <c r="V181" s="345">
        <f t="shared" si="36"/>
        <v>22.392857142857142</v>
      </c>
      <c r="W181" s="186"/>
      <c r="X181" s="207"/>
    </row>
    <row r="182" spans="2:24" x14ac:dyDescent="0.3">
      <c r="B182" s="246">
        <v>175</v>
      </c>
      <c r="C182" s="437">
        <f>B182*MechanicalData!$B$22/360</f>
        <v>26.736111111111111</v>
      </c>
      <c r="D182" s="437">
        <f>MechanicalData!$B$22</f>
        <v>55</v>
      </c>
      <c r="E182" s="248">
        <v>175</v>
      </c>
      <c r="F182" s="453">
        <v>32.021999999999998</v>
      </c>
      <c r="G182" s="437">
        <v>69.998000000000005</v>
      </c>
      <c r="H182" s="339">
        <f t="shared" si="26"/>
        <v>175</v>
      </c>
      <c r="I182" s="451">
        <f t="shared" si="27"/>
        <v>55</v>
      </c>
      <c r="J182" s="340">
        <f t="shared" si="28"/>
        <v>0.15277777777777779</v>
      </c>
      <c r="K182" s="341">
        <f t="shared" si="29"/>
        <v>26.736111111111111</v>
      </c>
      <c r="L182" s="333">
        <f t="shared" si="30"/>
        <v>3918.75</v>
      </c>
      <c r="M182" s="342">
        <f t="shared" si="31"/>
        <v>3919</v>
      </c>
      <c r="N182" s="343">
        <f t="shared" si="32"/>
        <v>26.736111111111111</v>
      </c>
      <c r="O182" s="343"/>
      <c r="P182" s="343">
        <f t="shared" si="33"/>
        <v>0</v>
      </c>
      <c r="Q182" s="344"/>
      <c r="R182" s="343">
        <f t="shared" si="34"/>
        <v>175.00000000000023</v>
      </c>
      <c r="S182" s="343">
        <f t="shared" si="35"/>
        <v>-2.2737367544323206E-13</v>
      </c>
      <c r="T182" s="343"/>
      <c r="U182" s="343">
        <f t="shared" ca="1" si="25"/>
        <v>1.0000000000000002</v>
      </c>
      <c r="V182" s="345">
        <f t="shared" si="36"/>
        <v>22.392857142857142</v>
      </c>
      <c r="W182" s="186"/>
      <c r="X182" s="207"/>
    </row>
    <row r="183" spans="2:24" x14ac:dyDescent="0.3">
      <c r="B183" s="246">
        <v>176</v>
      </c>
      <c r="C183" s="437">
        <f>B183*MechanicalData!$B$22/360</f>
        <v>26.888888888888889</v>
      </c>
      <c r="D183" s="437">
        <f>MechanicalData!$B$22</f>
        <v>55</v>
      </c>
      <c r="E183" s="248">
        <v>176</v>
      </c>
      <c r="F183" s="453">
        <v>32.216999999999999</v>
      </c>
      <c r="G183" s="437">
        <v>69.998000000000005</v>
      </c>
      <c r="H183" s="339">
        <f t="shared" si="26"/>
        <v>176</v>
      </c>
      <c r="I183" s="451">
        <f t="shared" si="27"/>
        <v>55</v>
      </c>
      <c r="J183" s="340">
        <f t="shared" si="28"/>
        <v>0.15277777777777779</v>
      </c>
      <c r="K183" s="341">
        <f t="shared" si="29"/>
        <v>26.888888888888889</v>
      </c>
      <c r="L183" s="333">
        <f t="shared" si="30"/>
        <v>3941.1428571428573</v>
      </c>
      <c r="M183" s="342">
        <f t="shared" si="31"/>
        <v>3941</v>
      </c>
      <c r="N183" s="343">
        <f t="shared" si="32"/>
        <v>26.888888888888889</v>
      </c>
      <c r="O183" s="343"/>
      <c r="P183" s="343">
        <f t="shared" si="33"/>
        <v>0</v>
      </c>
      <c r="Q183" s="344"/>
      <c r="R183" s="343">
        <f t="shared" si="34"/>
        <v>176.00000000000023</v>
      </c>
      <c r="S183" s="343">
        <f t="shared" si="35"/>
        <v>-2.2737367544323206E-13</v>
      </c>
      <c r="T183" s="343"/>
      <c r="U183" s="343">
        <f t="shared" ca="1" si="25"/>
        <v>1.0000000000000002</v>
      </c>
      <c r="V183" s="345">
        <f t="shared" si="36"/>
        <v>22.392857142857142</v>
      </c>
      <c r="W183" s="186"/>
      <c r="X183" s="207"/>
    </row>
    <row r="184" spans="2:24" x14ac:dyDescent="0.3">
      <c r="B184" s="246">
        <v>177</v>
      </c>
      <c r="C184" s="437">
        <f>B184*MechanicalData!$B$22/360</f>
        <v>27.041666666666668</v>
      </c>
      <c r="D184" s="437">
        <f>MechanicalData!$B$22</f>
        <v>55</v>
      </c>
      <c r="E184" s="248">
        <v>177</v>
      </c>
      <c r="F184" s="453">
        <v>32.411000000000001</v>
      </c>
      <c r="G184" s="437">
        <v>69.998000000000005</v>
      </c>
      <c r="H184" s="339">
        <f t="shared" si="26"/>
        <v>177</v>
      </c>
      <c r="I184" s="451">
        <f t="shared" si="27"/>
        <v>55</v>
      </c>
      <c r="J184" s="340">
        <f t="shared" si="28"/>
        <v>0.15277777777777779</v>
      </c>
      <c r="K184" s="341">
        <f t="shared" si="29"/>
        <v>27.041666666666668</v>
      </c>
      <c r="L184" s="333">
        <f t="shared" si="30"/>
        <v>3963.5357142857147</v>
      </c>
      <c r="M184" s="342">
        <f t="shared" si="31"/>
        <v>3964</v>
      </c>
      <c r="N184" s="343">
        <f t="shared" si="32"/>
        <v>27.041666666666668</v>
      </c>
      <c r="O184" s="343"/>
      <c r="P184" s="343">
        <f t="shared" si="33"/>
        <v>0</v>
      </c>
      <c r="Q184" s="344"/>
      <c r="R184" s="343">
        <f t="shared" si="34"/>
        <v>177.00000000000026</v>
      </c>
      <c r="S184" s="343">
        <f t="shared" si="35"/>
        <v>-2.5579538487363607E-13</v>
      </c>
      <c r="T184" s="343"/>
      <c r="U184" s="343">
        <f t="shared" ca="1" si="25"/>
        <v>1.0000000000000002</v>
      </c>
      <c r="V184" s="345">
        <f t="shared" si="36"/>
        <v>22.392857142857142</v>
      </c>
      <c r="W184" s="186"/>
      <c r="X184" s="207"/>
    </row>
    <row r="185" spans="2:24" x14ac:dyDescent="0.3">
      <c r="B185" s="246">
        <v>178</v>
      </c>
      <c r="C185" s="437">
        <f>B185*MechanicalData!$B$22/360</f>
        <v>27.194444444444443</v>
      </c>
      <c r="D185" s="437">
        <f>MechanicalData!$B$22</f>
        <v>55</v>
      </c>
      <c r="E185" s="248">
        <v>178</v>
      </c>
      <c r="F185" s="453">
        <v>32.606000000000002</v>
      </c>
      <c r="G185" s="437">
        <v>69.998000000000005</v>
      </c>
      <c r="H185" s="339">
        <f t="shared" si="26"/>
        <v>178</v>
      </c>
      <c r="I185" s="451">
        <f t="shared" si="27"/>
        <v>55</v>
      </c>
      <c r="J185" s="340">
        <f t="shared" si="28"/>
        <v>0.15277777777777779</v>
      </c>
      <c r="K185" s="341">
        <f t="shared" si="29"/>
        <v>27.194444444444443</v>
      </c>
      <c r="L185" s="333">
        <f t="shared" si="30"/>
        <v>3985.9285714285706</v>
      </c>
      <c r="M185" s="342">
        <f t="shared" si="31"/>
        <v>3986</v>
      </c>
      <c r="N185" s="343">
        <f t="shared" si="32"/>
        <v>27.194444444444439</v>
      </c>
      <c r="O185" s="343"/>
      <c r="P185" s="343">
        <f t="shared" si="33"/>
        <v>0</v>
      </c>
      <c r="Q185" s="344"/>
      <c r="R185" s="343">
        <f t="shared" si="34"/>
        <v>178.0000000000002</v>
      </c>
      <c r="S185" s="343">
        <f t="shared" si="35"/>
        <v>0</v>
      </c>
      <c r="T185" s="343"/>
      <c r="U185" s="343">
        <f t="shared" ca="1" si="25"/>
        <v>1.0000000000000002</v>
      </c>
      <c r="V185" s="345">
        <f t="shared" si="36"/>
        <v>22.392857142857142</v>
      </c>
      <c r="W185" s="186"/>
      <c r="X185" s="207"/>
    </row>
    <row r="186" spans="2:24" x14ac:dyDescent="0.3">
      <c r="B186" s="246">
        <v>179</v>
      </c>
      <c r="C186" s="437">
        <f>B186*MechanicalData!$B$22/360</f>
        <v>27.347222222222221</v>
      </c>
      <c r="D186" s="437">
        <f>MechanicalData!$B$22</f>
        <v>55</v>
      </c>
      <c r="E186" s="248">
        <v>179</v>
      </c>
      <c r="F186" s="453">
        <v>32.799999999999997</v>
      </c>
      <c r="G186" s="437">
        <v>69.998000000000005</v>
      </c>
      <c r="H186" s="339">
        <f t="shared" si="26"/>
        <v>179</v>
      </c>
      <c r="I186" s="451">
        <f t="shared" si="27"/>
        <v>55</v>
      </c>
      <c r="J186" s="340">
        <f t="shared" si="28"/>
        <v>0.15277777777777779</v>
      </c>
      <c r="K186" s="341">
        <f t="shared" si="29"/>
        <v>27.347222222222221</v>
      </c>
      <c r="L186" s="333">
        <f t="shared" si="30"/>
        <v>4008.321428571428</v>
      </c>
      <c r="M186" s="342">
        <f t="shared" si="31"/>
        <v>4008</v>
      </c>
      <c r="N186" s="343">
        <f t="shared" si="32"/>
        <v>27.347222222222218</v>
      </c>
      <c r="O186" s="343"/>
      <c r="P186" s="343">
        <f t="shared" si="33"/>
        <v>0</v>
      </c>
      <c r="Q186" s="344"/>
      <c r="R186" s="343">
        <f t="shared" si="34"/>
        <v>179.00000000000023</v>
      </c>
      <c r="S186" s="343">
        <f t="shared" si="35"/>
        <v>-2.2737367544323206E-13</v>
      </c>
      <c r="T186" s="343"/>
      <c r="U186" s="343">
        <f t="shared" ca="1" si="25"/>
        <v>1.0000000000000002</v>
      </c>
      <c r="V186" s="345">
        <f t="shared" si="36"/>
        <v>22.392857142857142</v>
      </c>
      <c r="W186" s="186"/>
      <c r="X186" s="207"/>
    </row>
    <row r="187" spans="2:24" x14ac:dyDescent="0.3">
      <c r="B187" s="246">
        <v>180</v>
      </c>
      <c r="C187" s="437">
        <f>B187*MechanicalData!$B$22/360</f>
        <v>27.5</v>
      </c>
      <c r="D187" s="437">
        <f>MechanicalData!$B$22</f>
        <v>55</v>
      </c>
      <c r="E187" s="248">
        <v>180</v>
      </c>
      <c r="F187" s="453">
        <v>32.994</v>
      </c>
      <c r="G187" s="437">
        <v>69.998000000000005</v>
      </c>
      <c r="H187" s="339">
        <f t="shared" si="26"/>
        <v>180</v>
      </c>
      <c r="I187" s="451">
        <f t="shared" si="27"/>
        <v>55</v>
      </c>
      <c r="J187" s="340">
        <f t="shared" si="28"/>
        <v>0.15277777777777779</v>
      </c>
      <c r="K187" s="341">
        <f t="shared" si="29"/>
        <v>27.5</v>
      </c>
      <c r="L187" s="333">
        <f t="shared" si="30"/>
        <v>4030.7142857142858</v>
      </c>
      <c r="M187" s="342">
        <f t="shared" si="31"/>
        <v>4031</v>
      </c>
      <c r="N187" s="343">
        <f t="shared" si="32"/>
        <v>27.5</v>
      </c>
      <c r="O187" s="343"/>
      <c r="P187" s="343">
        <f t="shared" si="33"/>
        <v>0</v>
      </c>
      <c r="Q187" s="344"/>
      <c r="R187" s="343">
        <f t="shared" si="34"/>
        <v>180.00000000000023</v>
      </c>
      <c r="S187" s="343">
        <f t="shared" si="35"/>
        <v>-2.2737367544323206E-13</v>
      </c>
      <c r="T187" s="343"/>
      <c r="U187" s="343">
        <f t="shared" ca="1" si="25"/>
        <v>1.0000000000000002</v>
      </c>
      <c r="V187" s="345">
        <f t="shared" si="36"/>
        <v>22.392857142857142</v>
      </c>
      <c r="W187" s="186"/>
      <c r="X187" s="207"/>
    </row>
    <row r="188" spans="2:24" x14ac:dyDescent="0.3">
      <c r="B188" s="246">
        <v>181</v>
      </c>
      <c r="C188" s="437">
        <f>B188*MechanicalData!$B$22/360</f>
        <v>27.652777777777779</v>
      </c>
      <c r="D188" s="437">
        <f>MechanicalData!$B$22</f>
        <v>55</v>
      </c>
      <c r="E188" s="248">
        <v>181</v>
      </c>
      <c r="F188" s="453">
        <v>33.189</v>
      </c>
      <c r="G188" s="437">
        <v>69.998000000000005</v>
      </c>
      <c r="H188" s="339">
        <f t="shared" si="26"/>
        <v>181</v>
      </c>
      <c r="I188" s="451">
        <f t="shared" si="27"/>
        <v>55</v>
      </c>
      <c r="J188" s="340">
        <f t="shared" si="28"/>
        <v>0.15277777777777779</v>
      </c>
      <c r="K188" s="341">
        <f t="shared" si="29"/>
        <v>27.652777777777779</v>
      </c>
      <c r="L188" s="333">
        <f t="shared" si="30"/>
        <v>4053.1071428571431</v>
      </c>
      <c r="M188" s="342">
        <f t="shared" si="31"/>
        <v>4053</v>
      </c>
      <c r="N188" s="343">
        <f t="shared" si="32"/>
        <v>27.652777777777779</v>
      </c>
      <c r="O188" s="343"/>
      <c r="P188" s="343">
        <f t="shared" si="33"/>
        <v>0</v>
      </c>
      <c r="Q188" s="344"/>
      <c r="R188" s="343">
        <f t="shared" si="34"/>
        <v>181.00000000000026</v>
      </c>
      <c r="S188" s="343">
        <f t="shared" si="35"/>
        <v>-2.5579538487363607E-13</v>
      </c>
      <c r="T188" s="343"/>
      <c r="U188" s="343">
        <f t="shared" ca="1" si="25"/>
        <v>1.0000000000000002</v>
      </c>
      <c r="V188" s="345">
        <f t="shared" si="36"/>
        <v>22.392857142857142</v>
      </c>
      <c r="W188" s="186"/>
      <c r="X188" s="207"/>
    </row>
    <row r="189" spans="2:24" x14ac:dyDescent="0.3">
      <c r="B189" s="246">
        <v>182</v>
      </c>
      <c r="C189" s="437">
        <f>B189*MechanicalData!$B$22/360</f>
        <v>27.805555555555557</v>
      </c>
      <c r="D189" s="437">
        <f>MechanicalData!$B$22</f>
        <v>55</v>
      </c>
      <c r="E189" s="248">
        <v>182</v>
      </c>
      <c r="F189" s="453">
        <v>33.383000000000003</v>
      </c>
      <c r="G189" s="437">
        <v>69.998000000000005</v>
      </c>
      <c r="H189" s="339">
        <f t="shared" si="26"/>
        <v>182</v>
      </c>
      <c r="I189" s="451">
        <f t="shared" si="27"/>
        <v>55</v>
      </c>
      <c r="J189" s="340">
        <f t="shared" si="28"/>
        <v>0.15277777777777779</v>
      </c>
      <c r="K189" s="341">
        <f t="shared" si="29"/>
        <v>27.805555555555557</v>
      </c>
      <c r="L189" s="333">
        <f t="shared" si="30"/>
        <v>4075.5</v>
      </c>
      <c r="M189" s="342">
        <f t="shared" si="31"/>
        <v>4076</v>
      </c>
      <c r="N189" s="343">
        <f t="shared" si="32"/>
        <v>27.805555555555554</v>
      </c>
      <c r="O189" s="343"/>
      <c r="P189" s="343">
        <f t="shared" si="33"/>
        <v>0</v>
      </c>
      <c r="Q189" s="344"/>
      <c r="R189" s="343">
        <f t="shared" si="34"/>
        <v>182.00000000000023</v>
      </c>
      <c r="S189" s="343">
        <f t="shared" si="35"/>
        <v>-2.2737367544323206E-13</v>
      </c>
      <c r="T189" s="343"/>
      <c r="U189" s="343">
        <f t="shared" ca="1" si="25"/>
        <v>1.0000000000000002</v>
      </c>
      <c r="V189" s="345">
        <f t="shared" si="36"/>
        <v>22.392857142857142</v>
      </c>
      <c r="W189" s="186"/>
      <c r="X189" s="207"/>
    </row>
    <row r="190" spans="2:24" x14ac:dyDescent="0.3">
      <c r="B190" s="246">
        <v>183</v>
      </c>
      <c r="C190" s="437">
        <f>B190*MechanicalData!$B$22/360</f>
        <v>27.958333333333332</v>
      </c>
      <c r="D190" s="437">
        <f>MechanicalData!$B$22</f>
        <v>55</v>
      </c>
      <c r="E190" s="248">
        <v>183</v>
      </c>
      <c r="F190" s="453">
        <v>33.578000000000003</v>
      </c>
      <c r="G190" s="437">
        <v>69.998000000000005</v>
      </c>
      <c r="H190" s="339">
        <f t="shared" si="26"/>
        <v>183</v>
      </c>
      <c r="I190" s="451">
        <f t="shared" si="27"/>
        <v>55</v>
      </c>
      <c r="J190" s="340">
        <f t="shared" si="28"/>
        <v>0.15277777777777779</v>
      </c>
      <c r="K190" s="341">
        <f t="shared" si="29"/>
        <v>27.958333333333332</v>
      </c>
      <c r="L190" s="333">
        <f t="shared" si="30"/>
        <v>4097.8928571428569</v>
      </c>
      <c r="M190" s="342">
        <f t="shared" si="31"/>
        <v>4098</v>
      </c>
      <c r="N190" s="343">
        <f t="shared" si="32"/>
        <v>27.958333333333329</v>
      </c>
      <c r="O190" s="343"/>
      <c r="P190" s="343">
        <f t="shared" si="33"/>
        <v>0</v>
      </c>
      <c r="Q190" s="344"/>
      <c r="R190" s="343">
        <f t="shared" si="34"/>
        <v>183.0000000000002</v>
      </c>
      <c r="S190" s="343">
        <f t="shared" si="35"/>
        <v>0</v>
      </c>
      <c r="T190" s="343"/>
      <c r="U190" s="343">
        <f t="shared" ca="1" si="25"/>
        <v>1.0000000000000002</v>
      </c>
      <c r="V190" s="345">
        <f t="shared" si="36"/>
        <v>22.392857142857142</v>
      </c>
      <c r="W190" s="186"/>
      <c r="X190" s="207"/>
    </row>
    <row r="191" spans="2:24" x14ac:dyDescent="0.3">
      <c r="B191" s="246">
        <v>184</v>
      </c>
      <c r="C191" s="437">
        <f>B191*MechanicalData!$B$22/360</f>
        <v>28.111111111111111</v>
      </c>
      <c r="D191" s="437">
        <f>MechanicalData!$B$22</f>
        <v>55</v>
      </c>
      <c r="E191" s="248">
        <v>184</v>
      </c>
      <c r="F191" s="453">
        <v>33.771999999999998</v>
      </c>
      <c r="G191" s="437">
        <v>69.998000000000005</v>
      </c>
      <c r="H191" s="339">
        <f t="shared" si="26"/>
        <v>184</v>
      </c>
      <c r="I191" s="451">
        <f t="shared" si="27"/>
        <v>55</v>
      </c>
      <c r="J191" s="340">
        <f t="shared" si="28"/>
        <v>0.15277777777777779</v>
      </c>
      <c r="K191" s="341">
        <f t="shared" si="29"/>
        <v>28.111111111111111</v>
      </c>
      <c r="L191" s="333">
        <f t="shared" si="30"/>
        <v>4120.2857142857138</v>
      </c>
      <c r="M191" s="342">
        <f t="shared" si="31"/>
        <v>4120</v>
      </c>
      <c r="N191" s="343">
        <f t="shared" si="32"/>
        <v>28.111111111111107</v>
      </c>
      <c r="O191" s="343"/>
      <c r="P191" s="343">
        <f t="shared" si="33"/>
        <v>0</v>
      </c>
      <c r="Q191" s="344"/>
      <c r="R191" s="343">
        <f t="shared" si="34"/>
        <v>184.0000000000002</v>
      </c>
      <c r="S191" s="343">
        <f t="shared" si="35"/>
        <v>0</v>
      </c>
      <c r="T191" s="343"/>
      <c r="U191" s="343">
        <f t="shared" ca="1" si="25"/>
        <v>1.0000000000000002</v>
      </c>
      <c r="V191" s="345">
        <f t="shared" si="36"/>
        <v>22.392857142857142</v>
      </c>
      <c r="W191" s="186"/>
      <c r="X191" s="207"/>
    </row>
    <row r="192" spans="2:24" x14ac:dyDescent="0.3">
      <c r="B192" s="246">
        <v>185</v>
      </c>
      <c r="C192" s="437">
        <f>B192*MechanicalData!$B$22/360</f>
        <v>28.263888888888889</v>
      </c>
      <c r="D192" s="437">
        <f>MechanicalData!$B$22</f>
        <v>55</v>
      </c>
      <c r="E192" s="248">
        <v>185</v>
      </c>
      <c r="F192" s="453">
        <v>33.966999999999999</v>
      </c>
      <c r="G192" s="437">
        <v>69.998000000000005</v>
      </c>
      <c r="H192" s="339">
        <f t="shared" si="26"/>
        <v>185</v>
      </c>
      <c r="I192" s="451">
        <f t="shared" si="27"/>
        <v>55</v>
      </c>
      <c r="J192" s="340">
        <f t="shared" si="28"/>
        <v>0.15277777777777779</v>
      </c>
      <c r="K192" s="341">
        <f t="shared" si="29"/>
        <v>28.263888888888889</v>
      </c>
      <c r="L192" s="333">
        <f t="shared" si="30"/>
        <v>4142.6785714285716</v>
      </c>
      <c r="M192" s="342">
        <f t="shared" si="31"/>
        <v>4143</v>
      </c>
      <c r="N192" s="343">
        <f t="shared" si="32"/>
        <v>28.263888888888886</v>
      </c>
      <c r="O192" s="343"/>
      <c r="P192" s="343">
        <f t="shared" si="33"/>
        <v>0</v>
      </c>
      <c r="Q192" s="344"/>
      <c r="R192" s="343">
        <f t="shared" si="34"/>
        <v>185.00000000000023</v>
      </c>
      <c r="S192" s="343">
        <f t="shared" si="35"/>
        <v>-2.2737367544323206E-13</v>
      </c>
      <c r="T192" s="343"/>
      <c r="U192" s="343">
        <f t="shared" ca="1" si="25"/>
        <v>1.0000000000000002</v>
      </c>
      <c r="V192" s="345">
        <f t="shared" si="36"/>
        <v>22.392857142857142</v>
      </c>
      <c r="W192" s="186"/>
      <c r="X192" s="207"/>
    </row>
    <row r="193" spans="2:24" x14ac:dyDescent="0.3">
      <c r="B193" s="246">
        <v>186</v>
      </c>
      <c r="C193" s="437">
        <f>B193*MechanicalData!$B$22/360</f>
        <v>28.416666666666668</v>
      </c>
      <c r="D193" s="437">
        <f>MechanicalData!$B$22</f>
        <v>55</v>
      </c>
      <c r="E193" s="248">
        <v>186</v>
      </c>
      <c r="F193" s="453">
        <v>34.161000000000001</v>
      </c>
      <c r="G193" s="437">
        <v>69.998000000000005</v>
      </c>
      <c r="H193" s="339">
        <f t="shared" si="26"/>
        <v>186</v>
      </c>
      <c r="I193" s="451">
        <f t="shared" si="27"/>
        <v>55</v>
      </c>
      <c r="J193" s="340">
        <f t="shared" si="28"/>
        <v>0.15277777777777779</v>
      </c>
      <c r="K193" s="341">
        <f t="shared" si="29"/>
        <v>28.416666666666668</v>
      </c>
      <c r="L193" s="333">
        <f t="shared" si="30"/>
        <v>4165.0714285714284</v>
      </c>
      <c r="M193" s="342">
        <f t="shared" si="31"/>
        <v>4165</v>
      </c>
      <c r="N193" s="343">
        <f t="shared" si="32"/>
        <v>28.416666666666664</v>
      </c>
      <c r="O193" s="343"/>
      <c r="P193" s="343">
        <f t="shared" si="33"/>
        <v>0</v>
      </c>
      <c r="Q193" s="344"/>
      <c r="R193" s="343">
        <f t="shared" si="34"/>
        <v>186.00000000000023</v>
      </c>
      <c r="S193" s="343">
        <f t="shared" si="35"/>
        <v>-2.2737367544323206E-13</v>
      </c>
      <c r="T193" s="343"/>
      <c r="U193" s="343">
        <f t="shared" ca="1" si="25"/>
        <v>1.0000000000000002</v>
      </c>
      <c r="V193" s="345">
        <f t="shared" si="36"/>
        <v>22.392857142857142</v>
      </c>
      <c r="W193" s="186"/>
      <c r="X193" s="207"/>
    </row>
    <row r="194" spans="2:24" x14ac:dyDescent="0.3">
      <c r="B194" s="246">
        <v>187</v>
      </c>
      <c r="C194" s="437">
        <f>B194*MechanicalData!$B$22/360</f>
        <v>28.569444444444443</v>
      </c>
      <c r="D194" s="437">
        <f>MechanicalData!$B$22</f>
        <v>55</v>
      </c>
      <c r="E194" s="248">
        <v>187</v>
      </c>
      <c r="F194" s="453">
        <v>34.356000000000002</v>
      </c>
      <c r="G194" s="437">
        <v>69.998000000000005</v>
      </c>
      <c r="H194" s="339">
        <f t="shared" si="26"/>
        <v>187</v>
      </c>
      <c r="I194" s="451">
        <f t="shared" si="27"/>
        <v>55</v>
      </c>
      <c r="J194" s="340">
        <f t="shared" si="28"/>
        <v>0.15277777777777779</v>
      </c>
      <c r="K194" s="341">
        <f t="shared" si="29"/>
        <v>28.569444444444443</v>
      </c>
      <c r="L194" s="333">
        <f t="shared" si="30"/>
        <v>4187.4642857142853</v>
      </c>
      <c r="M194" s="342">
        <f t="shared" si="31"/>
        <v>4187</v>
      </c>
      <c r="N194" s="343">
        <f t="shared" si="32"/>
        <v>28.569444444444439</v>
      </c>
      <c r="O194" s="343"/>
      <c r="P194" s="343">
        <f t="shared" si="33"/>
        <v>0</v>
      </c>
      <c r="Q194" s="344"/>
      <c r="R194" s="343">
        <f t="shared" si="34"/>
        <v>187.0000000000002</v>
      </c>
      <c r="S194" s="343">
        <f t="shared" si="35"/>
        <v>0</v>
      </c>
      <c r="T194" s="343"/>
      <c r="U194" s="343">
        <f t="shared" ca="1" si="25"/>
        <v>1.0000000000000002</v>
      </c>
      <c r="V194" s="345">
        <f t="shared" si="36"/>
        <v>22.392857142857142</v>
      </c>
      <c r="W194" s="186"/>
      <c r="X194" s="207"/>
    </row>
    <row r="195" spans="2:24" x14ac:dyDescent="0.3">
      <c r="B195" s="246">
        <v>188</v>
      </c>
      <c r="C195" s="437">
        <f>B195*MechanicalData!$B$22/360</f>
        <v>28.722222222222221</v>
      </c>
      <c r="D195" s="437">
        <f>MechanicalData!$B$22</f>
        <v>55</v>
      </c>
      <c r="E195" s="248">
        <v>188</v>
      </c>
      <c r="F195" s="453">
        <v>34.549999999999997</v>
      </c>
      <c r="G195" s="437">
        <v>69.998000000000005</v>
      </c>
      <c r="H195" s="339">
        <f t="shared" si="26"/>
        <v>188</v>
      </c>
      <c r="I195" s="451">
        <f t="shared" si="27"/>
        <v>55</v>
      </c>
      <c r="J195" s="340">
        <f t="shared" si="28"/>
        <v>0.15277777777777779</v>
      </c>
      <c r="K195" s="341">
        <f t="shared" si="29"/>
        <v>28.722222222222221</v>
      </c>
      <c r="L195" s="333">
        <f t="shared" si="30"/>
        <v>4209.8571428571422</v>
      </c>
      <c r="M195" s="342">
        <f t="shared" si="31"/>
        <v>4210</v>
      </c>
      <c r="N195" s="343">
        <f t="shared" si="32"/>
        <v>28.722222222222214</v>
      </c>
      <c r="O195" s="343"/>
      <c r="P195" s="343">
        <f t="shared" si="33"/>
        <v>0</v>
      </c>
      <c r="Q195" s="344"/>
      <c r="R195" s="343">
        <f t="shared" si="34"/>
        <v>188.00000000000023</v>
      </c>
      <c r="S195" s="343">
        <f t="shared" si="35"/>
        <v>-2.2737367544323206E-13</v>
      </c>
      <c r="T195" s="343"/>
      <c r="U195" s="343">
        <f t="shared" ca="1" si="25"/>
        <v>1.0000000000000002</v>
      </c>
      <c r="V195" s="345">
        <f t="shared" si="36"/>
        <v>22.392857142857142</v>
      </c>
      <c r="W195" s="186"/>
      <c r="X195" s="207"/>
    </row>
    <row r="196" spans="2:24" x14ac:dyDescent="0.3">
      <c r="B196" s="246">
        <v>189</v>
      </c>
      <c r="C196" s="437">
        <f>B196*MechanicalData!$B$22/360</f>
        <v>28.875</v>
      </c>
      <c r="D196" s="437">
        <f>MechanicalData!$B$22</f>
        <v>55</v>
      </c>
      <c r="E196" s="248">
        <v>189</v>
      </c>
      <c r="F196" s="453">
        <v>34.744</v>
      </c>
      <c r="G196" s="437">
        <v>69.998000000000005</v>
      </c>
      <c r="H196" s="339">
        <f t="shared" si="26"/>
        <v>189</v>
      </c>
      <c r="I196" s="451">
        <f t="shared" si="27"/>
        <v>55</v>
      </c>
      <c r="J196" s="340">
        <f t="shared" si="28"/>
        <v>0.15277777777777779</v>
      </c>
      <c r="K196" s="341">
        <f t="shared" si="29"/>
        <v>28.875</v>
      </c>
      <c r="L196" s="333">
        <f t="shared" si="30"/>
        <v>4232.25</v>
      </c>
      <c r="M196" s="342">
        <f t="shared" si="31"/>
        <v>4232</v>
      </c>
      <c r="N196" s="343">
        <f t="shared" si="32"/>
        <v>28.874999999999996</v>
      </c>
      <c r="O196" s="343"/>
      <c r="P196" s="343">
        <f t="shared" si="33"/>
        <v>0</v>
      </c>
      <c r="Q196" s="344"/>
      <c r="R196" s="343">
        <f t="shared" si="34"/>
        <v>189.00000000000023</v>
      </c>
      <c r="S196" s="343">
        <f t="shared" si="35"/>
        <v>-2.2737367544323206E-13</v>
      </c>
      <c r="T196" s="343"/>
      <c r="U196" s="343">
        <f t="shared" ca="1" si="25"/>
        <v>1.0000000000000002</v>
      </c>
      <c r="V196" s="345">
        <f t="shared" si="36"/>
        <v>22.392857142857142</v>
      </c>
      <c r="W196" s="186"/>
      <c r="X196" s="207"/>
    </row>
    <row r="197" spans="2:24" x14ac:dyDescent="0.3">
      <c r="B197" s="246">
        <v>190</v>
      </c>
      <c r="C197" s="437">
        <f>B197*MechanicalData!$B$22/360</f>
        <v>29.027777777777779</v>
      </c>
      <c r="D197" s="437">
        <f>MechanicalData!$B$22</f>
        <v>55</v>
      </c>
      <c r="E197" s="248">
        <v>190</v>
      </c>
      <c r="F197" s="453">
        <v>34.939</v>
      </c>
      <c r="G197" s="437">
        <v>69.998000000000005</v>
      </c>
      <c r="H197" s="339">
        <f t="shared" si="26"/>
        <v>190</v>
      </c>
      <c r="I197" s="451">
        <f t="shared" si="27"/>
        <v>55</v>
      </c>
      <c r="J197" s="340">
        <f t="shared" si="28"/>
        <v>0.15277777777777779</v>
      </c>
      <c r="K197" s="341">
        <f t="shared" si="29"/>
        <v>29.027777777777779</v>
      </c>
      <c r="L197" s="333">
        <f t="shared" si="30"/>
        <v>4254.6428571428569</v>
      </c>
      <c r="M197" s="342">
        <f t="shared" si="31"/>
        <v>4255</v>
      </c>
      <c r="N197" s="343">
        <f t="shared" si="32"/>
        <v>29.027777777777775</v>
      </c>
      <c r="O197" s="343"/>
      <c r="P197" s="343">
        <f t="shared" si="33"/>
        <v>0</v>
      </c>
      <c r="Q197" s="344"/>
      <c r="R197" s="343">
        <f t="shared" si="34"/>
        <v>190.00000000000023</v>
      </c>
      <c r="S197" s="343">
        <f t="shared" si="35"/>
        <v>-2.2737367544323206E-13</v>
      </c>
      <c r="T197" s="343"/>
      <c r="U197" s="343">
        <f t="shared" ca="1" si="25"/>
        <v>1.0000000000000002</v>
      </c>
      <c r="V197" s="345">
        <f t="shared" si="36"/>
        <v>22.392857142857142</v>
      </c>
      <c r="W197" s="186"/>
      <c r="X197" s="207"/>
    </row>
    <row r="198" spans="2:24" x14ac:dyDescent="0.3">
      <c r="B198" s="246">
        <v>191</v>
      </c>
      <c r="C198" s="437">
        <f>B198*MechanicalData!$B$22/360</f>
        <v>29.180555555555557</v>
      </c>
      <c r="D198" s="437">
        <f>MechanicalData!$B$22</f>
        <v>55</v>
      </c>
      <c r="E198" s="248">
        <v>191</v>
      </c>
      <c r="F198" s="453">
        <v>35.133000000000003</v>
      </c>
      <c r="G198" s="437">
        <v>69.998000000000005</v>
      </c>
      <c r="H198" s="339">
        <f t="shared" si="26"/>
        <v>191</v>
      </c>
      <c r="I198" s="451">
        <f t="shared" si="27"/>
        <v>55</v>
      </c>
      <c r="J198" s="340">
        <f t="shared" si="28"/>
        <v>0.15277777777777779</v>
      </c>
      <c r="K198" s="341">
        <f t="shared" si="29"/>
        <v>29.180555555555557</v>
      </c>
      <c r="L198" s="333">
        <f t="shared" si="30"/>
        <v>4277.0357142857138</v>
      </c>
      <c r="M198" s="342">
        <f t="shared" si="31"/>
        <v>4277</v>
      </c>
      <c r="N198" s="343">
        <f t="shared" si="32"/>
        <v>29.18055555555555</v>
      </c>
      <c r="O198" s="343"/>
      <c r="P198" s="343">
        <f t="shared" si="33"/>
        <v>0</v>
      </c>
      <c r="Q198" s="344"/>
      <c r="R198" s="343">
        <f t="shared" si="34"/>
        <v>191.0000000000002</v>
      </c>
      <c r="S198" s="343">
        <f t="shared" si="35"/>
        <v>0</v>
      </c>
      <c r="T198" s="343"/>
      <c r="U198" s="343">
        <f t="shared" ca="1" si="25"/>
        <v>1.0000000000000002</v>
      </c>
      <c r="V198" s="345">
        <f t="shared" si="36"/>
        <v>22.392857142857142</v>
      </c>
      <c r="W198" s="186"/>
      <c r="X198" s="207"/>
    </row>
    <row r="199" spans="2:24" x14ac:dyDescent="0.3">
      <c r="B199" s="246">
        <v>192</v>
      </c>
      <c r="C199" s="437">
        <f>B199*MechanicalData!$B$22/360</f>
        <v>29.333333333333332</v>
      </c>
      <c r="D199" s="437">
        <f>MechanicalData!$B$22</f>
        <v>55</v>
      </c>
      <c r="E199" s="248">
        <v>192</v>
      </c>
      <c r="F199" s="453">
        <v>35.328000000000003</v>
      </c>
      <c r="G199" s="437">
        <v>69.998000000000005</v>
      </c>
      <c r="H199" s="339">
        <f t="shared" si="26"/>
        <v>192</v>
      </c>
      <c r="I199" s="451">
        <f t="shared" si="27"/>
        <v>55</v>
      </c>
      <c r="J199" s="340">
        <f t="shared" si="28"/>
        <v>0.15277777777777779</v>
      </c>
      <c r="K199" s="341">
        <f t="shared" si="29"/>
        <v>29.333333333333332</v>
      </c>
      <c r="L199" s="333">
        <f t="shared" si="30"/>
        <v>4299.4285714285706</v>
      </c>
      <c r="M199" s="342">
        <f t="shared" si="31"/>
        <v>4299</v>
      </c>
      <c r="N199" s="343">
        <f t="shared" si="32"/>
        <v>29.333333333333325</v>
      </c>
      <c r="O199" s="343"/>
      <c r="P199" s="343">
        <f t="shared" si="33"/>
        <v>0</v>
      </c>
      <c r="Q199" s="344"/>
      <c r="R199" s="343">
        <f t="shared" si="34"/>
        <v>192.00000000000023</v>
      </c>
      <c r="S199" s="343">
        <f t="shared" si="35"/>
        <v>-2.2737367544323206E-13</v>
      </c>
      <c r="T199" s="343"/>
      <c r="U199" s="343">
        <f t="shared" ca="1" si="25"/>
        <v>1.0000000000000002</v>
      </c>
      <c r="V199" s="345">
        <f t="shared" si="36"/>
        <v>22.392857142857142</v>
      </c>
      <c r="W199" s="186"/>
      <c r="X199" s="207"/>
    </row>
    <row r="200" spans="2:24" x14ac:dyDescent="0.3">
      <c r="B200" s="246">
        <v>193</v>
      </c>
      <c r="C200" s="437">
        <f>B200*MechanicalData!$B$22/360</f>
        <v>29.486111111111111</v>
      </c>
      <c r="D200" s="437">
        <f>MechanicalData!$B$22</f>
        <v>55</v>
      </c>
      <c r="E200" s="248">
        <v>193</v>
      </c>
      <c r="F200" s="453">
        <v>35.521999999999998</v>
      </c>
      <c r="G200" s="437">
        <v>69.998000000000005</v>
      </c>
      <c r="H200" s="339">
        <f t="shared" si="26"/>
        <v>193</v>
      </c>
      <c r="I200" s="451">
        <f t="shared" si="27"/>
        <v>55</v>
      </c>
      <c r="J200" s="340">
        <f t="shared" si="28"/>
        <v>0.15277777777777779</v>
      </c>
      <c r="K200" s="341">
        <f t="shared" si="29"/>
        <v>29.486111111111111</v>
      </c>
      <c r="L200" s="333">
        <f t="shared" si="30"/>
        <v>4321.8214285714284</v>
      </c>
      <c r="M200" s="342">
        <f t="shared" si="31"/>
        <v>4322</v>
      </c>
      <c r="N200" s="343">
        <f t="shared" si="32"/>
        <v>29.486111111111107</v>
      </c>
      <c r="O200" s="343"/>
      <c r="P200" s="343">
        <f t="shared" si="33"/>
        <v>0</v>
      </c>
      <c r="Q200" s="344"/>
      <c r="R200" s="343">
        <f t="shared" si="34"/>
        <v>193.00000000000023</v>
      </c>
      <c r="S200" s="343">
        <f t="shared" si="35"/>
        <v>-2.2737367544323206E-13</v>
      </c>
      <c r="T200" s="343"/>
      <c r="U200" s="343">
        <f t="shared" ref="U200:U263" ca="1" si="37">$V200/$Z$9</f>
        <v>1.0000000000000002</v>
      </c>
      <c r="V200" s="345">
        <f t="shared" si="36"/>
        <v>22.392857142857142</v>
      </c>
      <c r="W200" s="186"/>
      <c r="X200" s="207"/>
    </row>
    <row r="201" spans="2:24" x14ac:dyDescent="0.3">
      <c r="B201" s="246">
        <v>194</v>
      </c>
      <c r="C201" s="437">
        <f>B201*MechanicalData!$B$22/360</f>
        <v>29.638888888888889</v>
      </c>
      <c r="D201" s="437">
        <f>MechanicalData!$B$22</f>
        <v>55</v>
      </c>
      <c r="E201" s="248">
        <v>194</v>
      </c>
      <c r="F201" s="453">
        <v>35.716999999999999</v>
      </c>
      <c r="G201" s="437">
        <v>69.998000000000005</v>
      </c>
      <c r="H201" s="339">
        <f t="shared" ref="H201:H264" si="38">B201</f>
        <v>194</v>
      </c>
      <c r="I201" s="451">
        <f t="shared" ref="I201:I264" si="39">D201</f>
        <v>55</v>
      </c>
      <c r="J201" s="340">
        <f t="shared" ref="J201:J264" si="40">I201/360</f>
        <v>0.15277777777777779</v>
      </c>
      <c r="K201" s="341">
        <f t="shared" ref="K201:K264" si="41">C201</f>
        <v>29.638888888888889</v>
      </c>
      <c r="L201" s="333">
        <f t="shared" ref="L201:L264" si="42">K201/$Z$7*360</f>
        <v>4344.2142857142853</v>
      </c>
      <c r="M201" s="342">
        <f t="shared" ref="M201:M264" si="43">ROUND(L201, 0)</f>
        <v>4344</v>
      </c>
      <c r="N201" s="343">
        <f t="shared" ref="N201:N264" si="44">InterpolXY(L201,$Y$22:$Y$31,$X$22:$X$31)</f>
        <v>29.638888888888882</v>
      </c>
      <c r="O201" s="343"/>
      <c r="P201" s="343">
        <f t="shared" ref="P201:P264" si="45">K201-N201</f>
        <v>0</v>
      </c>
      <c r="Q201" s="344"/>
      <c r="R201" s="343">
        <f t="shared" ref="R201:R264" si="46">InterpolXY(L201,$Y$22:$Y$31,$AC$22:$AC$31)</f>
        <v>194.0000000000002</v>
      </c>
      <c r="S201" s="343">
        <f t="shared" ref="S201:S264" si="47">H201-R201</f>
        <v>0</v>
      </c>
      <c r="T201" s="343"/>
      <c r="U201" s="343">
        <f t="shared" ca="1" si="37"/>
        <v>1.0000000000000002</v>
      </c>
      <c r="V201" s="345">
        <f t="shared" ref="V201:V264" si="48">$I201/$Z$7</f>
        <v>22.392857142857142</v>
      </c>
      <c r="W201" s="186"/>
      <c r="X201" s="207"/>
    </row>
    <row r="202" spans="2:24" x14ac:dyDescent="0.3">
      <c r="B202" s="246">
        <v>195</v>
      </c>
      <c r="C202" s="437">
        <f>B202*MechanicalData!$B$22/360</f>
        <v>29.791666666666668</v>
      </c>
      <c r="D202" s="437">
        <f>MechanicalData!$B$22</f>
        <v>55</v>
      </c>
      <c r="E202" s="248">
        <v>195</v>
      </c>
      <c r="F202" s="453">
        <v>35.911000000000001</v>
      </c>
      <c r="G202" s="437">
        <v>69.998000000000005</v>
      </c>
      <c r="H202" s="339">
        <f t="shared" si="38"/>
        <v>195</v>
      </c>
      <c r="I202" s="451">
        <f t="shared" si="39"/>
        <v>55</v>
      </c>
      <c r="J202" s="340">
        <f t="shared" si="40"/>
        <v>0.15277777777777779</v>
      </c>
      <c r="K202" s="341">
        <f t="shared" si="41"/>
        <v>29.791666666666668</v>
      </c>
      <c r="L202" s="333">
        <f t="shared" si="42"/>
        <v>4366.6071428571431</v>
      </c>
      <c r="M202" s="342">
        <f t="shared" si="43"/>
        <v>4367</v>
      </c>
      <c r="N202" s="343">
        <f t="shared" si="44"/>
        <v>29.791666666666664</v>
      </c>
      <c r="O202" s="343"/>
      <c r="P202" s="343">
        <f t="shared" si="45"/>
        <v>0</v>
      </c>
      <c r="Q202" s="344"/>
      <c r="R202" s="343">
        <f t="shared" si="46"/>
        <v>195.00000000000026</v>
      </c>
      <c r="S202" s="343">
        <f t="shared" si="47"/>
        <v>-2.5579538487363607E-13</v>
      </c>
      <c r="T202" s="343"/>
      <c r="U202" s="343">
        <f t="shared" ca="1" si="37"/>
        <v>1.0000000000000002</v>
      </c>
      <c r="V202" s="345">
        <f t="shared" si="48"/>
        <v>22.392857142857142</v>
      </c>
      <c r="W202" s="186"/>
      <c r="X202" s="207"/>
    </row>
    <row r="203" spans="2:24" x14ac:dyDescent="0.3">
      <c r="B203" s="246">
        <v>196</v>
      </c>
      <c r="C203" s="437">
        <f>B203*MechanicalData!$B$22/360</f>
        <v>29.944444444444443</v>
      </c>
      <c r="D203" s="437">
        <f>MechanicalData!$B$22</f>
        <v>55</v>
      </c>
      <c r="E203" s="248">
        <v>196</v>
      </c>
      <c r="F203" s="453">
        <v>36.104999999999997</v>
      </c>
      <c r="G203" s="437">
        <v>69.998000000000005</v>
      </c>
      <c r="H203" s="339">
        <f t="shared" si="38"/>
        <v>196</v>
      </c>
      <c r="I203" s="451">
        <f t="shared" si="39"/>
        <v>55</v>
      </c>
      <c r="J203" s="340">
        <f t="shared" si="40"/>
        <v>0.15277777777777779</v>
      </c>
      <c r="K203" s="341">
        <f t="shared" si="41"/>
        <v>29.944444444444443</v>
      </c>
      <c r="L203" s="333">
        <f t="shared" si="42"/>
        <v>4389</v>
      </c>
      <c r="M203" s="342">
        <f t="shared" si="43"/>
        <v>4389</v>
      </c>
      <c r="N203" s="343">
        <f t="shared" si="44"/>
        <v>29.944444444444443</v>
      </c>
      <c r="O203" s="343"/>
      <c r="P203" s="343">
        <f t="shared" si="45"/>
        <v>0</v>
      </c>
      <c r="Q203" s="344"/>
      <c r="R203" s="343">
        <f t="shared" si="46"/>
        <v>196.00000000000026</v>
      </c>
      <c r="S203" s="343">
        <f t="shared" si="47"/>
        <v>-2.5579538487363607E-13</v>
      </c>
      <c r="T203" s="343"/>
      <c r="U203" s="343">
        <f t="shared" ca="1" si="37"/>
        <v>1.0000000000000002</v>
      </c>
      <c r="V203" s="345">
        <f t="shared" si="48"/>
        <v>22.392857142857142</v>
      </c>
      <c r="W203" s="186"/>
      <c r="X203" s="207"/>
    </row>
    <row r="204" spans="2:24" x14ac:dyDescent="0.3">
      <c r="B204" s="246">
        <v>197</v>
      </c>
      <c r="C204" s="437">
        <f>B204*MechanicalData!$B$22/360</f>
        <v>30.097222222222221</v>
      </c>
      <c r="D204" s="437">
        <f>MechanicalData!$B$22</f>
        <v>55</v>
      </c>
      <c r="E204" s="248">
        <v>197</v>
      </c>
      <c r="F204" s="453">
        <v>36.299999999999997</v>
      </c>
      <c r="G204" s="437">
        <v>69.998000000000005</v>
      </c>
      <c r="H204" s="339">
        <f t="shared" si="38"/>
        <v>197</v>
      </c>
      <c r="I204" s="451">
        <f t="shared" si="39"/>
        <v>55</v>
      </c>
      <c r="J204" s="340">
        <f t="shared" si="40"/>
        <v>0.15277777777777779</v>
      </c>
      <c r="K204" s="341">
        <f t="shared" si="41"/>
        <v>30.097222222222221</v>
      </c>
      <c r="L204" s="333">
        <f t="shared" si="42"/>
        <v>4411.3928571428569</v>
      </c>
      <c r="M204" s="342">
        <f t="shared" si="43"/>
        <v>4411</v>
      </c>
      <c r="N204" s="343">
        <f t="shared" si="44"/>
        <v>30.097222222222218</v>
      </c>
      <c r="O204" s="343"/>
      <c r="P204" s="343">
        <f t="shared" si="45"/>
        <v>0</v>
      </c>
      <c r="Q204" s="344"/>
      <c r="R204" s="343">
        <f t="shared" si="46"/>
        <v>197.00000000000023</v>
      </c>
      <c r="S204" s="343">
        <f t="shared" si="47"/>
        <v>-2.2737367544323206E-13</v>
      </c>
      <c r="T204" s="343"/>
      <c r="U204" s="343">
        <f t="shared" ca="1" si="37"/>
        <v>1.0000000000000002</v>
      </c>
      <c r="V204" s="345">
        <f t="shared" si="48"/>
        <v>22.392857142857142</v>
      </c>
      <c r="W204" s="186"/>
      <c r="X204" s="207"/>
    </row>
    <row r="205" spans="2:24" x14ac:dyDescent="0.3">
      <c r="B205" s="246">
        <v>198</v>
      </c>
      <c r="C205" s="437">
        <f>B205*MechanicalData!$B$22/360</f>
        <v>30.25</v>
      </c>
      <c r="D205" s="437">
        <f>MechanicalData!$B$22</f>
        <v>55</v>
      </c>
      <c r="E205" s="248">
        <v>198</v>
      </c>
      <c r="F205" s="453">
        <v>36.494</v>
      </c>
      <c r="G205" s="437">
        <v>69.998000000000005</v>
      </c>
      <c r="H205" s="339">
        <f t="shared" si="38"/>
        <v>198</v>
      </c>
      <c r="I205" s="451">
        <f t="shared" si="39"/>
        <v>55</v>
      </c>
      <c r="J205" s="340">
        <f t="shared" si="40"/>
        <v>0.15277777777777779</v>
      </c>
      <c r="K205" s="341">
        <f t="shared" si="41"/>
        <v>30.25</v>
      </c>
      <c r="L205" s="333">
        <f t="shared" si="42"/>
        <v>4433.7857142857138</v>
      </c>
      <c r="M205" s="342">
        <f t="shared" si="43"/>
        <v>4434</v>
      </c>
      <c r="N205" s="343">
        <f t="shared" si="44"/>
        <v>30.249999999999993</v>
      </c>
      <c r="O205" s="343"/>
      <c r="P205" s="343">
        <f t="shared" si="45"/>
        <v>0</v>
      </c>
      <c r="Q205" s="344"/>
      <c r="R205" s="343">
        <f t="shared" si="46"/>
        <v>198.0000000000002</v>
      </c>
      <c r="S205" s="343">
        <f t="shared" si="47"/>
        <v>0</v>
      </c>
      <c r="T205" s="343"/>
      <c r="U205" s="343">
        <f t="shared" ca="1" si="37"/>
        <v>1.0000000000000002</v>
      </c>
      <c r="V205" s="345">
        <f t="shared" si="48"/>
        <v>22.392857142857142</v>
      </c>
      <c r="W205" s="186"/>
      <c r="X205" s="207"/>
    </row>
    <row r="206" spans="2:24" x14ac:dyDescent="0.3">
      <c r="B206" s="246">
        <v>199</v>
      </c>
      <c r="C206" s="437">
        <f>B206*MechanicalData!$B$22/360</f>
        <v>30.402777777777779</v>
      </c>
      <c r="D206" s="437">
        <f>MechanicalData!$B$22</f>
        <v>55</v>
      </c>
      <c r="E206" s="248">
        <v>199</v>
      </c>
      <c r="F206" s="453">
        <v>36.689</v>
      </c>
      <c r="G206" s="437">
        <v>69.998000000000005</v>
      </c>
      <c r="H206" s="339">
        <f t="shared" si="38"/>
        <v>199</v>
      </c>
      <c r="I206" s="451">
        <f t="shared" si="39"/>
        <v>55</v>
      </c>
      <c r="J206" s="340">
        <f t="shared" si="40"/>
        <v>0.15277777777777779</v>
      </c>
      <c r="K206" s="341">
        <f t="shared" si="41"/>
        <v>30.402777777777779</v>
      </c>
      <c r="L206" s="333">
        <f t="shared" si="42"/>
        <v>4456.1785714285716</v>
      </c>
      <c r="M206" s="342">
        <f t="shared" si="43"/>
        <v>4456</v>
      </c>
      <c r="N206" s="343">
        <f t="shared" si="44"/>
        <v>30.402777777777775</v>
      </c>
      <c r="O206" s="343"/>
      <c r="P206" s="343">
        <f t="shared" si="45"/>
        <v>0</v>
      </c>
      <c r="Q206" s="344"/>
      <c r="R206" s="343">
        <f t="shared" si="46"/>
        <v>199.00000000000026</v>
      </c>
      <c r="S206" s="343">
        <f t="shared" si="47"/>
        <v>-2.5579538487363607E-13</v>
      </c>
      <c r="T206" s="343"/>
      <c r="U206" s="343">
        <f t="shared" ca="1" si="37"/>
        <v>1.0000000000000002</v>
      </c>
      <c r="V206" s="345">
        <f t="shared" si="48"/>
        <v>22.392857142857142</v>
      </c>
      <c r="W206" s="186"/>
      <c r="X206" s="207"/>
    </row>
    <row r="207" spans="2:24" x14ac:dyDescent="0.3">
      <c r="B207" s="246">
        <v>200</v>
      </c>
      <c r="C207" s="437">
        <f>B207*MechanicalData!$B$22/360</f>
        <v>30.555555555555557</v>
      </c>
      <c r="D207" s="437">
        <f>MechanicalData!$B$22</f>
        <v>55</v>
      </c>
      <c r="E207" s="248">
        <v>200</v>
      </c>
      <c r="F207" s="453">
        <v>36.883000000000003</v>
      </c>
      <c r="G207" s="437">
        <v>69.998000000000005</v>
      </c>
      <c r="H207" s="339">
        <f t="shared" si="38"/>
        <v>200</v>
      </c>
      <c r="I207" s="451">
        <f t="shared" si="39"/>
        <v>55</v>
      </c>
      <c r="J207" s="340">
        <f t="shared" si="40"/>
        <v>0.15277777777777779</v>
      </c>
      <c r="K207" s="341">
        <f t="shared" si="41"/>
        <v>30.555555555555557</v>
      </c>
      <c r="L207" s="333">
        <f t="shared" si="42"/>
        <v>4478.5714285714284</v>
      </c>
      <c r="M207" s="342">
        <f t="shared" si="43"/>
        <v>4479</v>
      </c>
      <c r="N207" s="343">
        <f t="shared" si="44"/>
        <v>30.55555555555555</v>
      </c>
      <c r="O207" s="343"/>
      <c r="P207" s="343">
        <f t="shared" si="45"/>
        <v>0</v>
      </c>
      <c r="Q207" s="344"/>
      <c r="R207" s="343">
        <f t="shared" si="46"/>
        <v>200.00000000000023</v>
      </c>
      <c r="S207" s="343">
        <f t="shared" si="47"/>
        <v>-2.2737367544323206E-13</v>
      </c>
      <c r="T207" s="343"/>
      <c r="U207" s="343">
        <f t="shared" ca="1" si="37"/>
        <v>1.0000000000000002</v>
      </c>
      <c r="V207" s="345">
        <f t="shared" si="48"/>
        <v>22.392857142857142</v>
      </c>
      <c r="W207" s="186"/>
      <c r="X207" s="207"/>
    </row>
    <row r="208" spans="2:24" x14ac:dyDescent="0.3">
      <c r="B208" s="246">
        <v>201</v>
      </c>
      <c r="C208" s="437">
        <f>B208*MechanicalData!$B$22/360</f>
        <v>30.708333333333332</v>
      </c>
      <c r="D208" s="437">
        <f>MechanicalData!$B$22</f>
        <v>55</v>
      </c>
      <c r="E208" s="248">
        <v>201</v>
      </c>
      <c r="F208" s="453">
        <v>37.078000000000003</v>
      </c>
      <c r="G208" s="437">
        <v>69.998000000000005</v>
      </c>
      <c r="H208" s="339">
        <f t="shared" si="38"/>
        <v>201</v>
      </c>
      <c r="I208" s="451">
        <f t="shared" si="39"/>
        <v>55</v>
      </c>
      <c r="J208" s="340">
        <f t="shared" si="40"/>
        <v>0.15277777777777779</v>
      </c>
      <c r="K208" s="341">
        <f t="shared" si="41"/>
        <v>30.708333333333332</v>
      </c>
      <c r="L208" s="333">
        <f t="shared" si="42"/>
        <v>4500.9642857142853</v>
      </c>
      <c r="M208" s="342">
        <f t="shared" si="43"/>
        <v>4501</v>
      </c>
      <c r="N208" s="343">
        <f t="shared" si="44"/>
        <v>30.708333333333329</v>
      </c>
      <c r="O208" s="343"/>
      <c r="P208" s="343">
        <f t="shared" si="45"/>
        <v>0</v>
      </c>
      <c r="Q208" s="344"/>
      <c r="R208" s="343">
        <f t="shared" si="46"/>
        <v>201.00000000000023</v>
      </c>
      <c r="S208" s="343">
        <f t="shared" si="47"/>
        <v>-2.2737367544323206E-13</v>
      </c>
      <c r="T208" s="343"/>
      <c r="U208" s="343">
        <f t="shared" ca="1" si="37"/>
        <v>1.0000000000000002</v>
      </c>
      <c r="V208" s="345">
        <f t="shared" si="48"/>
        <v>22.392857142857142</v>
      </c>
      <c r="W208" s="186"/>
      <c r="X208" s="207"/>
    </row>
    <row r="209" spans="2:24" x14ac:dyDescent="0.3">
      <c r="B209" s="246">
        <v>202</v>
      </c>
      <c r="C209" s="437">
        <f>B209*MechanicalData!$B$22/360</f>
        <v>30.861111111111111</v>
      </c>
      <c r="D209" s="437">
        <f>MechanicalData!$B$22</f>
        <v>55</v>
      </c>
      <c r="E209" s="248">
        <v>202</v>
      </c>
      <c r="F209" s="453">
        <v>37.271999999999998</v>
      </c>
      <c r="G209" s="437">
        <v>69.998000000000005</v>
      </c>
      <c r="H209" s="339">
        <f t="shared" si="38"/>
        <v>202</v>
      </c>
      <c r="I209" s="451">
        <f t="shared" si="39"/>
        <v>55</v>
      </c>
      <c r="J209" s="340">
        <f t="shared" si="40"/>
        <v>0.15277777777777779</v>
      </c>
      <c r="K209" s="341">
        <f t="shared" si="41"/>
        <v>30.861111111111111</v>
      </c>
      <c r="L209" s="333">
        <f t="shared" si="42"/>
        <v>4523.3571428571422</v>
      </c>
      <c r="M209" s="342">
        <f t="shared" si="43"/>
        <v>4523</v>
      </c>
      <c r="N209" s="343">
        <f t="shared" si="44"/>
        <v>30.861111111111104</v>
      </c>
      <c r="O209" s="343"/>
      <c r="P209" s="343">
        <f t="shared" si="45"/>
        <v>0</v>
      </c>
      <c r="Q209" s="344"/>
      <c r="R209" s="343">
        <f t="shared" si="46"/>
        <v>202.00000000000023</v>
      </c>
      <c r="S209" s="343">
        <f t="shared" si="47"/>
        <v>-2.2737367544323206E-13</v>
      </c>
      <c r="T209" s="343"/>
      <c r="U209" s="343">
        <f t="shared" ca="1" si="37"/>
        <v>1.0000000000000002</v>
      </c>
      <c r="V209" s="345">
        <f t="shared" si="48"/>
        <v>22.392857142857142</v>
      </c>
      <c r="W209" s="186"/>
      <c r="X209" s="207"/>
    </row>
    <row r="210" spans="2:24" x14ac:dyDescent="0.3">
      <c r="B210" s="246">
        <v>203</v>
      </c>
      <c r="C210" s="437">
        <f>B210*MechanicalData!$B$22/360</f>
        <v>31.013888888888889</v>
      </c>
      <c r="D210" s="437">
        <f>MechanicalData!$B$22</f>
        <v>55</v>
      </c>
      <c r="E210" s="248">
        <v>203</v>
      </c>
      <c r="F210" s="453">
        <v>37.466999999999999</v>
      </c>
      <c r="G210" s="437">
        <v>69.998000000000005</v>
      </c>
      <c r="H210" s="339">
        <f t="shared" si="38"/>
        <v>203</v>
      </c>
      <c r="I210" s="451">
        <f t="shared" si="39"/>
        <v>55</v>
      </c>
      <c r="J210" s="340">
        <f t="shared" si="40"/>
        <v>0.15277777777777779</v>
      </c>
      <c r="K210" s="341">
        <f t="shared" si="41"/>
        <v>31.013888888888889</v>
      </c>
      <c r="L210" s="333">
        <f t="shared" si="42"/>
        <v>4545.75</v>
      </c>
      <c r="M210" s="342">
        <f t="shared" si="43"/>
        <v>4546</v>
      </c>
      <c r="N210" s="343">
        <f t="shared" si="44"/>
        <v>31.013888888888886</v>
      </c>
      <c r="O210" s="343"/>
      <c r="P210" s="343">
        <f t="shared" si="45"/>
        <v>0</v>
      </c>
      <c r="Q210" s="344"/>
      <c r="R210" s="343">
        <f t="shared" si="46"/>
        <v>203.00000000000026</v>
      </c>
      <c r="S210" s="343">
        <f t="shared" si="47"/>
        <v>-2.5579538487363607E-13</v>
      </c>
      <c r="T210" s="343"/>
      <c r="U210" s="343">
        <f t="shared" ca="1" si="37"/>
        <v>1.0000000000000002</v>
      </c>
      <c r="V210" s="345">
        <f t="shared" si="48"/>
        <v>22.392857142857142</v>
      </c>
      <c r="W210" s="186"/>
      <c r="X210" s="207"/>
    </row>
    <row r="211" spans="2:24" x14ac:dyDescent="0.3">
      <c r="B211" s="246">
        <v>204</v>
      </c>
      <c r="C211" s="437">
        <f>B211*MechanicalData!$B$22/360</f>
        <v>31.166666666666668</v>
      </c>
      <c r="D211" s="437">
        <f>MechanicalData!$B$22</f>
        <v>55</v>
      </c>
      <c r="E211" s="248">
        <v>204</v>
      </c>
      <c r="F211" s="453">
        <v>37.661000000000001</v>
      </c>
      <c r="G211" s="437">
        <v>69.998000000000005</v>
      </c>
      <c r="H211" s="339">
        <f t="shared" si="38"/>
        <v>204</v>
      </c>
      <c r="I211" s="451">
        <f t="shared" si="39"/>
        <v>55</v>
      </c>
      <c r="J211" s="340">
        <f t="shared" si="40"/>
        <v>0.15277777777777779</v>
      </c>
      <c r="K211" s="341">
        <f t="shared" si="41"/>
        <v>31.166666666666668</v>
      </c>
      <c r="L211" s="333">
        <f t="shared" si="42"/>
        <v>4568.1428571428578</v>
      </c>
      <c r="M211" s="342">
        <f t="shared" si="43"/>
        <v>4568</v>
      </c>
      <c r="N211" s="343">
        <f t="shared" si="44"/>
        <v>31.166666666666671</v>
      </c>
      <c r="O211" s="343"/>
      <c r="P211" s="343">
        <f t="shared" si="45"/>
        <v>0</v>
      </c>
      <c r="Q211" s="344"/>
      <c r="R211" s="343">
        <f t="shared" si="46"/>
        <v>204.00000000000026</v>
      </c>
      <c r="S211" s="343">
        <f t="shared" si="47"/>
        <v>-2.5579538487363607E-13</v>
      </c>
      <c r="T211" s="343"/>
      <c r="U211" s="343">
        <f t="shared" ca="1" si="37"/>
        <v>1.0000000000000002</v>
      </c>
      <c r="V211" s="345">
        <f t="shared" si="48"/>
        <v>22.392857142857142</v>
      </c>
      <c r="W211" s="186"/>
      <c r="X211" s="207"/>
    </row>
    <row r="212" spans="2:24" x14ac:dyDescent="0.3">
      <c r="B212" s="246">
        <v>205</v>
      </c>
      <c r="C212" s="437">
        <f>B212*MechanicalData!$B$22/360</f>
        <v>31.319444444444443</v>
      </c>
      <c r="D212" s="437">
        <f>MechanicalData!$B$22</f>
        <v>55</v>
      </c>
      <c r="E212" s="248">
        <v>205</v>
      </c>
      <c r="F212" s="453">
        <v>37.854999999999997</v>
      </c>
      <c r="G212" s="437">
        <v>69.998000000000005</v>
      </c>
      <c r="H212" s="339">
        <f t="shared" si="38"/>
        <v>205</v>
      </c>
      <c r="I212" s="451">
        <f t="shared" si="39"/>
        <v>55</v>
      </c>
      <c r="J212" s="340">
        <f t="shared" si="40"/>
        <v>0.15277777777777779</v>
      </c>
      <c r="K212" s="341">
        <f t="shared" si="41"/>
        <v>31.319444444444443</v>
      </c>
      <c r="L212" s="333">
        <f t="shared" si="42"/>
        <v>4590.5357142857138</v>
      </c>
      <c r="M212" s="342">
        <f t="shared" si="43"/>
        <v>4591</v>
      </c>
      <c r="N212" s="343">
        <f t="shared" si="44"/>
        <v>31.319444444444439</v>
      </c>
      <c r="O212" s="343"/>
      <c r="P212" s="343">
        <f t="shared" si="45"/>
        <v>0</v>
      </c>
      <c r="Q212" s="344"/>
      <c r="R212" s="343">
        <f t="shared" si="46"/>
        <v>205.00000000000023</v>
      </c>
      <c r="S212" s="343">
        <f t="shared" si="47"/>
        <v>-2.2737367544323206E-13</v>
      </c>
      <c r="T212" s="343"/>
      <c r="U212" s="343">
        <f t="shared" ca="1" si="37"/>
        <v>1.0000000000000002</v>
      </c>
      <c r="V212" s="345">
        <f t="shared" si="48"/>
        <v>22.392857142857142</v>
      </c>
      <c r="W212" s="186"/>
      <c r="X212" s="207"/>
    </row>
    <row r="213" spans="2:24" x14ac:dyDescent="0.3">
      <c r="B213" s="246">
        <v>206</v>
      </c>
      <c r="C213" s="437">
        <f>B213*MechanicalData!$B$22/360</f>
        <v>31.472222222222221</v>
      </c>
      <c r="D213" s="437">
        <f>MechanicalData!$B$22</f>
        <v>55</v>
      </c>
      <c r="E213" s="248">
        <v>206</v>
      </c>
      <c r="F213" s="453">
        <v>38.049999999999997</v>
      </c>
      <c r="G213" s="437">
        <v>69.998000000000005</v>
      </c>
      <c r="H213" s="339">
        <f t="shared" si="38"/>
        <v>206</v>
      </c>
      <c r="I213" s="451">
        <f t="shared" si="39"/>
        <v>55</v>
      </c>
      <c r="J213" s="340">
        <f t="shared" si="40"/>
        <v>0.15277777777777779</v>
      </c>
      <c r="K213" s="341">
        <f t="shared" si="41"/>
        <v>31.472222222222221</v>
      </c>
      <c r="L213" s="333">
        <f t="shared" si="42"/>
        <v>4612.9285714285706</v>
      </c>
      <c r="M213" s="342">
        <f t="shared" si="43"/>
        <v>4613</v>
      </c>
      <c r="N213" s="343">
        <f t="shared" si="44"/>
        <v>31.472222222222214</v>
      </c>
      <c r="O213" s="343"/>
      <c r="P213" s="343">
        <f t="shared" si="45"/>
        <v>0</v>
      </c>
      <c r="Q213" s="344"/>
      <c r="R213" s="343">
        <f t="shared" si="46"/>
        <v>206.00000000000023</v>
      </c>
      <c r="S213" s="343">
        <f t="shared" si="47"/>
        <v>-2.2737367544323206E-13</v>
      </c>
      <c r="T213" s="343"/>
      <c r="U213" s="343">
        <f t="shared" ca="1" si="37"/>
        <v>1.0000000000000002</v>
      </c>
      <c r="V213" s="345">
        <f t="shared" si="48"/>
        <v>22.392857142857142</v>
      </c>
      <c r="W213" s="186"/>
      <c r="X213" s="207"/>
    </row>
    <row r="214" spans="2:24" x14ac:dyDescent="0.3">
      <c r="B214" s="246">
        <v>207</v>
      </c>
      <c r="C214" s="437">
        <f>B214*MechanicalData!$B$22/360</f>
        <v>31.625</v>
      </c>
      <c r="D214" s="437">
        <f>MechanicalData!$B$22</f>
        <v>55</v>
      </c>
      <c r="E214" s="248">
        <v>207</v>
      </c>
      <c r="F214" s="453">
        <v>38.244</v>
      </c>
      <c r="G214" s="437">
        <v>69.998000000000005</v>
      </c>
      <c r="H214" s="339">
        <f t="shared" si="38"/>
        <v>207</v>
      </c>
      <c r="I214" s="451">
        <f t="shared" si="39"/>
        <v>55</v>
      </c>
      <c r="J214" s="340">
        <f t="shared" si="40"/>
        <v>0.15277777777777779</v>
      </c>
      <c r="K214" s="341">
        <f t="shared" si="41"/>
        <v>31.625</v>
      </c>
      <c r="L214" s="333">
        <f t="shared" si="42"/>
        <v>4635.3214285714284</v>
      </c>
      <c r="M214" s="342">
        <f t="shared" si="43"/>
        <v>4635</v>
      </c>
      <c r="N214" s="343">
        <f t="shared" si="44"/>
        <v>31.625</v>
      </c>
      <c r="O214" s="343"/>
      <c r="P214" s="343">
        <f t="shared" si="45"/>
        <v>0</v>
      </c>
      <c r="Q214" s="344"/>
      <c r="R214" s="343">
        <f t="shared" si="46"/>
        <v>207.00000000000026</v>
      </c>
      <c r="S214" s="343">
        <f t="shared" si="47"/>
        <v>-2.5579538487363607E-13</v>
      </c>
      <c r="T214" s="343"/>
      <c r="U214" s="343">
        <f t="shared" ca="1" si="37"/>
        <v>1.0000000000000002</v>
      </c>
      <c r="V214" s="345">
        <f t="shared" si="48"/>
        <v>22.392857142857142</v>
      </c>
      <c r="W214" s="186"/>
      <c r="X214" s="207"/>
    </row>
    <row r="215" spans="2:24" x14ac:dyDescent="0.3">
      <c r="B215" s="246">
        <v>208</v>
      </c>
      <c r="C215" s="437">
        <f>B215*MechanicalData!$B$22/360</f>
        <v>31.777777777777779</v>
      </c>
      <c r="D215" s="437">
        <f>MechanicalData!$B$22</f>
        <v>55</v>
      </c>
      <c r="E215" s="248">
        <v>208</v>
      </c>
      <c r="F215" s="453">
        <v>38.439</v>
      </c>
      <c r="G215" s="437">
        <v>69.998000000000005</v>
      </c>
      <c r="H215" s="339">
        <f t="shared" si="38"/>
        <v>208</v>
      </c>
      <c r="I215" s="451">
        <f t="shared" si="39"/>
        <v>55</v>
      </c>
      <c r="J215" s="340">
        <f t="shared" si="40"/>
        <v>0.15277777777777779</v>
      </c>
      <c r="K215" s="341">
        <f t="shared" si="41"/>
        <v>31.777777777777779</v>
      </c>
      <c r="L215" s="333">
        <f t="shared" si="42"/>
        <v>4657.7142857142862</v>
      </c>
      <c r="M215" s="342">
        <f t="shared" si="43"/>
        <v>4658</v>
      </c>
      <c r="N215" s="343">
        <f t="shared" si="44"/>
        <v>31.777777777777782</v>
      </c>
      <c r="O215" s="343"/>
      <c r="P215" s="343">
        <f t="shared" si="45"/>
        <v>0</v>
      </c>
      <c r="Q215" s="344"/>
      <c r="R215" s="343">
        <f t="shared" si="46"/>
        <v>208.00000000000031</v>
      </c>
      <c r="S215" s="343">
        <f t="shared" si="47"/>
        <v>-3.1263880373444408E-13</v>
      </c>
      <c r="T215" s="343"/>
      <c r="U215" s="343">
        <f t="shared" ca="1" si="37"/>
        <v>1.0000000000000002</v>
      </c>
      <c r="V215" s="345">
        <f t="shared" si="48"/>
        <v>22.392857142857142</v>
      </c>
      <c r="W215" s="186"/>
      <c r="X215" s="207"/>
    </row>
    <row r="216" spans="2:24" x14ac:dyDescent="0.3">
      <c r="B216" s="246">
        <v>209</v>
      </c>
      <c r="C216" s="437">
        <f>B216*MechanicalData!$B$22/360</f>
        <v>31.930555555555557</v>
      </c>
      <c r="D216" s="437">
        <f>MechanicalData!$B$22</f>
        <v>55</v>
      </c>
      <c r="E216" s="248">
        <v>209</v>
      </c>
      <c r="F216" s="453">
        <v>38.633000000000003</v>
      </c>
      <c r="G216" s="437">
        <v>69.998000000000005</v>
      </c>
      <c r="H216" s="339">
        <f t="shared" si="38"/>
        <v>209</v>
      </c>
      <c r="I216" s="451">
        <f t="shared" si="39"/>
        <v>55</v>
      </c>
      <c r="J216" s="340">
        <f t="shared" si="40"/>
        <v>0.15277777777777779</v>
      </c>
      <c r="K216" s="341">
        <f t="shared" si="41"/>
        <v>31.930555555555557</v>
      </c>
      <c r="L216" s="333">
        <f t="shared" si="42"/>
        <v>4680.1071428571431</v>
      </c>
      <c r="M216" s="342">
        <f t="shared" si="43"/>
        <v>4680</v>
      </c>
      <c r="N216" s="343">
        <f t="shared" si="44"/>
        <v>31.930555555555557</v>
      </c>
      <c r="O216" s="343"/>
      <c r="P216" s="343">
        <f t="shared" si="45"/>
        <v>0</v>
      </c>
      <c r="Q216" s="344"/>
      <c r="R216" s="343">
        <f t="shared" si="46"/>
        <v>209.00000000000028</v>
      </c>
      <c r="S216" s="343">
        <f t="shared" si="47"/>
        <v>-2.8421709430404007E-13</v>
      </c>
      <c r="T216" s="343"/>
      <c r="U216" s="343">
        <f t="shared" ca="1" si="37"/>
        <v>1.0000000000000002</v>
      </c>
      <c r="V216" s="345">
        <f t="shared" si="48"/>
        <v>22.392857142857142</v>
      </c>
      <c r="W216" s="186"/>
      <c r="X216" s="207"/>
    </row>
    <row r="217" spans="2:24" x14ac:dyDescent="0.3">
      <c r="B217" s="246">
        <v>210</v>
      </c>
      <c r="C217" s="437">
        <f>B217*MechanicalData!$B$22/360</f>
        <v>32.083333333333336</v>
      </c>
      <c r="D217" s="437">
        <f>MechanicalData!$B$22</f>
        <v>55</v>
      </c>
      <c r="E217" s="248">
        <v>210</v>
      </c>
      <c r="F217" s="453">
        <v>38.828000000000003</v>
      </c>
      <c r="G217" s="437">
        <v>69.998000000000005</v>
      </c>
      <c r="H217" s="339">
        <f t="shared" si="38"/>
        <v>210</v>
      </c>
      <c r="I217" s="451">
        <f t="shared" si="39"/>
        <v>55</v>
      </c>
      <c r="J217" s="340">
        <f t="shared" si="40"/>
        <v>0.15277777777777779</v>
      </c>
      <c r="K217" s="341">
        <f t="shared" si="41"/>
        <v>32.083333333333336</v>
      </c>
      <c r="L217" s="333">
        <f t="shared" si="42"/>
        <v>4702.5</v>
      </c>
      <c r="M217" s="342">
        <f t="shared" si="43"/>
        <v>4703</v>
      </c>
      <c r="N217" s="343">
        <f t="shared" si="44"/>
        <v>32.083333333333329</v>
      </c>
      <c r="O217" s="343"/>
      <c r="P217" s="343">
        <f t="shared" si="45"/>
        <v>0</v>
      </c>
      <c r="Q217" s="344"/>
      <c r="R217" s="343">
        <f t="shared" si="46"/>
        <v>210.00000000000026</v>
      </c>
      <c r="S217" s="343">
        <f t="shared" si="47"/>
        <v>-2.5579538487363607E-13</v>
      </c>
      <c r="T217" s="343"/>
      <c r="U217" s="343">
        <f t="shared" ca="1" si="37"/>
        <v>1.0000000000000002</v>
      </c>
      <c r="V217" s="345">
        <f t="shared" si="48"/>
        <v>22.392857142857142</v>
      </c>
      <c r="W217" s="186"/>
      <c r="X217" s="207"/>
    </row>
    <row r="218" spans="2:24" x14ac:dyDescent="0.3">
      <c r="B218" s="246">
        <v>211</v>
      </c>
      <c r="C218" s="437">
        <f>B218*MechanicalData!$B$22/360</f>
        <v>32.236111111111114</v>
      </c>
      <c r="D218" s="437">
        <f>MechanicalData!$B$22</f>
        <v>55</v>
      </c>
      <c r="E218" s="248">
        <v>211</v>
      </c>
      <c r="F218" s="453">
        <v>39.021999999999998</v>
      </c>
      <c r="G218" s="437">
        <v>69.998000000000005</v>
      </c>
      <c r="H218" s="339">
        <f t="shared" si="38"/>
        <v>211</v>
      </c>
      <c r="I218" s="451">
        <f t="shared" si="39"/>
        <v>55</v>
      </c>
      <c r="J218" s="340">
        <f t="shared" si="40"/>
        <v>0.15277777777777779</v>
      </c>
      <c r="K218" s="341">
        <f t="shared" si="41"/>
        <v>32.236111111111114</v>
      </c>
      <c r="L218" s="333">
        <f t="shared" si="42"/>
        <v>4724.8928571428578</v>
      </c>
      <c r="M218" s="342">
        <f t="shared" si="43"/>
        <v>4725</v>
      </c>
      <c r="N218" s="343">
        <f t="shared" si="44"/>
        <v>32.236111111111114</v>
      </c>
      <c r="O218" s="343"/>
      <c r="P218" s="343">
        <f t="shared" si="45"/>
        <v>0</v>
      </c>
      <c r="Q218" s="344"/>
      <c r="R218" s="343">
        <f t="shared" si="46"/>
        <v>211.00000000000028</v>
      </c>
      <c r="S218" s="343">
        <f t="shared" si="47"/>
        <v>-2.8421709430404007E-13</v>
      </c>
      <c r="T218" s="343"/>
      <c r="U218" s="343">
        <f t="shared" ca="1" si="37"/>
        <v>1.0000000000000002</v>
      </c>
      <c r="V218" s="345">
        <f t="shared" si="48"/>
        <v>22.392857142857142</v>
      </c>
      <c r="W218" s="186"/>
      <c r="X218" s="207"/>
    </row>
    <row r="219" spans="2:24" x14ac:dyDescent="0.3">
      <c r="B219" s="246">
        <v>212</v>
      </c>
      <c r="C219" s="437">
        <f>B219*MechanicalData!$B$22/360</f>
        <v>32.388888888888886</v>
      </c>
      <c r="D219" s="437">
        <f>MechanicalData!$B$22</f>
        <v>55</v>
      </c>
      <c r="E219" s="248">
        <v>212</v>
      </c>
      <c r="F219" s="453">
        <v>39.216000000000001</v>
      </c>
      <c r="G219" s="437">
        <v>69.998000000000005</v>
      </c>
      <c r="H219" s="339">
        <f t="shared" si="38"/>
        <v>212</v>
      </c>
      <c r="I219" s="451">
        <f t="shared" si="39"/>
        <v>55</v>
      </c>
      <c r="J219" s="340">
        <f t="shared" si="40"/>
        <v>0.15277777777777779</v>
      </c>
      <c r="K219" s="341">
        <f t="shared" si="41"/>
        <v>32.388888888888886</v>
      </c>
      <c r="L219" s="333">
        <f t="shared" si="42"/>
        <v>4747.2857142857138</v>
      </c>
      <c r="M219" s="342">
        <f t="shared" si="43"/>
        <v>4747</v>
      </c>
      <c r="N219" s="343">
        <f t="shared" si="44"/>
        <v>32.388888888888886</v>
      </c>
      <c r="O219" s="343"/>
      <c r="P219" s="343">
        <f t="shared" si="45"/>
        <v>0</v>
      </c>
      <c r="Q219" s="344"/>
      <c r="R219" s="343">
        <f t="shared" si="46"/>
        <v>212.00000000000023</v>
      </c>
      <c r="S219" s="343">
        <f t="shared" si="47"/>
        <v>-2.2737367544323206E-13</v>
      </c>
      <c r="T219" s="343"/>
      <c r="U219" s="343">
        <f t="shared" ca="1" si="37"/>
        <v>1.0000000000000002</v>
      </c>
      <c r="V219" s="345">
        <f t="shared" si="48"/>
        <v>22.392857142857142</v>
      </c>
      <c r="W219" s="186"/>
      <c r="X219" s="207"/>
    </row>
    <row r="220" spans="2:24" x14ac:dyDescent="0.3">
      <c r="B220" s="246">
        <v>213</v>
      </c>
      <c r="C220" s="437">
        <f>B220*MechanicalData!$B$22/360</f>
        <v>32.541666666666664</v>
      </c>
      <c r="D220" s="437">
        <f>MechanicalData!$B$22</f>
        <v>55</v>
      </c>
      <c r="E220" s="248">
        <v>213</v>
      </c>
      <c r="F220" s="453">
        <v>39.411000000000001</v>
      </c>
      <c r="G220" s="437">
        <v>69.998000000000005</v>
      </c>
      <c r="H220" s="339">
        <f t="shared" si="38"/>
        <v>213</v>
      </c>
      <c r="I220" s="451">
        <f t="shared" si="39"/>
        <v>55</v>
      </c>
      <c r="J220" s="340">
        <f t="shared" si="40"/>
        <v>0.15277777777777779</v>
      </c>
      <c r="K220" s="341">
        <f t="shared" si="41"/>
        <v>32.541666666666664</v>
      </c>
      <c r="L220" s="333">
        <f t="shared" si="42"/>
        <v>4769.6785714285706</v>
      </c>
      <c r="M220" s="342">
        <f t="shared" si="43"/>
        <v>4770</v>
      </c>
      <c r="N220" s="343">
        <f t="shared" si="44"/>
        <v>32.541666666666657</v>
      </c>
      <c r="O220" s="343"/>
      <c r="P220" s="343">
        <f t="shared" si="45"/>
        <v>0</v>
      </c>
      <c r="Q220" s="344"/>
      <c r="R220" s="343">
        <f t="shared" si="46"/>
        <v>213.00000000000023</v>
      </c>
      <c r="S220" s="343">
        <f t="shared" si="47"/>
        <v>-2.2737367544323206E-13</v>
      </c>
      <c r="T220" s="343"/>
      <c r="U220" s="343">
        <f t="shared" ca="1" si="37"/>
        <v>1.0000000000000002</v>
      </c>
      <c r="V220" s="345">
        <f t="shared" si="48"/>
        <v>22.392857142857142</v>
      </c>
      <c r="W220" s="186"/>
      <c r="X220" s="207"/>
    </row>
    <row r="221" spans="2:24" x14ac:dyDescent="0.3">
      <c r="B221" s="246">
        <v>214</v>
      </c>
      <c r="C221" s="437">
        <f>B221*MechanicalData!$B$22/360</f>
        <v>32.694444444444443</v>
      </c>
      <c r="D221" s="437">
        <f>MechanicalData!$B$22</f>
        <v>55</v>
      </c>
      <c r="E221" s="248">
        <v>214</v>
      </c>
      <c r="F221" s="453">
        <v>39.604999999999997</v>
      </c>
      <c r="G221" s="437">
        <v>69.998000000000005</v>
      </c>
      <c r="H221" s="339">
        <f t="shared" si="38"/>
        <v>214</v>
      </c>
      <c r="I221" s="451">
        <f t="shared" si="39"/>
        <v>55</v>
      </c>
      <c r="J221" s="340">
        <f t="shared" si="40"/>
        <v>0.15277777777777779</v>
      </c>
      <c r="K221" s="341">
        <f t="shared" si="41"/>
        <v>32.694444444444443</v>
      </c>
      <c r="L221" s="333">
        <f t="shared" si="42"/>
        <v>4792.0714285714284</v>
      </c>
      <c r="M221" s="342">
        <f t="shared" si="43"/>
        <v>4792</v>
      </c>
      <c r="N221" s="343">
        <f t="shared" si="44"/>
        <v>32.694444444444443</v>
      </c>
      <c r="O221" s="343"/>
      <c r="P221" s="343">
        <f t="shared" si="45"/>
        <v>0</v>
      </c>
      <c r="Q221" s="344"/>
      <c r="R221" s="343">
        <f t="shared" si="46"/>
        <v>214.00000000000026</v>
      </c>
      <c r="S221" s="343">
        <f t="shared" si="47"/>
        <v>-2.5579538487363607E-13</v>
      </c>
      <c r="T221" s="343"/>
      <c r="U221" s="343">
        <f t="shared" ca="1" si="37"/>
        <v>1.0000000000000002</v>
      </c>
      <c r="V221" s="345">
        <f t="shared" si="48"/>
        <v>22.392857142857142</v>
      </c>
      <c r="W221" s="186"/>
      <c r="X221" s="207"/>
    </row>
    <row r="222" spans="2:24" x14ac:dyDescent="0.3">
      <c r="B222" s="246">
        <v>215</v>
      </c>
      <c r="C222" s="437">
        <f>B222*MechanicalData!$B$22/360</f>
        <v>32.847222222222221</v>
      </c>
      <c r="D222" s="437">
        <f>MechanicalData!$B$22</f>
        <v>55</v>
      </c>
      <c r="E222" s="248">
        <v>215</v>
      </c>
      <c r="F222" s="453">
        <v>39.799999999999997</v>
      </c>
      <c r="G222" s="437">
        <v>69.998000000000005</v>
      </c>
      <c r="H222" s="339">
        <f t="shared" si="38"/>
        <v>215</v>
      </c>
      <c r="I222" s="451">
        <f t="shared" si="39"/>
        <v>55</v>
      </c>
      <c r="J222" s="340">
        <f t="shared" si="40"/>
        <v>0.15277777777777779</v>
      </c>
      <c r="K222" s="341">
        <f t="shared" si="41"/>
        <v>32.847222222222221</v>
      </c>
      <c r="L222" s="333">
        <f t="shared" si="42"/>
        <v>4814.4642857142853</v>
      </c>
      <c r="M222" s="342">
        <f t="shared" si="43"/>
        <v>4814</v>
      </c>
      <c r="N222" s="343">
        <f t="shared" si="44"/>
        <v>32.847222222222221</v>
      </c>
      <c r="O222" s="343"/>
      <c r="P222" s="343">
        <f t="shared" si="45"/>
        <v>0</v>
      </c>
      <c r="Q222" s="344"/>
      <c r="R222" s="343">
        <f t="shared" si="46"/>
        <v>215.00000000000023</v>
      </c>
      <c r="S222" s="343">
        <f t="shared" si="47"/>
        <v>-2.2737367544323206E-13</v>
      </c>
      <c r="T222" s="343"/>
      <c r="U222" s="343">
        <f t="shared" ca="1" si="37"/>
        <v>1.0000000000000002</v>
      </c>
      <c r="V222" s="345">
        <f t="shared" si="48"/>
        <v>22.392857142857142</v>
      </c>
      <c r="W222" s="186"/>
      <c r="X222" s="207"/>
    </row>
    <row r="223" spans="2:24" x14ac:dyDescent="0.3">
      <c r="B223" s="246">
        <v>216</v>
      </c>
      <c r="C223" s="437">
        <f>B223*MechanicalData!$B$22/360</f>
        <v>33</v>
      </c>
      <c r="D223" s="437">
        <f>MechanicalData!$B$22</f>
        <v>55</v>
      </c>
      <c r="E223" s="248">
        <v>216</v>
      </c>
      <c r="F223" s="453">
        <v>39.994</v>
      </c>
      <c r="G223" s="437">
        <v>69.998000000000005</v>
      </c>
      <c r="H223" s="339">
        <f t="shared" si="38"/>
        <v>216</v>
      </c>
      <c r="I223" s="451">
        <f t="shared" si="39"/>
        <v>55</v>
      </c>
      <c r="J223" s="340">
        <f t="shared" si="40"/>
        <v>0.15277777777777779</v>
      </c>
      <c r="K223" s="341">
        <f t="shared" si="41"/>
        <v>33</v>
      </c>
      <c r="L223" s="333">
        <f t="shared" si="42"/>
        <v>4836.8571428571422</v>
      </c>
      <c r="M223" s="342">
        <f t="shared" si="43"/>
        <v>4837</v>
      </c>
      <c r="N223" s="343">
        <f t="shared" si="44"/>
        <v>32.999999999999993</v>
      </c>
      <c r="O223" s="343"/>
      <c r="P223" s="343">
        <f t="shared" si="45"/>
        <v>0</v>
      </c>
      <c r="Q223" s="344"/>
      <c r="R223" s="343">
        <f t="shared" si="46"/>
        <v>216.00000000000026</v>
      </c>
      <c r="S223" s="343">
        <f t="shared" si="47"/>
        <v>-2.5579538487363607E-13</v>
      </c>
      <c r="T223" s="343"/>
      <c r="U223" s="343">
        <f t="shared" ca="1" si="37"/>
        <v>1.0000000000000002</v>
      </c>
      <c r="V223" s="345">
        <f t="shared" si="48"/>
        <v>22.392857142857142</v>
      </c>
      <c r="W223" s="186"/>
      <c r="X223" s="207"/>
    </row>
    <row r="224" spans="2:24" x14ac:dyDescent="0.3">
      <c r="B224" s="246">
        <v>217</v>
      </c>
      <c r="C224" s="437">
        <f>B224*MechanicalData!$B$22/360</f>
        <v>33.152777777777779</v>
      </c>
      <c r="D224" s="437">
        <f>MechanicalData!$B$22</f>
        <v>55</v>
      </c>
      <c r="E224" s="248">
        <v>217</v>
      </c>
      <c r="F224" s="453">
        <v>40.189</v>
      </c>
      <c r="G224" s="437">
        <v>69.998000000000005</v>
      </c>
      <c r="H224" s="339">
        <f t="shared" si="38"/>
        <v>217</v>
      </c>
      <c r="I224" s="451">
        <f t="shared" si="39"/>
        <v>55</v>
      </c>
      <c r="J224" s="340">
        <f t="shared" si="40"/>
        <v>0.15277777777777779</v>
      </c>
      <c r="K224" s="341">
        <f t="shared" si="41"/>
        <v>33.152777777777779</v>
      </c>
      <c r="L224" s="333">
        <f t="shared" si="42"/>
        <v>4859.25</v>
      </c>
      <c r="M224" s="342">
        <f t="shared" si="43"/>
        <v>4859</v>
      </c>
      <c r="N224" s="343">
        <f t="shared" si="44"/>
        <v>33.152777777777779</v>
      </c>
      <c r="O224" s="343"/>
      <c r="P224" s="343">
        <f t="shared" si="45"/>
        <v>0</v>
      </c>
      <c r="Q224" s="344"/>
      <c r="R224" s="343">
        <f t="shared" si="46"/>
        <v>217.00000000000028</v>
      </c>
      <c r="S224" s="343">
        <f t="shared" si="47"/>
        <v>-2.8421709430404007E-13</v>
      </c>
      <c r="T224" s="343"/>
      <c r="U224" s="343">
        <f t="shared" ca="1" si="37"/>
        <v>1.0000000000000002</v>
      </c>
      <c r="V224" s="345">
        <f t="shared" si="48"/>
        <v>22.392857142857142</v>
      </c>
      <c r="W224" s="186"/>
      <c r="X224" s="207"/>
    </row>
    <row r="225" spans="2:24" x14ac:dyDescent="0.3">
      <c r="B225" s="246">
        <v>218</v>
      </c>
      <c r="C225" s="437">
        <f>B225*MechanicalData!$B$22/360</f>
        <v>33.305555555555557</v>
      </c>
      <c r="D225" s="437">
        <f>MechanicalData!$B$22</f>
        <v>55</v>
      </c>
      <c r="E225" s="248">
        <v>218</v>
      </c>
      <c r="F225" s="453">
        <v>40.383000000000003</v>
      </c>
      <c r="G225" s="437">
        <v>69.998000000000005</v>
      </c>
      <c r="H225" s="339">
        <f t="shared" si="38"/>
        <v>218</v>
      </c>
      <c r="I225" s="451">
        <f t="shared" si="39"/>
        <v>55</v>
      </c>
      <c r="J225" s="340">
        <f t="shared" si="40"/>
        <v>0.15277777777777779</v>
      </c>
      <c r="K225" s="341">
        <f t="shared" si="41"/>
        <v>33.305555555555557</v>
      </c>
      <c r="L225" s="333">
        <f t="shared" si="42"/>
        <v>4881.6428571428578</v>
      </c>
      <c r="M225" s="342">
        <f t="shared" si="43"/>
        <v>4882</v>
      </c>
      <c r="N225" s="343">
        <f t="shared" si="44"/>
        <v>33.305555555555557</v>
      </c>
      <c r="O225" s="343"/>
      <c r="P225" s="343">
        <f t="shared" si="45"/>
        <v>0</v>
      </c>
      <c r="Q225" s="344"/>
      <c r="R225" s="343">
        <f t="shared" si="46"/>
        <v>218.00000000000028</v>
      </c>
      <c r="S225" s="343">
        <f t="shared" si="47"/>
        <v>-2.8421709430404007E-13</v>
      </c>
      <c r="T225" s="343"/>
      <c r="U225" s="343">
        <f t="shared" ca="1" si="37"/>
        <v>1.0000000000000002</v>
      </c>
      <c r="V225" s="345">
        <f t="shared" si="48"/>
        <v>22.392857142857142</v>
      </c>
      <c r="W225" s="186"/>
      <c r="X225" s="207"/>
    </row>
    <row r="226" spans="2:24" x14ac:dyDescent="0.3">
      <c r="B226" s="246">
        <v>219</v>
      </c>
      <c r="C226" s="437">
        <f>B226*MechanicalData!$B$22/360</f>
        <v>33.458333333333336</v>
      </c>
      <c r="D226" s="437">
        <f>MechanicalData!$B$22</f>
        <v>55</v>
      </c>
      <c r="E226" s="248">
        <v>219</v>
      </c>
      <c r="F226" s="453">
        <v>40.578000000000003</v>
      </c>
      <c r="G226" s="437">
        <v>69.998000000000005</v>
      </c>
      <c r="H226" s="339">
        <f t="shared" si="38"/>
        <v>219</v>
      </c>
      <c r="I226" s="451">
        <f t="shared" si="39"/>
        <v>55</v>
      </c>
      <c r="J226" s="340">
        <f t="shared" si="40"/>
        <v>0.15277777777777779</v>
      </c>
      <c r="K226" s="341">
        <f t="shared" si="41"/>
        <v>33.458333333333336</v>
      </c>
      <c r="L226" s="333">
        <f t="shared" si="42"/>
        <v>4904.0357142857147</v>
      </c>
      <c r="M226" s="342">
        <f t="shared" si="43"/>
        <v>4904</v>
      </c>
      <c r="N226" s="343">
        <f t="shared" si="44"/>
        <v>33.458333333333336</v>
      </c>
      <c r="O226" s="343"/>
      <c r="P226" s="343">
        <f t="shared" si="45"/>
        <v>0</v>
      </c>
      <c r="Q226" s="344"/>
      <c r="R226" s="343">
        <f t="shared" si="46"/>
        <v>219.00000000000031</v>
      </c>
      <c r="S226" s="343">
        <f t="shared" si="47"/>
        <v>-3.1263880373444408E-13</v>
      </c>
      <c r="T226" s="343"/>
      <c r="U226" s="343">
        <f t="shared" ca="1" si="37"/>
        <v>1.0000000000000002</v>
      </c>
      <c r="V226" s="345">
        <f t="shared" si="48"/>
        <v>22.392857142857142</v>
      </c>
      <c r="W226" s="186"/>
      <c r="X226" s="207"/>
    </row>
    <row r="227" spans="2:24" x14ac:dyDescent="0.3">
      <c r="B227" s="246">
        <v>220</v>
      </c>
      <c r="C227" s="437">
        <f>B227*MechanicalData!$B$22/360</f>
        <v>33.611111111111114</v>
      </c>
      <c r="D227" s="437">
        <f>MechanicalData!$B$22</f>
        <v>55</v>
      </c>
      <c r="E227" s="248">
        <v>220</v>
      </c>
      <c r="F227" s="453">
        <v>40.771999999999998</v>
      </c>
      <c r="G227" s="437">
        <v>69.998000000000005</v>
      </c>
      <c r="H227" s="339">
        <f t="shared" si="38"/>
        <v>220</v>
      </c>
      <c r="I227" s="451">
        <f t="shared" si="39"/>
        <v>55</v>
      </c>
      <c r="J227" s="340">
        <f t="shared" si="40"/>
        <v>0.15277777777777779</v>
      </c>
      <c r="K227" s="341">
        <f t="shared" si="41"/>
        <v>33.611111111111114</v>
      </c>
      <c r="L227" s="333">
        <f t="shared" si="42"/>
        <v>4926.4285714285716</v>
      </c>
      <c r="M227" s="342">
        <f t="shared" si="43"/>
        <v>4926</v>
      </c>
      <c r="N227" s="343">
        <f t="shared" si="44"/>
        <v>33.611111111111107</v>
      </c>
      <c r="O227" s="343"/>
      <c r="P227" s="343">
        <f t="shared" si="45"/>
        <v>0</v>
      </c>
      <c r="Q227" s="344"/>
      <c r="R227" s="343">
        <f t="shared" si="46"/>
        <v>220.00000000000028</v>
      </c>
      <c r="S227" s="343">
        <f t="shared" si="47"/>
        <v>-2.8421709430404007E-13</v>
      </c>
      <c r="T227" s="343"/>
      <c r="U227" s="343">
        <f t="shared" ca="1" si="37"/>
        <v>1.0000000000000002</v>
      </c>
      <c r="V227" s="345">
        <f t="shared" si="48"/>
        <v>22.392857142857142</v>
      </c>
      <c r="W227" s="186"/>
      <c r="X227" s="207"/>
    </row>
    <row r="228" spans="2:24" x14ac:dyDescent="0.3">
      <c r="B228" s="246">
        <v>221</v>
      </c>
      <c r="C228" s="437">
        <f>B228*MechanicalData!$B$22/360</f>
        <v>33.763888888888886</v>
      </c>
      <c r="D228" s="437">
        <f>MechanicalData!$B$22</f>
        <v>55</v>
      </c>
      <c r="E228" s="248">
        <v>221</v>
      </c>
      <c r="F228" s="453">
        <v>40.966000000000001</v>
      </c>
      <c r="G228" s="437">
        <v>69.998000000000005</v>
      </c>
      <c r="H228" s="339">
        <f t="shared" si="38"/>
        <v>221</v>
      </c>
      <c r="I228" s="451">
        <f t="shared" si="39"/>
        <v>55</v>
      </c>
      <c r="J228" s="340">
        <f t="shared" si="40"/>
        <v>0.15277777777777779</v>
      </c>
      <c r="K228" s="341">
        <f t="shared" si="41"/>
        <v>33.763888888888886</v>
      </c>
      <c r="L228" s="333">
        <f t="shared" si="42"/>
        <v>4948.8214285714275</v>
      </c>
      <c r="M228" s="342">
        <f t="shared" si="43"/>
        <v>4949</v>
      </c>
      <c r="N228" s="343">
        <f t="shared" si="44"/>
        <v>33.763888888888879</v>
      </c>
      <c r="O228" s="343"/>
      <c r="P228" s="343">
        <f t="shared" si="45"/>
        <v>0</v>
      </c>
      <c r="Q228" s="344"/>
      <c r="R228" s="343">
        <f t="shared" si="46"/>
        <v>221.00000000000023</v>
      </c>
      <c r="S228" s="343">
        <f t="shared" si="47"/>
        <v>-2.2737367544323206E-13</v>
      </c>
      <c r="T228" s="343"/>
      <c r="U228" s="343">
        <f t="shared" ca="1" si="37"/>
        <v>1.0000000000000002</v>
      </c>
      <c r="V228" s="345">
        <f t="shared" si="48"/>
        <v>22.392857142857142</v>
      </c>
      <c r="W228" s="186"/>
      <c r="X228" s="207"/>
    </row>
    <row r="229" spans="2:24" x14ac:dyDescent="0.3">
      <c r="B229" s="246">
        <v>222</v>
      </c>
      <c r="C229" s="437">
        <f>B229*MechanicalData!$B$22/360</f>
        <v>33.916666666666664</v>
      </c>
      <c r="D229" s="437">
        <f>MechanicalData!$B$22</f>
        <v>55</v>
      </c>
      <c r="E229" s="248">
        <v>222</v>
      </c>
      <c r="F229" s="453">
        <v>41.161000000000001</v>
      </c>
      <c r="G229" s="437">
        <v>69.998000000000005</v>
      </c>
      <c r="H229" s="339">
        <f t="shared" si="38"/>
        <v>222</v>
      </c>
      <c r="I229" s="451">
        <f t="shared" si="39"/>
        <v>55</v>
      </c>
      <c r="J229" s="340">
        <f t="shared" si="40"/>
        <v>0.15277777777777779</v>
      </c>
      <c r="K229" s="341">
        <f t="shared" si="41"/>
        <v>33.916666666666664</v>
      </c>
      <c r="L229" s="333">
        <f t="shared" si="42"/>
        <v>4971.2142857142853</v>
      </c>
      <c r="M229" s="342">
        <f t="shared" si="43"/>
        <v>4971</v>
      </c>
      <c r="N229" s="343">
        <f t="shared" si="44"/>
        <v>33.916666666666664</v>
      </c>
      <c r="O229" s="343"/>
      <c r="P229" s="343">
        <f t="shared" si="45"/>
        <v>0</v>
      </c>
      <c r="Q229" s="344"/>
      <c r="R229" s="343">
        <f t="shared" si="46"/>
        <v>222.00000000000026</v>
      </c>
      <c r="S229" s="343">
        <f t="shared" si="47"/>
        <v>-2.5579538487363607E-13</v>
      </c>
      <c r="T229" s="343"/>
      <c r="U229" s="343">
        <f t="shared" ca="1" si="37"/>
        <v>1.0000000000000002</v>
      </c>
      <c r="V229" s="345">
        <f t="shared" si="48"/>
        <v>22.392857142857142</v>
      </c>
      <c r="W229" s="186"/>
      <c r="X229" s="207"/>
    </row>
    <row r="230" spans="2:24" x14ac:dyDescent="0.3">
      <c r="B230" s="246">
        <v>223</v>
      </c>
      <c r="C230" s="437">
        <f>B230*MechanicalData!$B$22/360</f>
        <v>34.069444444444443</v>
      </c>
      <c r="D230" s="437">
        <f>MechanicalData!$B$22</f>
        <v>55</v>
      </c>
      <c r="E230" s="248">
        <v>223</v>
      </c>
      <c r="F230" s="453">
        <v>41.354999999999997</v>
      </c>
      <c r="G230" s="437">
        <v>69.998000000000005</v>
      </c>
      <c r="H230" s="339">
        <f t="shared" si="38"/>
        <v>223</v>
      </c>
      <c r="I230" s="451">
        <f t="shared" si="39"/>
        <v>55</v>
      </c>
      <c r="J230" s="340">
        <f t="shared" si="40"/>
        <v>0.15277777777777779</v>
      </c>
      <c r="K230" s="341">
        <f t="shared" si="41"/>
        <v>34.069444444444443</v>
      </c>
      <c r="L230" s="333">
        <f t="shared" si="42"/>
        <v>4993.6071428571431</v>
      </c>
      <c r="M230" s="342">
        <f t="shared" si="43"/>
        <v>4994</v>
      </c>
      <c r="N230" s="343">
        <f t="shared" si="44"/>
        <v>34.069444444444443</v>
      </c>
      <c r="O230" s="343"/>
      <c r="P230" s="343">
        <f t="shared" si="45"/>
        <v>0</v>
      </c>
      <c r="Q230" s="344"/>
      <c r="R230" s="343">
        <f t="shared" si="46"/>
        <v>223.00000000000028</v>
      </c>
      <c r="S230" s="343">
        <f t="shared" si="47"/>
        <v>-2.8421709430404007E-13</v>
      </c>
      <c r="T230" s="343"/>
      <c r="U230" s="343">
        <f t="shared" ca="1" si="37"/>
        <v>1.0000000000000002</v>
      </c>
      <c r="V230" s="345">
        <f t="shared" si="48"/>
        <v>22.392857142857142</v>
      </c>
      <c r="W230" s="186"/>
      <c r="X230" s="207"/>
    </row>
    <row r="231" spans="2:24" x14ac:dyDescent="0.3">
      <c r="B231" s="246">
        <v>224</v>
      </c>
      <c r="C231" s="437">
        <f>B231*MechanicalData!$B$22/360</f>
        <v>34.222222222222221</v>
      </c>
      <c r="D231" s="437">
        <f>MechanicalData!$B$22</f>
        <v>55</v>
      </c>
      <c r="E231" s="248">
        <v>224</v>
      </c>
      <c r="F231" s="453">
        <v>41.55</v>
      </c>
      <c r="G231" s="437">
        <v>69.998000000000005</v>
      </c>
      <c r="H231" s="339">
        <f t="shared" si="38"/>
        <v>224</v>
      </c>
      <c r="I231" s="451">
        <f t="shared" si="39"/>
        <v>55</v>
      </c>
      <c r="J231" s="340">
        <f t="shared" si="40"/>
        <v>0.15277777777777779</v>
      </c>
      <c r="K231" s="341">
        <f t="shared" si="41"/>
        <v>34.222222222222221</v>
      </c>
      <c r="L231" s="333">
        <f t="shared" si="42"/>
        <v>5015.9999999999991</v>
      </c>
      <c r="M231" s="342">
        <f t="shared" si="43"/>
        <v>5016</v>
      </c>
      <c r="N231" s="343">
        <f t="shared" si="44"/>
        <v>34.222222222222214</v>
      </c>
      <c r="O231" s="343"/>
      <c r="P231" s="343">
        <f t="shared" si="45"/>
        <v>0</v>
      </c>
      <c r="Q231" s="344"/>
      <c r="R231" s="343">
        <f t="shared" si="46"/>
        <v>224.00000000000026</v>
      </c>
      <c r="S231" s="343">
        <f t="shared" si="47"/>
        <v>-2.5579538487363607E-13</v>
      </c>
      <c r="T231" s="343"/>
      <c r="U231" s="343">
        <f t="shared" ca="1" si="37"/>
        <v>1.0000000000000002</v>
      </c>
      <c r="V231" s="345">
        <f t="shared" si="48"/>
        <v>22.392857142857142</v>
      </c>
      <c r="W231" s="186"/>
      <c r="X231" s="207"/>
    </row>
    <row r="232" spans="2:24" x14ac:dyDescent="0.3">
      <c r="B232" s="246">
        <v>225</v>
      </c>
      <c r="C232" s="437">
        <f>B232*MechanicalData!$B$22/360</f>
        <v>34.375</v>
      </c>
      <c r="D232" s="437">
        <f>MechanicalData!$B$22</f>
        <v>55</v>
      </c>
      <c r="E232" s="248">
        <v>225</v>
      </c>
      <c r="F232" s="453">
        <v>41.744</v>
      </c>
      <c r="G232" s="437">
        <v>69.998000000000005</v>
      </c>
      <c r="H232" s="339">
        <f t="shared" si="38"/>
        <v>225</v>
      </c>
      <c r="I232" s="451">
        <f t="shared" si="39"/>
        <v>55</v>
      </c>
      <c r="J232" s="340">
        <f t="shared" si="40"/>
        <v>0.15277777777777779</v>
      </c>
      <c r="K232" s="341">
        <f t="shared" si="41"/>
        <v>34.375</v>
      </c>
      <c r="L232" s="333">
        <f t="shared" si="42"/>
        <v>5038.3928571428569</v>
      </c>
      <c r="M232" s="342">
        <f t="shared" si="43"/>
        <v>5038</v>
      </c>
      <c r="N232" s="343">
        <f t="shared" si="44"/>
        <v>34.374999999999993</v>
      </c>
      <c r="O232" s="343"/>
      <c r="P232" s="343">
        <f t="shared" si="45"/>
        <v>0</v>
      </c>
      <c r="Q232" s="344"/>
      <c r="R232" s="343">
        <f t="shared" si="46"/>
        <v>225.00000000000026</v>
      </c>
      <c r="S232" s="343">
        <f t="shared" si="47"/>
        <v>-2.5579538487363607E-13</v>
      </c>
      <c r="T232" s="343"/>
      <c r="U232" s="343">
        <f t="shared" ca="1" si="37"/>
        <v>1.0000000000000002</v>
      </c>
      <c r="V232" s="345">
        <f t="shared" si="48"/>
        <v>22.392857142857142</v>
      </c>
      <c r="W232" s="186"/>
      <c r="X232" s="207"/>
    </row>
    <row r="233" spans="2:24" x14ac:dyDescent="0.3">
      <c r="B233" s="246">
        <v>226</v>
      </c>
      <c r="C233" s="437">
        <f>B233*MechanicalData!$B$22/360</f>
        <v>34.527777777777779</v>
      </c>
      <c r="D233" s="437">
        <f>MechanicalData!$B$22</f>
        <v>55</v>
      </c>
      <c r="E233" s="248">
        <v>226</v>
      </c>
      <c r="F233" s="453">
        <v>41.939</v>
      </c>
      <c r="G233" s="437">
        <v>69.998000000000005</v>
      </c>
      <c r="H233" s="339">
        <f t="shared" si="38"/>
        <v>226</v>
      </c>
      <c r="I233" s="451">
        <f t="shared" si="39"/>
        <v>55</v>
      </c>
      <c r="J233" s="340">
        <f t="shared" si="40"/>
        <v>0.15277777777777779</v>
      </c>
      <c r="K233" s="341">
        <f t="shared" si="41"/>
        <v>34.527777777777779</v>
      </c>
      <c r="L233" s="333">
        <f t="shared" si="42"/>
        <v>5060.7857142857147</v>
      </c>
      <c r="M233" s="342">
        <f t="shared" si="43"/>
        <v>5061</v>
      </c>
      <c r="N233" s="343">
        <f t="shared" si="44"/>
        <v>34.527777777777779</v>
      </c>
      <c r="O233" s="343"/>
      <c r="P233" s="343">
        <f t="shared" si="45"/>
        <v>0</v>
      </c>
      <c r="Q233" s="344"/>
      <c r="R233" s="343">
        <f t="shared" si="46"/>
        <v>226.00000000000031</v>
      </c>
      <c r="S233" s="343">
        <f t="shared" si="47"/>
        <v>-3.1263880373444408E-13</v>
      </c>
      <c r="T233" s="343"/>
      <c r="U233" s="343">
        <f t="shared" ca="1" si="37"/>
        <v>1.0000000000000002</v>
      </c>
      <c r="V233" s="345">
        <f t="shared" si="48"/>
        <v>22.392857142857142</v>
      </c>
      <c r="W233" s="186"/>
      <c r="X233" s="207"/>
    </row>
    <row r="234" spans="2:24" x14ac:dyDescent="0.3">
      <c r="B234" s="246">
        <v>227</v>
      </c>
      <c r="C234" s="437">
        <f>B234*MechanicalData!$B$22/360</f>
        <v>34.680555555555557</v>
      </c>
      <c r="D234" s="437">
        <f>MechanicalData!$B$22</f>
        <v>55</v>
      </c>
      <c r="E234" s="248">
        <v>227</v>
      </c>
      <c r="F234" s="453">
        <v>42.133000000000003</v>
      </c>
      <c r="G234" s="437">
        <v>69.998000000000005</v>
      </c>
      <c r="H234" s="339">
        <f t="shared" si="38"/>
        <v>227</v>
      </c>
      <c r="I234" s="451">
        <f t="shared" si="39"/>
        <v>55</v>
      </c>
      <c r="J234" s="340">
        <f t="shared" si="40"/>
        <v>0.15277777777777779</v>
      </c>
      <c r="K234" s="341">
        <f t="shared" si="41"/>
        <v>34.680555555555557</v>
      </c>
      <c r="L234" s="333">
        <f t="shared" si="42"/>
        <v>5083.1785714285716</v>
      </c>
      <c r="M234" s="342">
        <f t="shared" si="43"/>
        <v>5083</v>
      </c>
      <c r="N234" s="343">
        <f t="shared" si="44"/>
        <v>34.68055555555555</v>
      </c>
      <c r="O234" s="343"/>
      <c r="P234" s="343">
        <f t="shared" si="45"/>
        <v>0</v>
      </c>
      <c r="Q234" s="344"/>
      <c r="R234" s="343">
        <f t="shared" si="46"/>
        <v>227.00000000000028</v>
      </c>
      <c r="S234" s="343">
        <f t="shared" si="47"/>
        <v>-2.8421709430404007E-13</v>
      </c>
      <c r="T234" s="343"/>
      <c r="U234" s="343">
        <f t="shared" ca="1" si="37"/>
        <v>1.0000000000000002</v>
      </c>
      <c r="V234" s="345">
        <f t="shared" si="48"/>
        <v>22.392857142857142</v>
      </c>
      <c r="W234" s="186"/>
      <c r="X234" s="207"/>
    </row>
    <row r="235" spans="2:24" x14ac:dyDescent="0.3">
      <c r="B235" s="246">
        <v>228</v>
      </c>
      <c r="C235" s="437">
        <f>B235*MechanicalData!$B$22/360</f>
        <v>34.833333333333336</v>
      </c>
      <c r="D235" s="437">
        <f>MechanicalData!$B$22</f>
        <v>55</v>
      </c>
      <c r="E235" s="248">
        <v>228</v>
      </c>
      <c r="F235" s="453">
        <v>42.326999999999998</v>
      </c>
      <c r="G235" s="437">
        <v>69.998000000000005</v>
      </c>
      <c r="H235" s="339">
        <f t="shared" si="38"/>
        <v>228</v>
      </c>
      <c r="I235" s="451">
        <f t="shared" si="39"/>
        <v>55</v>
      </c>
      <c r="J235" s="340">
        <f t="shared" si="40"/>
        <v>0.15277777777777779</v>
      </c>
      <c r="K235" s="341">
        <f t="shared" si="41"/>
        <v>34.833333333333336</v>
      </c>
      <c r="L235" s="333">
        <f t="shared" si="42"/>
        <v>5105.5714285714284</v>
      </c>
      <c r="M235" s="342">
        <f t="shared" si="43"/>
        <v>5106</v>
      </c>
      <c r="N235" s="343">
        <f t="shared" si="44"/>
        <v>34.833333333333329</v>
      </c>
      <c r="O235" s="343"/>
      <c r="P235" s="343">
        <f t="shared" si="45"/>
        <v>0</v>
      </c>
      <c r="Q235" s="344"/>
      <c r="R235" s="343">
        <f t="shared" si="46"/>
        <v>228.00000000000028</v>
      </c>
      <c r="S235" s="343">
        <f t="shared" si="47"/>
        <v>-2.8421709430404007E-13</v>
      </c>
      <c r="T235" s="343"/>
      <c r="U235" s="343">
        <f t="shared" ca="1" si="37"/>
        <v>1.0000000000000002</v>
      </c>
      <c r="V235" s="345">
        <f t="shared" si="48"/>
        <v>22.392857142857142</v>
      </c>
      <c r="W235" s="186"/>
      <c r="X235" s="207"/>
    </row>
    <row r="236" spans="2:24" x14ac:dyDescent="0.3">
      <c r="B236" s="246">
        <v>229</v>
      </c>
      <c r="C236" s="437">
        <f>B236*MechanicalData!$B$22/360</f>
        <v>34.986111111111114</v>
      </c>
      <c r="D236" s="437">
        <f>MechanicalData!$B$22</f>
        <v>55</v>
      </c>
      <c r="E236" s="248">
        <v>229</v>
      </c>
      <c r="F236" s="453">
        <v>42.521999999999998</v>
      </c>
      <c r="G236" s="437">
        <v>69.998000000000005</v>
      </c>
      <c r="H236" s="339">
        <f t="shared" si="38"/>
        <v>229</v>
      </c>
      <c r="I236" s="451">
        <f t="shared" si="39"/>
        <v>55</v>
      </c>
      <c r="J236" s="340">
        <f t="shared" si="40"/>
        <v>0.15277777777777779</v>
      </c>
      <c r="K236" s="341">
        <f t="shared" si="41"/>
        <v>34.986111111111114</v>
      </c>
      <c r="L236" s="333">
        <f t="shared" si="42"/>
        <v>5127.9642857142862</v>
      </c>
      <c r="M236" s="342">
        <f t="shared" si="43"/>
        <v>5128</v>
      </c>
      <c r="N236" s="343">
        <f t="shared" si="44"/>
        <v>34.986111111111114</v>
      </c>
      <c r="O236" s="343"/>
      <c r="P236" s="343">
        <f t="shared" si="45"/>
        <v>0</v>
      </c>
      <c r="Q236" s="344"/>
      <c r="R236" s="343">
        <f t="shared" si="46"/>
        <v>229.00000000000031</v>
      </c>
      <c r="S236" s="343">
        <f t="shared" si="47"/>
        <v>-3.1263880373444408E-13</v>
      </c>
      <c r="T236" s="343"/>
      <c r="U236" s="343">
        <f t="shared" ca="1" si="37"/>
        <v>1.0000000000000002</v>
      </c>
      <c r="V236" s="345">
        <f t="shared" si="48"/>
        <v>22.392857142857142</v>
      </c>
      <c r="W236" s="186"/>
      <c r="X236" s="207"/>
    </row>
    <row r="237" spans="2:24" x14ac:dyDescent="0.3">
      <c r="B237" s="246">
        <v>230</v>
      </c>
      <c r="C237" s="437">
        <f>B237*MechanicalData!$B$22/360</f>
        <v>35.138888888888886</v>
      </c>
      <c r="D237" s="437">
        <f>MechanicalData!$B$22</f>
        <v>55</v>
      </c>
      <c r="E237" s="248">
        <v>230</v>
      </c>
      <c r="F237" s="453">
        <v>42.716000000000001</v>
      </c>
      <c r="G237" s="437">
        <v>69.998000000000005</v>
      </c>
      <c r="H237" s="339">
        <f t="shared" si="38"/>
        <v>230</v>
      </c>
      <c r="I237" s="451">
        <f t="shared" si="39"/>
        <v>55</v>
      </c>
      <c r="J237" s="340">
        <f t="shared" si="40"/>
        <v>0.15277777777777779</v>
      </c>
      <c r="K237" s="341">
        <f t="shared" si="41"/>
        <v>35.138888888888886</v>
      </c>
      <c r="L237" s="333">
        <f t="shared" si="42"/>
        <v>5150.3571428571422</v>
      </c>
      <c r="M237" s="342">
        <f t="shared" si="43"/>
        <v>5150</v>
      </c>
      <c r="N237" s="343">
        <f t="shared" si="44"/>
        <v>35.138888888888886</v>
      </c>
      <c r="O237" s="343"/>
      <c r="P237" s="343">
        <f t="shared" si="45"/>
        <v>0</v>
      </c>
      <c r="Q237" s="344"/>
      <c r="R237" s="343">
        <f t="shared" si="46"/>
        <v>230.00000000000028</v>
      </c>
      <c r="S237" s="343">
        <f t="shared" si="47"/>
        <v>-2.8421709430404007E-13</v>
      </c>
      <c r="T237" s="343"/>
      <c r="U237" s="343">
        <f t="shared" ca="1" si="37"/>
        <v>1.0000000000000002</v>
      </c>
      <c r="V237" s="345">
        <f t="shared" si="48"/>
        <v>22.392857142857142</v>
      </c>
      <c r="W237" s="186"/>
      <c r="X237" s="207"/>
    </row>
    <row r="238" spans="2:24" x14ac:dyDescent="0.3">
      <c r="B238" s="246">
        <v>231</v>
      </c>
      <c r="C238" s="437">
        <f>B238*MechanicalData!$B$22/360</f>
        <v>35.291666666666664</v>
      </c>
      <c r="D238" s="437">
        <f>MechanicalData!$B$22</f>
        <v>55</v>
      </c>
      <c r="E238" s="248">
        <v>231</v>
      </c>
      <c r="F238" s="453">
        <v>42.911000000000001</v>
      </c>
      <c r="G238" s="437">
        <v>69.998000000000005</v>
      </c>
      <c r="H238" s="339">
        <f t="shared" si="38"/>
        <v>231</v>
      </c>
      <c r="I238" s="451">
        <f t="shared" si="39"/>
        <v>55</v>
      </c>
      <c r="J238" s="340">
        <f t="shared" si="40"/>
        <v>0.15277777777777779</v>
      </c>
      <c r="K238" s="341">
        <f t="shared" si="41"/>
        <v>35.291666666666664</v>
      </c>
      <c r="L238" s="333">
        <f t="shared" si="42"/>
        <v>5172.7499999999991</v>
      </c>
      <c r="M238" s="342">
        <f t="shared" si="43"/>
        <v>5173</v>
      </c>
      <c r="N238" s="343">
        <f t="shared" si="44"/>
        <v>35.291666666666657</v>
      </c>
      <c r="O238" s="343"/>
      <c r="P238" s="343">
        <f t="shared" si="45"/>
        <v>0</v>
      </c>
      <c r="Q238" s="344"/>
      <c r="R238" s="343">
        <f t="shared" si="46"/>
        <v>231.00000000000026</v>
      </c>
      <c r="S238" s="343">
        <f t="shared" si="47"/>
        <v>-2.5579538487363607E-13</v>
      </c>
      <c r="T238" s="343"/>
      <c r="U238" s="343">
        <f t="shared" ca="1" si="37"/>
        <v>1.0000000000000002</v>
      </c>
      <c r="V238" s="345">
        <f t="shared" si="48"/>
        <v>22.392857142857142</v>
      </c>
      <c r="W238" s="186"/>
      <c r="X238" s="207"/>
    </row>
    <row r="239" spans="2:24" x14ac:dyDescent="0.3">
      <c r="B239" s="246">
        <v>232</v>
      </c>
      <c r="C239" s="437">
        <f>B239*MechanicalData!$B$22/360</f>
        <v>35.444444444444443</v>
      </c>
      <c r="D239" s="437">
        <f>MechanicalData!$B$22</f>
        <v>55</v>
      </c>
      <c r="E239" s="248">
        <v>232</v>
      </c>
      <c r="F239" s="453">
        <v>43.104999999999997</v>
      </c>
      <c r="G239" s="437">
        <v>69.998000000000005</v>
      </c>
      <c r="H239" s="339">
        <f t="shared" si="38"/>
        <v>232</v>
      </c>
      <c r="I239" s="451">
        <f t="shared" si="39"/>
        <v>55</v>
      </c>
      <c r="J239" s="340">
        <f t="shared" si="40"/>
        <v>0.15277777777777779</v>
      </c>
      <c r="K239" s="341">
        <f t="shared" si="41"/>
        <v>35.444444444444443</v>
      </c>
      <c r="L239" s="333">
        <f t="shared" si="42"/>
        <v>5195.1428571428569</v>
      </c>
      <c r="M239" s="342">
        <f t="shared" si="43"/>
        <v>5195</v>
      </c>
      <c r="N239" s="343">
        <f t="shared" si="44"/>
        <v>35.444444444444443</v>
      </c>
      <c r="O239" s="343"/>
      <c r="P239" s="343">
        <f t="shared" si="45"/>
        <v>0</v>
      </c>
      <c r="Q239" s="344"/>
      <c r="R239" s="343">
        <f t="shared" si="46"/>
        <v>232.00000000000028</v>
      </c>
      <c r="S239" s="343">
        <f t="shared" si="47"/>
        <v>-2.8421709430404007E-13</v>
      </c>
      <c r="T239" s="343"/>
      <c r="U239" s="343">
        <f t="shared" ca="1" si="37"/>
        <v>1.0000000000000002</v>
      </c>
      <c r="V239" s="345">
        <f t="shared" si="48"/>
        <v>22.392857142857142</v>
      </c>
      <c r="W239" s="186"/>
      <c r="X239" s="207"/>
    </row>
    <row r="240" spans="2:24" x14ac:dyDescent="0.3">
      <c r="B240" s="246">
        <v>233</v>
      </c>
      <c r="C240" s="437">
        <f>B240*MechanicalData!$B$22/360</f>
        <v>35.597222222222221</v>
      </c>
      <c r="D240" s="437">
        <f>MechanicalData!$B$22</f>
        <v>55</v>
      </c>
      <c r="E240" s="248">
        <v>233</v>
      </c>
      <c r="F240" s="453">
        <v>43.3</v>
      </c>
      <c r="G240" s="437">
        <v>69.998000000000005</v>
      </c>
      <c r="H240" s="339">
        <f t="shared" si="38"/>
        <v>233</v>
      </c>
      <c r="I240" s="451">
        <f t="shared" si="39"/>
        <v>55</v>
      </c>
      <c r="J240" s="340">
        <f t="shared" si="40"/>
        <v>0.15277777777777779</v>
      </c>
      <c r="K240" s="341">
        <f t="shared" si="41"/>
        <v>35.597222222222221</v>
      </c>
      <c r="L240" s="333">
        <f t="shared" si="42"/>
        <v>5217.5357142857138</v>
      </c>
      <c r="M240" s="342">
        <f t="shared" si="43"/>
        <v>5218</v>
      </c>
      <c r="N240" s="343">
        <f t="shared" si="44"/>
        <v>35.597222222222214</v>
      </c>
      <c r="O240" s="343"/>
      <c r="P240" s="343">
        <f t="shared" si="45"/>
        <v>0</v>
      </c>
      <c r="Q240" s="344"/>
      <c r="R240" s="343">
        <f t="shared" si="46"/>
        <v>233.00000000000026</v>
      </c>
      <c r="S240" s="343">
        <f t="shared" si="47"/>
        <v>-2.5579538487363607E-13</v>
      </c>
      <c r="T240" s="343"/>
      <c r="U240" s="343">
        <f t="shared" ca="1" si="37"/>
        <v>1.0000000000000002</v>
      </c>
      <c r="V240" s="345">
        <f t="shared" si="48"/>
        <v>22.392857142857142</v>
      </c>
      <c r="W240" s="186"/>
      <c r="X240" s="207"/>
    </row>
    <row r="241" spans="2:24" x14ac:dyDescent="0.3">
      <c r="B241" s="246">
        <v>234</v>
      </c>
      <c r="C241" s="437">
        <f>B241*MechanicalData!$B$22/360</f>
        <v>35.75</v>
      </c>
      <c r="D241" s="437">
        <f>MechanicalData!$B$22</f>
        <v>55</v>
      </c>
      <c r="E241" s="248">
        <v>234</v>
      </c>
      <c r="F241" s="453">
        <v>43.494</v>
      </c>
      <c r="G241" s="437">
        <v>69.998000000000005</v>
      </c>
      <c r="H241" s="339">
        <f t="shared" si="38"/>
        <v>234</v>
      </c>
      <c r="I241" s="451">
        <f t="shared" si="39"/>
        <v>55</v>
      </c>
      <c r="J241" s="340">
        <f t="shared" si="40"/>
        <v>0.15277777777777779</v>
      </c>
      <c r="K241" s="341">
        <f t="shared" si="41"/>
        <v>35.75</v>
      </c>
      <c r="L241" s="333">
        <f t="shared" si="42"/>
        <v>5239.9285714285716</v>
      </c>
      <c r="M241" s="342">
        <f t="shared" si="43"/>
        <v>5240</v>
      </c>
      <c r="N241" s="343">
        <f t="shared" si="44"/>
        <v>35.75</v>
      </c>
      <c r="O241" s="343"/>
      <c r="P241" s="343">
        <f t="shared" si="45"/>
        <v>0</v>
      </c>
      <c r="Q241" s="344"/>
      <c r="R241" s="343">
        <f t="shared" si="46"/>
        <v>234.00000000000031</v>
      </c>
      <c r="S241" s="343">
        <f t="shared" si="47"/>
        <v>-3.1263880373444408E-13</v>
      </c>
      <c r="T241" s="343"/>
      <c r="U241" s="343">
        <f t="shared" ca="1" si="37"/>
        <v>1.0000000000000002</v>
      </c>
      <c r="V241" s="345">
        <f t="shared" si="48"/>
        <v>22.392857142857142</v>
      </c>
      <c r="W241" s="186"/>
      <c r="X241" s="207"/>
    </row>
    <row r="242" spans="2:24" x14ac:dyDescent="0.3">
      <c r="B242" s="246">
        <v>235</v>
      </c>
      <c r="C242" s="437">
        <f>B242*MechanicalData!$B$22/360</f>
        <v>35.902777777777779</v>
      </c>
      <c r="D242" s="437">
        <f>MechanicalData!$B$22</f>
        <v>55</v>
      </c>
      <c r="E242" s="248">
        <v>235</v>
      </c>
      <c r="F242" s="453">
        <v>43.689</v>
      </c>
      <c r="G242" s="437">
        <v>69.998000000000005</v>
      </c>
      <c r="H242" s="339">
        <f t="shared" si="38"/>
        <v>235</v>
      </c>
      <c r="I242" s="451">
        <f t="shared" si="39"/>
        <v>55</v>
      </c>
      <c r="J242" s="340">
        <f t="shared" si="40"/>
        <v>0.15277777777777779</v>
      </c>
      <c r="K242" s="341">
        <f t="shared" si="41"/>
        <v>35.902777777777779</v>
      </c>
      <c r="L242" s="333">
        <f t="shared" si="42"/>
        <v>5262.3214285714284</v>
      </c>
      <c r="M242" s="342">
        <f t="shared" si="43"/>
        <v>5262</v>
      </c>
      <c r="N242" s="343">
        <f t="shared" si="44"/>
        <v>35.902777777777771</v>
      </c>
      <c r="O242" s="343"/>
      <c r="P242" s="343">
        <f t="shared" si="45"/>
        <v>0</v>
      </c>
      <c r="Q242" s="344"/>
      <c r="R242" s="343">
        <f t="shared" si="46"/>
        <v>235.00000000000028</v>
      </c>
      <c r="S242" s="343">
        <f t="shared" si="47"/>
        <v>-2.8421709430404007E-13</v>
      </c>
      <c r="T242" s="343"/>
      <c r="U242" s="343">
        <f t="shared" ca="1" si="37"/>
        <v>1.0000000000000002</v>
      </c>
      <c r="V242" s="345">
        <f t="shared" si="48"/>
        <v>22.392857142857142</v>
      </c>
      <c r="W242" s="186"/>
      <c r="X242" s="207"/>
    </row>
    <row r="243" spans="2:24" x14ac:dyDescent="0.3">
      <c r="B243" s="246">
        <v>236</v>
      </c>
      <c r="C243" s="437">
        <f>B243*MechanicalData!$B$22/360</f>
        <v>36.055555555555557</v>
      </c>
      <c r="D243" s="437">
        <f>MechanicalData!$B$22</f>
        <v>55</v>
      </c>
      <c r="E243" s="248">
        <v>236</v>
      </c>
      <c r="F243" s="453">
        <v>43.883000000000003</v>
      </c>
      <c r="G243" s="437">
        <v>69.998000000000005</v>
      </c>
      <c r="H243" s="339">
        <f t="shared" si="38"/>
        <v>236</v>
      </c>
      <c r="I243" s="451">
        <f t="shared" si="39"/>
        <v>55</v>
      </c>
      <c r="J243" s="340">
        <f t="shared" si="40"/>
        <v>0.15277777777777779</v>
      </c>
      <c r="K243" s="341">
        <f t="shared" si="41"/>
        <v>36.055555555555557</v>
      </c>
      <c r="L243" s="333">
        <f t="shared" si="42"/>
        <v>5284.7142857142862</v>
      </c>
      <c r="M243" s="342">
        <f t="shared" si="43"/>
        <v>5285</v>
      </c>
      <c r="N243" s="343">
        <f t="shared" si="44"/>
        <v>36.055555555555557</v>
      </c>
      <c r="O243" s="343"/>
      <c r="P243" s="343">
        <f t="shared" si="45"/>
        <v>0</v>
      </c>
      <c r="Q243" s="344"/>
      <c r="R243" s="343">
        <f t="shared" si="46"/>
        <v>236.00000000000034</v>
      </c>
      <c r="S243" s="343">
        <f t="shared" si="47"/>
        <v>-3.4106051316484809E-13</v>
      </c>
      <c r="T243" s="343"/>
      <c r="U243" s="343">
        <f t="shared" ca="1" si="37"/>
        <v>1.0000000000000002</v>
      </c>
      <c r="V243" s="345">
        <f t="shared" si="48"/>
        <v>22.392857142857142</v>
      </c>
      <c r="W243" s="186"/>
      <c r="X243" s="207"/>
    </row>
    <row r="244" spans="2:24" x14ac:dyDescent="0.3">
      <c r="B244" s="246">
        <v>237</v>
      </c>
      <c r="C244" s="437">
        <f>B244*MechanicalData!$B$22/360</f>
        <v>36.208333333333336</v>
      </c>
      <c r="D244" s="437">
        <f>MechanicalData!$B$22</f>
        <v>55</v>
      </c>
      <c r="E244" s="248">
        <v>237</v>
      </c>
      <c r="F244" s="453">
        <v>44.076999999999998</v>
      </c>
      <c r="G244" s="437">
        <v>69.998000000000005</v>
      </c>
      <c r="H244" s="339">
        <f t="shared" si="38"/>
        <v>237</v>
      </c>
      <c r="I244" s="451">
        <f t="shared" si="39"/>
        <v>55</v>
      </c>
      <c r="J244" s="340">
        <f t="shared" si="40"/>
        <v>0.15277777777777779</v>
      </c>
      <c r="K244" s="341">
        <f t="shared" si="41"/>
        <v>36.208333333333336</v>
      </c>
      <c r="L244" s="333">
        <f t="shared" si="42"/>
        <v>5307.1071428571431</v>
      </c>
      <c r="M244" s="342">
        <f t="shared" si="43"/>
        <v>5307</v>
      </c>
      <c r="N244" s="343">
        <f t="shared" si="44"/>
        <v>36.208333333333329</v>
      </c>
      <c r="O244" s="343"/>
      <c r="P244" s="343">
        <f t="shared" si="45"/>
        <v>0</v>
      </c>
      <c r="Q244" s="344"/>
      <c r="R244" s="343">
        <f t="shared" si="46"/>
        <v>237.00000000000031</v>
      </c>
      <c r="S244" s="343">
        <f t="shared" si="47"/>
        <v>-3.1263880373444408E-13</v>
      </c>
      <c r="T244" s="343"/>
      <c r="U244" s="343">
        <f t="shared" ca="1" si="37"/>
        <v>1.0000000000000002</v>
      </c>
      <c r="V244" s="345">
        <f t="shared" si="48"/>
        <v>22.392857142857142</v>
      </c>
      <c r="W244" s="186"/>
      <c r="X244" s="207"/>
    </row>
    <row r="245" spans="2:24" x14ac:dyDescent="0.3">
      <c r="B245" s="246">
        <v>238</v>
      </c>
      <c r="C245" s="437">
        <f>B245*MechanicalData!$B$22/360</f>
        <v>36.361111111111114</v>
      </c>
      <c r="D245" s="437">
        <f>MechanicalData!$B$22</f>
        <v>55</v>
      </c>
      <c r="E245" s="248">
        <v>238</v>
      </c>
      <c r="F245" s="453">
        <v>44.271999999999998</v>
      </c>
      <c r="G245" s="437">
        <v>69.998000000000005</v>
      </c>
      <c r="H245" s="339">
        <f t="shared" si="38"/>
        <v>238</v>
      </c>
      <c r="I245" s="451">
        <f t="shared" si="39"/>
        <v>55</v>
      </c>
      <c r="J245" s="340">
        <f t="shared" si="40"/>
        <v>0.15277777777777779</v>
      </c>
      <c r="K245" s="341">
        <f t="shared" si="41"/>
        <v>36.361111111111114</v>
      </c>
      <c r="L245" s="333">
        <f t="shared" si="42"/>
        <v>5329.5</v>
      </c>
      <c r="M245" s="342">
        <f t="shared" si="43"/>
        <v>5330</v>
      </c>
      <c r="N245" s="343">
        <f t="shared" si="44"/>
        <v>36.361111111111107</v>
      </c>
      <c r="O245" s="343"/>
      <c r="P245" s="343">
        <f t="shared" si="45"/>
        <v>0</v>
      </c>
      <c r="Q245" s="344"/>
      <c r="R245" s="343">
        <f t="shared" si="46"/>
        <v>238.00000000000028</v>
      </c>
      <c r="S245" s="343">
        <f t="shared" si="47"/>
        <v>-2.8421709430404007E-13</v>
      </c>
      <c r="T245" s="343"/>
      <c r="U245" s="343">
        <f t="shared" ca="1" si="37"/>
        <v>1.0000000000000002</v>
      </c>
      <c r="V245" s="345">
        <f t="shared" si="48"/>
        <v>22.392857142857142</v>
      </c>
      <c r="W245" s="186"/>
      <c r="X245" s="207"/>
    </row>
    <row r="246" spans="2:24" x14ac:dyDescent="0.3">
      <c r="B246" s="246">
        <v>239</v>
      </c>
      <c r="C246" s="437">
        <f>B246*MechanicalData!$B$22/360</f>
        <v>36.513888888888886</v>
      </c>
      <c r="D246" s="437">
        <f>MechanicalData!$B$22</f>
        <v>55</v>
      </c>
      <c r="E246" s="248">
        <v>239</v>
      </c>
      <c r="F246" s="453">
        <v>44.466000000000001</v>
      </c>
      <c r="G246" s="437">
        <v>69.998000000000005</v>
      </c>
      <c r="H246" s="339">
        <f t="shared" si="38"/>
        <v>239</v>
      </c>
      <c r="I246" s="451">
        <f t="shared" si="39"/>
        <v>55</v>
      </c>
      <c r="J246" s="340">
        <f t="shared" si="40"/>
        <v>0.15277777777777779</v>
      </c>
      <c r="K246" s="341">
        <f t="shared" si="41"/>
        <v>36.513888888888886</v>
      </c>
      <c r="L246" s="333">
        <f t="shared" si="42"/>
        <v>5351.892857142856</v>
      </c>
      <c r="M246" s="342">
        <f t="shared" si="43"/>
        <v>5352</v>
      </c>
      <c r="N246" s="343">
        <f t="shared" si="44"/>
        <v>36.513888888888879</v>
      </c>
      <c r="O246" s="343"/>
      <c r="P246" s="343">
        <f t="shared" si="45"/>
        <v>0</v>
      </c>
      <c r="Q246" s="344"/>
      <c r="R246" s="343">
        <f t="shared" si="46"/>
        <v>239.00000000000026</v>
      </c>
      <c r="S246" s="343">
        <f t="shared" si="47"/>
        <v>-2.5579538487363607E-13</v>
      </c>
      <c r="T246" s="343"/>
      <c r="U246" s="343">
        <f t="shared" ca="1" si="37"/>
        <v>1.0000000000000002</v>
      </c>
      <c r="V246" s="345">
        <f t="shared" si="48"/>
        <v>22.392857142857142</v>
      </c>
      <c r="W246" s="186"/>
      <c r="X246" s="207"/>
    </row>
    <row r="247" spans="2:24" x14ac:dyDescent="0.3">
      <c r="B247" s="246">
        <v>240</v>
      </c>
      <c r="C247" s="437">
        <f>B247*MechanicalData!$B$22/360</f>
        <v>36.666666666666664</v>
      </c>
      <c r="D247" s="437">
        <f>MechanicalData!$B$22</f>
        <v>55</v>
      </c>
      <c r="E247" s="248">
        <v>240</v>
      </c>
      <c r="F247" s="453">
        <v>44.661000000000001</v>
      </c>
      <c r="G247" s="437">
        <v>69.998000000000005</v>
      </c>
      <c r="H247" s="339">
        <f t="shared" si="38"/>
        <v>240</v>
      </c>
      <c r="I247" s="451">
        <f t="shared" si="39"/>
        <v>55</v>
      </c>
      <c r="J247" s="340">
        <f t="shared" si="40"/>
        <v>0.15277777777777779</v>
      </c>
      <c r="K247" s="341">
        <f t="shared" si="41"/>
        <v>36.666666666666664</v>
      </c>
      <c r="L247" s="333">
        <f t="shared" si="42"/>
        <v>5374.2857142857138</v>
      </c>
      <c r="M247" s="342">
        <f t="shared" si="43"/>
        <v>5374</v>
      </c>
      <c r="N247" s="343">
        <f t="shared" si="44"/>
        <v>36.666666666666657</v>
      </c>
      <c r="O247" s="343"/>
      <c r="P247" s="343">
        <f t="shared" si="45"/>
        <v>0</v>
      </c>
      <c r="Q247" s="344"/>
      <c r="R247" s="343">
        <f t="shared" si="46"/>
        <v>240.00000000000026</v>
      </c>
      <c r="S247" s="343">
        <f t="shared" si="47"/>
        <v>-2.5579538487363607E-13</v>
      </c>
      <c r="T247" s="343"/>
      <c r="U247" s="343">
        <f t="shared" ca="1" si="37"/>
        <v>1.0000000000000002</v>
      </c>
      <c r="V247" s="345">
        <f t="shared" si="48"/>
        <v>22.392857142857142</v>
      </c>
      <c r="W247" s="186"/>
      <c r="X247" s="207"/>
    </row>
    <row r="248" spans="2:24" x14ac:dyDescent="0.3">
      <c r="B248" s="246">
        <v>241</v>
      </c>
      <c r="C248" s="437">
        <f>B248*MechanicalData!$B$22/360</f>
        <v>36.819444444444443</v>
      </c>
      <c r="D248" s="437">
        <f>MechanicalData!$B$22</f>
        <v>55</v>
      </c>
      <c r="E248" s="248">
        <v>241</v>
      </c>
      <c r="F248" s="453">
        <v>44.854999999999997</v>
      </c>
      <c r="G248" s="437">
        <v>69.998000000000005</v>
      </c>
      <c r="H248" s="339">
        <f t="shared" si="38"/>
        <v>241</v>
      </c>
      <c r="I248" s="451">
        <f t="shared" si="39"/>
        <v>55</v>
      </c>
      <c r="J248" s="340">
        <f t="shared" si="40"/>
        <v>0.15277777777777779</v>
      </c>
      <c r="K248" s="341">
        <f t="shared" si="41"/>
        <v>36.819444444444443</v>
      </c>
      <c r="L248" s="333">
        <f t="shared" si="42"/>
        <v>5396.6785714285716</v>
      </c>
      <c r="M248" s="342">
        <f t="shared" si="43"/>
        <v>5397</v>
      </c>
      <c r="N248" s="343">
        <f t="shared" si="44"/>
        <v>36.819444444444443</v>
      </c>
      <c r="O248" s="343"/>
      <c r="P248" s="343">
        <f t="shared" si="45"/>
        <v>0</v>
      </c>
      <c r="Q248" s="344"/>
      <c r="R248" s="343">
        <f t="shared" si="46"/>
        <v>241.00000000000031</v>
      </c>
      <c r="S248" s="343">
        <f t="shared" si="47"/>
        <v>-3.1263880373444408E-13</v>
      </c>
      <c r="T248" s="343"/>
      <c r="U248" s="343">
        <f t="shared" ca="1" si="37"/>
        <v>1.0000000000000002</v>
      </c>
      <c r="V248" s="345">
        <f t="shared" si="48"/>
        <v>22.392857142857142</v>
      </c>
      <c r="W248" s="186"/>
      <c r="X248" s="207"/>
    </row>
    <row r="249" spans="2:24" x14ac:dyDescent="0.3">
      <c r="B249" s="246">
        <v>242</v>
      </c>
      <c r="C249" s="437">
        <f>B249*MechanicalData!$B$22/360</f>
        <v>36.972222222222221</v>
      </c>
      <c r="D249" s="437">
        <f>MechanicalData!$B$22</f>
        <v>55</v>
      </c>
      <c r="E249" s="248">
        <v>242</v>
      </c>
      <c r="F249" s="453">
        <v>45.05</v>
      </c>
      <c r="G249" s="437">
        <v>69.998000000000005</v>
      </c>
      <c r="H249" s="339">
        <f t="shared" si="38"/>
        <v>242</v>
      </c>
      <c r="I249" s="451">
        <f t="shared" si="39"/>
        <v>55</v>
      </c>
      <c r="J249" s="340">
        <f t="shared" si="40"/>
        <v>0.15277777777777779</v>
      </c>
      <c r="K249" s="341">
        <f t="shared" si="41"/>
        <v>36.972222222222221</v>
      </c>
      <c r="L249" s="333">
        <f t="shared" si="42"/>
        <v>5419.0714285714284</v>
      </c>
      <c r="M249" s="342">
        <f t="shared" si="43"/>
        <v>5419</v>
      </c>
      <c r="N249" s="343">
        <f t="shared" si="44"/>
        <v>36.972222222222221</v>
      </c>
      <c r="O249" s="343"/>
      <c r="P249" s="343">
        <f t="shared" si="45"/>
        <v>0</v>
      </c>
      <c r="Q249" s="344"/>
      <c r="R249" s="343">
        <f t="shared" si="46"/>
        <v>242.00000000000028</v>
      </c>
      <c r="S249" s="343">
        <f t="shared" si="47"/>
        <v>-2.8421709430404007E-13</v>
      </c>
      <c r="T249" s="343"/>
      <c r="U249" s="343">
        <f t="shared" ca="1" si="37"/>
        <v>1.0000000000000002</v>
      </c>
      <c r="V249" s="345">
        <f t="shared" si="48"/>
        <v>22.392857142857142</v>
      </c>
      <c r="W249" s="186"/>
      <c r="X249" s="207"/>
    </row>
    <row r="250" spans="2:24" x14ac:dyDescent="0.3">
      <c r="B250" s="246">
        <v>243</v>
      </c>
      <c r="C250" s="437">
        <f>B250*MechanicalData!$B$22/360</f>
        <v>37.125</v>
      </c>
      <c r="D250" s="437">
        <f>MechanicalData!$B$22</f>
        <v>55</v>
      </c>
      <c r="E250" s="248">
        <v>243</v>
      </c>
      <c r="F250" s="453">
        <v>45.244</v>
      </c>
      <c r="G250" s="437">
        <v>69.998000000000005</v>
      </c>
      <c r="H250" s="339">
        <f t="shared" si="38"/>
        <v>243</v>
      </c>
      <c r="I250" s="451">
        <f t="shared" si="39"/>
        <v>55</v>
      </c>
      <c r="J250" s="340">
        <f t="shared" si="40"/>
        <v>0.15277777777777779</v>
      </c>
      <c r="K250" s="341">
        <f t="shared" si="41"/>
        <v>37.125</v>
      </c>
      <c r="L250" s="333">
        <f t="shared" si="42"/>
        <v>5441.4642857142853</v>
      </c>
      <c r="M250" s="342">
        <f t="shared" si="43"/>
        <v>5441</v>
      </c>
      <c r="N250" s="343">
        <f t="shared" si="44"/>
        <v>37.124999999999993</v>
      </c>
      <c r="O250" s="343"/>
      <c r="P250" s="343">
        <f t="shared" si="45"/>
        <v>0</v>
      </c>
      <c r="Q250" s="344"/>
      <c r="R250" s="343">
        <f t="shared" si="46"/>
        <v>243.00000000000028</v>
      </c>
      <c r="S250" s="343">
        <f t="shared" si="47"/>
        <v>-2.8421709430404007E-13</v>
      </c>
      <c r="T250" s="343"/>
      <c r="U250" s="343">
        <f t="shared" ca="1" si="37"/>
        <v>1.0000000000000002</v>
      </c>
      <c r="V250" s="345">
        <f t="shared" si="48"/>
        <v>22.392857142857142</v>
      </c>
      <c r="W250" s="186"/>
      <c r="X250" s="207"/>
    </row>
    <row r="251" spans="2:24" x14ac:dyDescent="0.3">
      <c r="B251" s="246">
        <v>244</v>
      </c>
      <c r="C251" s="437">
        <f>B251*MechanicalData!$B$22/360</f>
        <v>37.277777777777779</v>
      </c>
      <c r="D251" s="437">
        <f>MechanicalData!$B$22</f>
        <v>55</v>
      </c>
      <c r="E251" s="248">
        <v>244</v>
      </c>
      <c r="F251" s="453">
        <v>45.438000000000002</v>
      </c>
      <c r="G251" s="437">
        <v>69.998000000000005</v>
      </c>
      <c r="H251" s="339">
        <f t="shared" si="38"/>
        <v>244</v>
      </c>
      <c r="I251" s="451">
        <f t="shared" si="39"/>
        <v>55</v>
      </c>
      <c r="J251" s="340">
        <f t="shared" si="40"/>
        <v>0.15277777777777779</v>
      </c>
      <c r="K251" s="341">
        <f t="shared" si="41"/>
        <v>37.277777777777779</v>
      </c>
      <c r="L251" s="333">
        <f t="shared" si="42"/>
        <v>5463.8571428571431</v>
      </c>
      <c r="M251" s="342">
        <f t="shared" si="43"/>
        <v>5464</v>
      </c>
      <c r="N251" s="343">
        <f t="shared" si="44"/>
        <v>37.277777777777779</v>
      </c>
      <c r="O251" s="343"/>
      <c r="P251" s="343">
        <f t="shared" si="45"/>
        <v>0</v>
      </c>
      <c r="Q251" s="344"/>
      <c r="R251" s="343">
        <f t="shared" si="46"/>
        <v>244.00000000000031</v>
      </c>
      <c r="S251" s="343">
        <f t="shared" si="47"/>
        <v>-3.1263880373444408E-13</v>
      </c>
      <c r="T251" s="343"/>
      <c r="U251" s="343">
        <f t="shared" ca="1" si="37"/>
        <v>1.0000000000000002</v>
      </c>
      <c r="V251" s="345">
        <f t="shared" si="48"/>
        <v>22.392857142857142</v>
      </c>
      <c r="W251" s="186"/>
      <c r="X251" s="207"/>
    </row>
    <row r="252" spans="2:24" x14ac:dyDescent="0.3">
      <c r="B252" s="246">
        <v>245</v>
      </c>
      <c r="C252" s="437">
        <f>B252*MechanicalData!$B$22/360</f>
        <v>37.430555555555557</v>
      </c>
      <c r="D252" s="437">
        <f>MechanicalData!$B$22</f>
        <v>55</v>
      </c>
      <c r="E252" s="248">
        <v>245</v>
      </c>
      <c r="F252" s="453">
        <v>45.633000000000003</v>
      </c>
      <c r="G252" s="437">
        <v>69.998000000000005</v>
      </c>
      <c r="H252" s="339">
        <f t="shared" si="38"/>
        <v>245</v>
      </c>
      <c r="I252" s="451">
        <f t="shared" si="39"/>
        <v>55</v>
      </c>
      <c r="J252" s="340">
        <f t="shared" si="40"/>
        <v>0.15277777777777779</v>
      </c>
      <c r="K252" s="341">
        <f t="shared" si="41"/>
        <v>37.430555555555557</v>
      </c>
      <c r="L252" s="333">
        <f t="shared" si="42"/>
        <v>5486.25</v>
      </c>
      <c r="M252" s="342">
        <f t="shared" si="43"/>
        <v>5486</v>
      </c>
      <c r="N252" s="343">
        <f t="shared" si="44"/>
        <v>37.43055555555555</v>
      </c>
      <c r="O252" s="343"/>
      <c r="P252" s="343">
        <f t="shared" si="45"/>
        <v>0</v>
      </c>
      <c r="Q252" s="344"/>
      <c r="R252" s="343">
        <f t="shared" si="46"/>
        <v>245.00000000000031</v>
      </c>
      <c r="S252" s="343">
        <f t="shared" si="47"/>
        <v>-3.1263880373444408E-13</v>
      </c>
      <c r="T252" s="343"/>
      <c r="U252" s="343">
        <f t="shared" ca="1" si="37"/>
        <v>1.0000000000000002</v>
      </c>
      <c r="V252" s="345">
        <f t="shared" si="48"/>
        <v>22.392857142857142</v>
      </c>
      <c r="W252" s="186"/>
      <c r="X252" s="207"/>
    </row>
    <row r="253" spans="2:24" x14ac:dyDescent="0.3">
      <c r="B253" s="246">
        <v>246</v>
      </c>
      <c r="C253" s="437">
        <f>B253*MechanicalData!$B$22/360</f>
        <v>37.583333333333336</v>
      </c>
      <c r="D253" s="437">
        <f>MechanicalData!$B$22</f>
        <v>55</v>
      </c>
      <c r="E253" s="248">
        <v>246</v>
      </c>
      <c r="F253" s="453">
        <v>45.826999999999998</v>
      </c>
      <c r="G253" s="437">
        <v>69.998000000000005</v>
      </c>
      <c r="H253" s="339">
        <f t="shared" si="38"/>
        <v>246</v>
      </c>
      <c r="I253" s="451">
        <f t="shared" si="39"/>
        <v>55</v>
      </c>
      <c r="J253" s="340">
        <f t="shared" si="40"/>
        <v>0.15277777777777779</v>
      </c>
      <c r="K253" s="341">
        <f t="shared" si="41"/>
        <v>37.583333333333336</v>
      </c>
      <c r="L253" s="333">
        <f t="shared" si="42"/>
        <v>5508.6428571428569</v>
      </c>
      <c r="M253" s="342">
        <f t="shared" si="43"/>
        <v>5509</v>
      </c>
      <c r="N253" s="343">
        <f t="shared" si="44"/>
        <v>37.583333333333329</v>
      </c>
      <c r="O253" s="343"/>
      <c r="P253" s="343">
        <f t="shared" si="45"/>
        <v>0</v>
      </c>
      <c r="Q253" s="344"/>
      <c r="R253" s="343">
        <f t="shared" si="46"/>
        <v>246.00000000000028</v>
      </c>
      <c r="S253" s="343">
        <f t="shared" si="47"/>
        <v>-2.8421709430404007E-13</v>
      </c>
      <c r="T253" s="343"/>
      <c r="U253" s="343">
        <f t="shared" ca="1" si="37"/>
        <v>1.0000000000000002</v>
      </c>
      <c r="V253" s="345">
        <f t="shared" si="48"/>
        <v>22.392857142857142</v>
      </c>
      <c r="W253" s="186"/>
      <c r="X253" s="207"/>
    </row>
    <row r="254" spans="2:24" x14ac:dyDescent="0.3">
      <c r="B254" s="246">
        <v>247</v>
      </c>
      <c r="C254" s="437">
        <f>B254*MechanicalData!$B$22/360</f>
        <v>37.736111111111114</v>
      </c>
      <c r="D254" s="437">
        <f>MechanicalData!$B$22</f>
        <v>55</v>
      </c>
      <c r="E254" s="248">
        <v>247</v>
      </c>
      <c r="F254" s="453">
        <v>46.021999999999998</v>
      </c>
      <c r="G254" s="437">
        <v>69.998000000000005</v>
      </c>
      <c r="H254" s="339">
        <f t="shared" si="38"/>
        <v>247</v>
      </c>
      <c r="I254" s="451">
        <f t="shared" si="39"/>
        <v>55</v>
      </c>
      <c r="J254" s="340">
        <f t="shared" si="40"/>
        <v>0.15277777777777779</v>
      </c>
      <c r="K254" s="341">
        <f t="shared" si="41"/>
        <v>37.736111111111114</v>
      </c>
      <c r="L254" s="333">
        <f t="shared" si="42"/>
        <v>5531.0357142857147</v>
      </c>
      <c r="M254" s="342">
        <f t="shared" si="43"/>
        <v>5531</v>
      </c>
      <c r="N254" s="343">
        <f t="shared" si="44"/>
        <v>37.736111111111114</v>
      </c>
      <c r="O254" s="343"/>
      <c r="P254" s="343">
        <f t="shared" si="45"/>
        <v>0</v>
      </c>
      <c r="Q254" s="344"/>
      <c r="R254" s="343">
        <f t="shared" si="46"/>
        <v>247.00000000000034</v>
      </c>
      <c r="S254" s="343">
        <f t="shared" si="47"/>
        <v>-3.4106051316484809E-13</v>
      </c>
      <c r="T254" s="343"/>
      <c r="U254" s="343">
        <f t="shared" ca="1" si="37"/>
        <v>1.0000000000000002</v>
      </c>
      <c r="V254" s="345">
        <f t="shared" si="48"/>
        <v>22.392857142857142</v>
      </c>
      <c r="W254" s="186"/>
      <c r="X254" s="207"/>
    </row>
    <row r="255" spans="2:24" x14ac:dyDescent="0.3">
      <c r="B255" s="246">
        <v>248</v>
      </c>
      <c r="C255" s="437">
        <f>B255*MechanicalData!$B$22/360</f>
        <v>37.888888888888886</v>
      </c>
      <c r="D255" s="437">
        <f>MechanicalData!$B$22</f>
        <v>55</v>
      </c>
      <c r="E255" s="248">
        <v>248</v>
      </c>
      <c r="F255" s="453">
        <v>46.216000000000001</v>
      </c>
      <c r="G255" s="437">
        <v>69.998000000000005</v>
      </c>
      <c r="H255" s="339">
        <f t="shared" si="38"/>
        <v>248</v>
      </c>
      <c r="I255" s="451">
        <f t="shared" si="39"/>
        <v>55</v>
      </c>
      <c r="J255" s="340">
        <f t="shared" si="40"/>
        <v>0.15277777777777779</v>
      </c>
      <c r="K255" s="341">
        <f t="shared" si="41"/>
        <v>37.888888888888886</v>
      </c>
      <c r="L255" s="333">
        <f t="shared" si="42"/>
        <v>5553.4285714285706</v>
      </c>
      <c r="M255" s="342">
        <f t="shared" si="43"/>
        <v>5553</v>
      </c>
      <c r="N255" s="343">
        <f t="shared" si="44"/>
        <v>37.888888888888879</v>
      </c>
      <c r="O255" s="343"/>
      <c r="P255" s="343">
        <f t="shared" si="45"/>
        <v>0</v>
      </c>
      <c r="Q255" s="344"/>
      <c r="R255" s="343">
        <f t="shared" si="46"/>
        <v>248.00000000000028</v>
      </c>
      <c r="S255" s="343">
        <f t="shared" si="47"/>
        <v>-2.8421709430404007E-13</v>
      </c>
      <c r="T255" s="343"/>
      <c r="U255" s="343">
        <f t="shared" ca="1" si="37"/>
        <v>1.0000000000000002</v>
      </c>
      <c r="V255" s="345">
        <f t="shared" si="48"/>
        <v>22.392857142857142</v>
      </c>
      <c r="W255" s="186"/>
      <c r="X255" s="207"/>
    </row>
    <row r="256" spans="2:24" x14ac:dyDescent="0.3">
      <c r="B256" s="246">
        <v>249</v>
      </c>
      <c r="C256" s="437">
        <f>B256*MechanicalData!$B$22/360</f>
        <v>38.041666666666664</v>
      </c>
      <c r="D256" s="437">
        <f>MechanicalData!$B$22</f>
        <v>55</v>
      </c>
      <c r="E256" s="248">
        <v>249</v>
      </c>
      <c r="F256" s="453">
        <v>46.411000000000001</v>
      </c>
      <c r="G256" s="437">
        <v>69.998000000000005</v>
      </c>
      <c r="H256" s="339">
        <f t="shared" si="38"/>
        <v>249</v>
      </c>
      <c r="I256" s="451">
        <f t="shared" si="39"/>
        <v>55</v>
      </c>
      <c r="J256" s="340">
        <f t="shared" si="40"/>
        <v>0.15277777777777779</v>
      </c>
      <c r="K256" s="341">
        <f t="shared" si="41"/>
        <v>38.041666666666664</v>
      </c>
      <c r="L256" s="333">
        <f t="shared" si="42"/>
        <v>5575.8214285714275</v>
      </c>
      <c r="M256" s="342">
        <f t="shared" si="43"/>
        <v>5576</v>
      </c>
      <c r="N256" s="343">
        <f t="shared" si="44"/>
        <v>38.041666666666657</v>
      </c>
      <c r="O256" s="343"/>
      <c r="P256" s="343">
        <f t="shared" si="45"/>
        <v>0</v>
      </c>
      <c r="Q256" s="344"/>
      <c r="R256" s="343">
        <f t="shared" si="46"/>
        <v>249.00000000000026</v>
      </c>
      <c r="S256" s="343">
        <f t="shared" si="47"/>
        <v>-2.5579538487363607E-13</v>
      </c>
      <c r="T256" s="343"/>
      <c r="U256" s="343">
        <f t="shared" ca="1" si="37"/>
        <v>1.0000000000000002</v>
      </c>
      <c r="V256" s="345">
        <f t="shared" si="48"/>
        <v>22.392857142857142</v>
      </c>
      <c r="W256" s="186"/>
      <c r="X256" s="207"/>
    </row>
    <row r="257" spans="2:24" x14ac:dyDescent="0.3">
      <c r="B257" s="246">
        <v>250</v>
      </c>
      <c r="C257" s="437">
        <f>B257*MechanicalData!$B$22/360</f>
        <v>38.194444444444443</v>
      </c>
      <c r="D257" s="437">
        <f>MechanicalData!$B$22</f>
        <v>55</v>
      </c>
      <c r="E257" s="248">
        <v>250</v>
      </c>
      <c r="F257" s="453">
        <v>46.604999999999997</v>
      </c>
      <c r="G257" s="437">
        <v>69.998000000000005</v>
      </c>
      <c r="H257" s="339">
        <f t="shared" si="38"/>
        <v>250</v>
      </c>
      <c r="I257" s="451">
        <f t="shared" si="39"/>
        <v>55</v>
      </c>
      <c r="J257" s="340">
        <f t="shared" si="40"/>
        <v>0.15277777777777779</v>
      </c>
      <c r="K257" s="341">
        <f t="shared" si="41"/>
        <v>38.194444444444443</v>
      </c>
      <c r="L257" s="333">
        <f t="shared" si="42"/>
        <v>5598.2142857142853</v>
      </c>
      <c r="M257" s="342">
        <f t="shared" si="43"/>
        <v>5598</v>
      </c>
      <c r="N257" s="343">
        <f t="shared" si="44"/>
        <v>38.194444444444436</v>
      </c>
      <c r="O257" s="343"/>
      <c r="P257" s="343">
        <f t="shared" si="45"/>
        <v>0</v>
      </c>
      <c r="Q257" s="344"/>
      <c r="R257" s="343">
        <f t="shared" si="46"/>
        <v>250.00000000000028</v>
      </c>
      <c r="S257" s="343">
        <f t="shared" si="47"/>
        <v>-2.8421709430404007E-13</v>
      </c>
      <c r="T257" s="343"/>
      <c r="U257" s="343">
        <f t="shared" ca="1" si="37"/>
        <v>1.0000000000000002</v>
      </c>
      <c r="V257" s="345">
        <f t="shared" si="48"/>
        <v>22.392857142857142</v>
      </c>
      <c r="W257" s="186"/>
      <c r="X257" s="207"/>
    </row>
    <row r="258" spans="2:24" x14ac:dyDescent="0.3">
      <c r="B258" s="246">
        <v>251</v>
      </c>
      <c r="C258" s="437">
        <f>B258*MechanicalData!$B$22/360</f>
        <v>38.347222222222221</v>
      </c>
      <c r="D258" s="437">
        <f>MechanicalData!$B$22</f>
        <v>55</v>
      </c>
      <c r="E258" s="248">
        <v>251</v>
      </c>
      <c r="F258" s="453">
        <v>46.8</v>
      </c>
      <c r="G258" s="437">
        <v>69.998000000000005</v>
      </c>
      <c r="H258" s="339">
        <f t="shared" si="38"/>
        <v>251</v>
      </c>
      <c r="I258" s="451">
        <f t="shared" si="39"/>
        <v>55</v>
      </c>
      <c r="J258" s="340">
        <f t="shared" si="40"/>
        <v>0.15277777777777779</v>
      </c>
      <c r="K258" s="341">
        <f t="shared" si="41"/>
        <v>38.347222222222221</v>
      </c>
      <c r="L258" s="333">
        <f t="shared" si="42"/>
        <v>5620.6071428571431</v>
      </c>
      <c r="M258" s="342">
        <f t="shared" si="43"/>
        <v>5621</v>
      </c>
      <c r="N258" s="343">
        <f t="shared" si="44"/>
        <v>38.347222222222221</v>
      </c>
      <c r="O258" s="343"/>
      <c r="P258" s="343">
        <f t="shared" si="45"/>
        <v>0</v>
      </c>
      <c r="Q258" s="344"/>
      <c r="R258" s="343">
        <f t="shared" si="46"/>
        <v>251.00000000000034</v>
      </c>
      <c r="S258" s="343">
        <f t="shared" si="47"/>
        <v>-3.4106051316484809E-13</v>
      </c>
      <c r="T258" s="343"/>
      <c r="U258" s="343">
        <f t="shared" ca="1" si="37"/>
        <v>1.0000000000000002</v>
      </c>
      <c r="V258" s="345">
        <f t="shared" si="48"/>
        <v>22.392857142857142</v>
      </c>
      <c r="W258" s="186"/>
      <c r="X258" s="207"/>
    </row>
    <row r="259" spans="2:24" x14ac:dyDescent="0.3">
      <c r="B259" s="246">
        <v>252</v>
      </c>
      <c r="C259" s="437">
        <f>B259*MechanicalData!$B$22/360</f>
        <v>38.5</v>
      </c>
      <c r="D259" s="437">
        <f>MechanicalData!$B$22</f>
        <v>55</v>
      </c>
      <c r="E259" s="248">
        <v>252</v>
      </c>
      <c r="F259" s="453">
        <v>46.994</v>
      </c>
      <c r="G259" s="437">
        <v>69.998000000000005</v>
      </c>
      <c r="H259" s="339">
        <f t="shared" si="38"/>
        <v>252</v>
      </c>
      <c r="I259" s="451">
        <f t="shared" si="39"/>
        <v>55</v>
      </c>
      <c r="J259" s="340">
        <f t="shared" si="40"/>
        <v>0.15277777777777779</v>
      </c>
      <c r="K259" s="341">
        <f t="shared" si="41"/>
        <v>38.5</v>
      </c>
      <c r="L259" s="333">
        <f t="shared" si="42"/>
        <v>5643</v>
      </c>
      <c r="M259" s="342">
        <f t="shared" si="43"/>
        <v>5643</v>
      </c>
      <c r="N259" s="343">
        <f t="shared" si="44"/>
        <v>38.499999999999993</v>
      </c>
      <c r="O259" s="343"/>
      <c r="P259" s="343">
        <f t="shared" si="45"/>
        <v>0</v>
      </c>
      <c r="Q259" s="344"/>
      <c r="R259" s="343">
        <f t="shared" si="46"/>
        <v>252.00000000000031</v>
      </c>
      <c r="S259" s="343">
        <f t="shared" si="47"/>
        <v>-3.1263880373444408E-13</v>
      </c>
      <c r="T259" s="343"/>
      <c r="U259" s="343">
        <f t="shared" ca="1" si="37"/>
        <v>1.0000000000000002</v>
      </c>
      <c r="V259" s="345">
        <f t="shared" si="48"/>
        <v>22.392857142857142</v>
      </c>
      <c r="W259" s="186"/>
      <c r="X259" s="207"/>
    </row>
    <row r="260" spans="2:24" x14ac:dyDescent="0.3">
      <c r="B260" s="246">
        <v>253</v>
      </c>
      <c r="C260" s="437">
        <f>B260*MechanicalData!$B$22/360</f>
        <v>38.652777777777779</v>
      </c>
      <c r="D260" s="437">
        <f>MechanicalData!$B$22</f>
        <v>55</v>
      </c>
      <c r="E260" s="248">
        <v>253</v>
      </c>
      <c r="F260" s="453">
        <v>47.188000000000002</v>
      </c>
      <c r="G260" s="437">
        <v>69.998000000000005</v>
      </c>
      <c r="H260" s="339">
        <f t="shared" si="38"/>
        <v>253</v>
      </c>
      <c r="I260" s="451">
        <f t="shared" si="39"/>
        <v>55</v>
      </c>
      <c r="J260" s="340">
        <f t="shared" si="40"/>
        <v>0.15277777777777779</v>
      </c>
      <c r="K260" s="341">
        <f t="shared" si="41"/>
        <v>38.652777777777779</v>
      </c>
      <c r="L260" s="333">
        <f t="shared" si="42"/>
        <v>5665.3928571428569</v>
      </c>
      <c r="M260" s="342">
        <f t="shared" si="43"/>
        <v>5665</v>
      </c>
      <c r="N260" s="343">
        <f t="shared" si="44"/>
        <v>38.652777777777779</v>
      </c>
      <c r="O260" s="343"/>
      <c r="P260" s="343">
        <f t="shared" si="45"/>
        <v>0</v>
      </c>
      <c r="Q260" s="344"/>
      <c r="R260" s="343">
        <f t="shared" si="46"/>
        <v>253.00000000000028</v>
      </c>
      <c r="S260" s="343">
        <f t="shared" si="47"/>
        <v>-2.8421709430404007E-13</v>
      </c>
      <c r="T260" s="343"/>
      <c r="U260" s="343">
        <f t="shared" ca="1" si="37"/>
        <v>1.0000000000000002</v>
      </c>
      <c r="V260" s="345">
        <f t="shared" si="48"/>
        <v>22.392857142857142</v>
      </c>
      <c r="W260" s="186"/>
      <c r="X260" s="207"/>
    </row>
    <row r="261" spans="2:24" x14ac:dyDescent="0.3">
      <c r="B261" s="246">
        <v>254</v>
      </c>
      <c r="C261" s="437">
        <f>B261*MechanicalData!$B$22/360</f>
        <v>38.805555555555557</v>
      </c>
      <c r="D261" s="437">
        <f>MechanicalData!$B$22</f>
        <v>55</v>
      </c>
      <c r="E261" s="248">
        <v>254</v>
      </c>
      <c r="F261" s="453">
        <v>47.383000000000003</v>
      </c>
      <c r="G261" s="437">
        <v>69.998000000000005</v>
      </c>
      <c r="H261" s="339">
        <f t="shared" si="38"/>
        <v>254</v>
      </c>
      <c r="I261" s="451">
        <f t="shared" si="39"/>
        <v>55</v>
      </c>
      <c r="J261" s="340">
        <f t="shared" si="40"/>
        <v>0.15277777777777779</v>
      </c>
      <c r="K261" s="341">
        <f t="shared" si="41"/>
        <v>38.805555555555557</v>
      </c>
      <c r="L261" s="333">
        <f t="shared" si="42"/>
        <v>5687.7857142857147</v>
      </c>
      <c r="M261" s="342">
        <f t="shared" si="43"/>
        <v>5688</v>
      </c>
      <c r="N261" s="343">
        <f t="shared" si="44"/>
        <v>38.805555555555557</v>
      </c>
      <c r="O261" s="343"/>
      <c r="P261" s="343">
        <f t="shared" si="45"/>
        <v>0</v>
      </c>
      <c r="Q261" s="344"/>
      <c r="R261" s="343">
        <f t="shared" si="46"/>
        <v>254.00000000000034</v>
      </c>
      <c r="S261" s="343">
        <f t="shared" si="47"/>
        <v>-3.4106051316484809E-13</v>
      </c>
      <c r="T261" s="343"/>
      <c r="U261" s="343">
        <f t="shared" ca="1" si="37"/>
        <v>1.0000000000000002</v>
      </c>
      <c r="V261" s="345">
        <f t="shared" si="48"/>
        <v>22.392857142857142</v>
      </c>
      <c r="W261" s="186"/>
      <c r="X261" s="207"/>
    </row>
    <row r="262" spans="2:24" x14ac:dyDescent="0.3">
      <c r="B262" s="246">
        <v>255</v>
      </c>
      <c r="C262" s="437">
        <f>B262*MechanicalData!$B$22/360</f>
        <v>38.958333333333336</v>
      </c>
      <c r="D262" s="437">
        <f>MechanicalData!$B$22</f>
        <v>55</v>
      </c>
      <c r="E262" s="248">
        <v>255</v>
      </c>
      <c r="F262" s="453">
        <v>47.576999999999998</v>
      </c>
      <c r="G262" s="437">
        <v>69.998000000000005</v>
      </c>
      <c r="H262" s="339">
        <f t="shared" si="38"/>
        <v>255</v>
      </c>
      <c r="I262" s="451">
        <f t="shared" si="39"/>
        <v>55</v>
      </c>
      <c r="J262" s="340">
        <f t="shared" si="40"/>
        <v>0.15277777777777779</v>
      </c>
      <c r="K262" s="341">
        <f t="shared" si="41"/>
        <v>38.958333333333336</v>
      </c>
      <c r="L262" s="333">
        <f t="shared" si="42"/>
        <v>5710.1785714285716</v>
      </c>
      <c r="M262" s="342">
        <f t="shared" si="43"/>
        <v>5710</v>
      </c>
      <c r="N262" s="343">
        <f t="shared" si="44"/>
        <v>38.958333333333336</v>
      </c>
      <c r="O262" s="343"/>
      <c r="P262" s="343">
        <f t="shared" si="45"/>
        <v>0</v>
      </c>
      <c r="Q262" s="344"/>
      <c r="R262" s="343">
        <f t="shared" si="46"/>
        <v>255.00000000000034</v>
      </c>
      <c r="S262" s="343">
        <f t="shared" si="47"/>
        <v>-3.4106051316484809E-13</v>
      </c>
      <c r="T262" s="343"/>
      <c r="U262" s="343">
        <f t="shared" ca="1" si="37"/>
        <v>1.0000000000000002</v>
      </c>
      <c r="V262" s="345">
        <f t="shared" si="48"/>
        <v>22.392857142857142</v>
      </c>
      <c r="W262" s="186"/>
      <c r="X262" s="207"/>
    </row>
    <row r="263" spans="2:24" x14ac:dyDescent="0.3">
      <c r="B263" s="246">
        <v>256</v>
      </c>
      <c r="C263" s="437">
        <f>B263*MechanicalData!$B$22/360</f>
        <v>39.111111111111114</v>
      </c>
      <c r="D263" s="437">
        <f>MechanicalData!$B$22</f>
        <v>55</v>
      </c>
      <c r="E263" s="248">
        <v>256</v>
      </c>
      <c r="F263" s="453">
        <v>47.771999999999998</v>
      </c>
      <c r="G263" s="437">
        <v>69.998000000000005</v>
      </c>
      <c r="H263" s="339">
        <f t="shared" si="38"/>
        <v>256</v>
      </c>
      <c r="I263" s="451">
        <f t="shared" si="39"/>
        <v>55</v>
      </c>
      <c r="J263" s="340">
        <f t="shared" si="40"/>
        <v>0.15277777777777779</v>
      </c>
      <c r="K263" s="341">
        <f t="shared" si="41"/>
        <v>39.111111111111114</v>
      </c>
      <c r="L263" s="333">
        <f t="shared" si="42"/>
        <v>5732.5714285714284</v>
      </c>
      <c r="M263" s="342">
        <f t="shared" si="43"/>
        <v>5733</v>
      </c>
      <c r="N263" s="343">
        <f t="shared" si="44"/>
        <v>39.111111111111114</v>
      </c>
      <c r="O263" s="343"/>
      <c r="P263" s="343">
        <f t="shared" si="45"/>
        <v>0</v>
      </c>
      <c r="Q263" s="344"/>
      <c r="R263" s="343">
        <f t="shared" si="46"/>
        <v>256.00000000000028</v>
      </c>
      <c r="S263" s="343">
        <f t="shared" si="47"/>
        <v>0</v>
      </c>
      <c r="T263" s="343"/>
      <c r="U263" s="343">
        <f t="shared" ca="1" si="37"/>
        <v>1.0000000000000002</v>
      </c>
      <c r="V263" s="345">
        <f t="shared" si="48"/>
        <v>22.392857142857142</v>
      </c>
      <c r="W263" s="186"/>
      <c r="X263" s="207"/>
    </row>
    <row r="264" spans="2:24" x14ac:dyDescent="0.3">
      <c r="B264" s="246">
        <v>257</v>
      </c>
      <c r="C264" s="437">
        <f>B264*MechanicalData!$B$22/360</f>
        <v>39.263888888888886</v>
      </c>
      <c r="D264" s="437">
        <f>MechanicalData!$B$22</f>
        <v>55</v>
      </c>
      <c r="E264" s="248">
        <v>257</v>
      </c>
      <c r="F264" s="453">
        <v>47.966000000000001</v>
      </c>
      <c r="G264" s="437">
        <v>69.998000000000005</v>
      </c>
      <c r="H264" s="339">
        <f t="shared" si="38"/>
        <v>257</v>
      </c>
      <c r="I264" s="451">
        <f t="shared" si="39"/>
        <v>55</v>
      </c>
      <c r="J264" s="340">
        <f t="shared" si="40"/>
        <v>0.15277777777777779</v>
      </c>
      <c r="K264" s="341">
        <f t="shared" si="41"/>
        <v>39.263888888888886</v>
      </c>
      <c r="L264" s="333">
        <f t="shared" si="42"/>
        <v>5754.9642857142844</v>
      </c>
      <c r="M264" s="342">
        <f t="shared" si="43"/>
        <v>5755</v>
      </c>
      <c r="N264" s="343">
        <f t="shared" si="44"/>
        <v>39.263888888888879</v>
      </c>
      <c r="O264" s="343"/>
      <c r="P264" s="343">
        <f t="shared" si="45"/>
        <v>0</v>
      </c>
      <c r="Q264" s="344"/>
      <c r="R264" s="343">
        <f t="shared" si="46"/>
        <v>257.00000000000028</v>
      </c>
      <c r="S264" s="343">
        <f t="shared" si="47"/>
        <v>0</v>
      </c>
      <c r="T264" s="343"/>
      <c r="U264" s="343">
        <f t="shared" ref="U264:U327" ca="1" si="49">$V264/$Z$9</f>
        <v>1.0000000000000002</v>
      </c>
      <c r="V264" s="345">
        <f t="shared" si="48"/>
        <v>22.392857142857142</v>
      </c>
      <c r="W264" s="186"/>
      <c r="X264" s="207"/>
    </row>
    <row r="265" spans="2:24" x14ac:dyDescent="0.3">
      <c r="B265" s="246">
        <v>258</v>
      </c>
      <c r="C265" s="437">
        <f>B265*MechanicalData!$B$22/360</f>
        <v>39.416666666666664</v>
      </c>
      <c r="D265" s="437">
        <f>MechanicalData!$B$22</f>
        <v>55</v>
      </c>
      <c r="E265" s="248">
        <v>258</v>
      </c>
      <c r="F265" s="453">
        <v>48.161000000000001</v>
      </c>
      <c r="G265" s="437">
        <v>69.998000000000005</v>
      </c>
      <c r="H265" s="339">
        <f t="shared" ref="H265:H299" si="50">B265</f>
        <v>258</v>
      </c>
      <c r="I265" s="451">
        <f t="shared" ref="I265:I299" si="51">D265</f>
        <v>55</v>
      </c>
      <c r="J265" s="340">
        <f t="shared" ref="J265:J299" si="52">I265/360</f>
        <v>0.15277777777777779</v>
      </c>
      <c r="K265" s="341">
        <f t="shared" ref="K265:K299" si="53">C265</f>
        <v>39.416666666666664</v>
      </c>
      <c r="L265" s="333">
        <f t="shared" ref="L265:L299" si="54">K265/$Z$7*360</f>
        <v>5777.3571428571422</v>
      </c>
      <c r="M265" s="342">
        <f t="shared" ref="M265:M299" si="55">ROUND(L265, 0)</f>
        <v>5777</v>
      </c>
      <c r="N265" s="343">
        <f t="shared" ref="N265:N299" si="56">InterpolXY(L265,$Y$22:$Y$31,$X$22:$X$31)</f>
        <v>39.416666666666657</v>
      </c>
      <c r="O265" s="343"/>
      <c r="P265" s="343">
        <f t="shared" ref="P265:P299" si="57">K265-N265</f>
        <v>0</v>
      </c>
      <c r="Q265" s="344"/>
      <c r="R265" s="343">
        <f t="shared" ref="R265:R299" si="58">InterpolXY(L265,$Y$22:$Y$31,$AC$22:$AC$31)</f>
        <v>258.00000000000028</v>
      </c>
      <c r="S265" s="343">
        <f t="shared" ref="S265:S299" si="59">H265-R265</f>
        <v>0</v>
      </c>
      <c r="T265" s="343"/>
      <c r="U265" s="343">
        <f t="shared" ca="1" si="49"/>
        <v>1.0000000000000002</v>
      </c>
      <c r="V265" s="345">
        <f t="shared" ref="V265:V328" si="60">$I265/$Z$7</f>
        <v>22.392857142857142</v>
      </c>
      <c r="W265" s="186"/>
      <c r="X265" s="207"/>
    </row>
    <row r="266" spans="2:24" x14ac:dyDescent="0.3">
      <c r="B266" s="246">
        <v>259</v>
      </c>
      <c r="C266" s="437">
        <f>B266*MechanicalData!$B$22/360</f>
        <v>39.569444444444443</v>
      </c>
      <c r="D266" s="437">
        <f>MechanicalData!$B$22</f>
        <v>55</v>
      </c>
      <c r="E266" s="248">
        <v>259</v>
      </c>
      <c r="F266" s="453">
        <v>48.354999999999997</v>
      </c>
      <c r="G266" s="437">
        <v>69.998000000000005</v>
      </c>
      <c r="H266" s="339">
        <f t="shared" si="50"/>
        <v>259</v>
      </c>
      <c r="I266" s="451">
        <f t="shared" si="51"/>
        <v>55</v>
      </c>
      <c r="J266" s="340">
        <f t="shared" si="52"/>
        <v>0.15277777777777779</v>
      </c>
      <c r="K266" s="341">
        <f t="shared" si="53"/>
        <v>39.569444444444443</v>
      </c>
      <c r="L266" s="333">
        <f t="shared" si="54"/>
        <v>5799.75</v>
      </c>
      <c r="M266" s="342">
        <f t="shared" si="55"/>
        <v>5800</v>
      </c>
      <c r="N266" s="343">
        <f t="shared" si="56"/>
        <v>39.569444444444443</v>
      </c>
      <c r="O266" s="343"/>
      <c r="P266" s="343">
        <f t="shared" si="57"/>
        <v>0</v>
      </c>
      <c r="Q266" s="344"/>
      <c r="R266" s="343">
        <f t="shared" si="58"/>
        <v>259.00000000000034</v>
      </c>
      <c r="S266" s="343">
        <f t="shared" si="59"/>
        <v>0</v>
      </c>
      <c r="T266" s="343"/>
      <c r="U266" s="343">
        <f t="shared" ca="1" si="49"/>
        <v>1.0000000000000002</v>
      </c>
      <c r="V266" s="345">
        <f t="shared" si="60"/>
        <v>22.392857142857142</v>
      </c>
      <c r="W266" s="186"/>
      <c r="X266" s="207"/>
    </row>
    <row r="267" spans="2:24" x14ac:dyDescent="0.3">
      <c r="B267" s="246">
        <v>260</v>
      </c>
      <c r="C267" s="437">
        <f>B267*MechanicalData!$B$22/360</f>
        <v>39.722222222222221</v>
      </c>
      <c r="D267" s="437">
        <f>MechanicalData!$B$22</f>
        <v>55</v>
      </c>
      <c r="E267" s="248">
        <v>260</v>
      </c>
      <c r="F267" s="453">
        <v>48.548999999999999</v>
      </c>
      <c r="G267" s="437">
        <v>69.998000000000005</v>
      </c>
      <c r="H267" s="339">
        <f t="shared" si="50"/>
        <v>260</v>
      </c>
      <c r="I267" s="451">
        <f t="shared" si="51"/>
        <v>55</v>
      </c>
      <c r="J267" s="340">
        <f t="shared" si="52"/>
        <v>0.15277777777777779</v>
      </c>
      <c r="K267" s="341">
        <f t="shared" si="53"/>
        <v>39.722222222222221</v>
      </c>
      <c r="L267" s="333">
        <f t="shared" si="54"/>
        <v>5822.1428571428569</v>
      </c>
      <c r="M267" s="342">
        <f t="shared" si="55"/>
        <v>5822</v>
      </c>
      <c r="N267" s="343">
        <f t="shared" si="56"/>
        <v>39.722222222222221</v>
      </c>
      <c r="O267" s="343"/>
      <c r="P267" s="343">
        <f t="shared" si="57"/>
        <v>0</v>
      </c>
      <c r="Q267" s="344"/>
      <c r="R267" s="343">
        <f t="shared" si="58"/>
        <v>260.00000000000028</v>
      </c>
      <c r="S267" s="343">
        <f t="shared" si="59"/>
        <v>0</v>
      </c>
      <c r="T267" s="343"/>
      <c r="U267" s="343">
        <f t="shared" ca="1" si="49"/>
        <v>1.0000000000000002</v>
      </c>
      <c r="V267" s="345">
        <f t="shared" si="60"/>
        <v>22.392857142857142</v>
      </c>
      <c r="W267" s="207"/>
      <c r="X267" s="207"/>
    </row>
    <row r="268" spans="2:24" x14ac:dyDescent="0.3">
      <c r="B268" s="246">
        <v>261</v>
      </c>
      <c r="C268" s="437">
        <f>B268*MechanicalData!$B$22/360</f>
        <v>39.875</v>
      </c>
      <c r="D268" s="437">
        <f>MechanicalData!$B$22</f>
        <v>55</v>
      </c>
      <c r="E268" s="248">
        <v>261</v>
      </c>
      <c r="F268" s="453">
        <v>48.744</v>
      </c>
      <c r="G268" s="437">
        <v>69.998000000000005</v>
      </c>
      <c r="H268" s="339">
        <f t="shared" si="50"/>
        <v>261</v>
      </c>
      <c r="I268" s="451">
        <f t="shared" si="51"/>
        <v>55</v>
      </c>
      <c r="J268" s="340">
        <f t="shared" si="52"/>
        <v>0.15277777777777779</v>
      </c>
      <c r="K268" s="341">
        <f t="shared" si="53"/>
        <v>39.875</v>
      </c>
      <c r="L268" s="333">
        <f t="shared" si="54"/>
        <v>5844.5357142857147</v>
      </c>
      <c r="M268" s="342">
        <f t="shared" si="55"/>
        <v>5845</v>
      </c>
      <c r="N268" s="343">
        <f t="shared" si="56"/>
        <v>39.875</v>
      </c>
      <c r="O268" s="343"/>
      <c r="P268" s="343">
        <f t="shared" si="57"/>
        <v>0</v>
      </c>
      <c r="Q268" s="344"/>
      <c r="R268" s="343">
        <f t="shared" si="58"/>
        <v>261.00000000000034</v>
      </c>
      <c r="S268" s="343">
        <f t="shared" si="59"/>
        <v>0</v>
      </c>
      <c r="T268" s="343"/>
      <c r="U268" s="343">
        <f t="shared" ca="1" si="49"/>
        <v>1.0000000000000002</v>
      </c>
      <c r="V268" s="345">
        <f t="shared" si="60"/>
        <v>22.392857142857142</v>
      </c>
      <c r="W268" s="207"/>
      <c r="X268" s="207"/>
    </row>
    <row r="269" spans="2:24" x14ac:dyDescent="0.3">
      <c r="B269" s="246">
        <v>262</v>
      </c>
      <c r="C269" s="437">
        <f>B269*MechanicalData!$B$22/360</f>
        <v>40.027777777777779</v>
      </c>
      <c r="D269" s="437">
        <f>MechanicalData!$B$22</f>
        <v>55</v>
      </c>
      <c r="E269" s="248">
        <v>262</v>
      </c>
      <c r="F269" s="453">
        <v>48.938000000000002</v>
      </c>
      <c r="G269" s="437">
        <v>69.998000000000005</v>
      </c>
      <c r="H269" s="339">
        <f t="shared" si="50"/>
        <v>262</v>
      </c>
      <c r="I269" s="451">
        <f t="shared" si="51"/>
        <v>55</v>
      </c>
      <c r="J269" s="340">
        <f t="shared" si="52"/>
        <v>0.15277777777777779</v>
      </c>
      <c r="K269" s="341">
        <f t="shared" si="53"/>
        <v>40.027777777777779</v>
      </c>
      <c r="L269" s="333">
        <f t="shared" si="54"/>
        <v>5866.9285714285716</v>
      </c>
      <c r="M269" s="342">
        <f t="shared" si="55"/>
        <v>5867</v>
      </c>
      <c r="N269" s="343">
        <f t="shared" si="56"/>
        <v>40.027777777777779</v>
      </c>
      <c r="O269" s="343"/>
      <c r="P269" s="343">
        <f t="shared" si="57"/>
        <v>0</v>
      </c>
      <c r="Q269" s="344"/>
      <c r="R269" s="343">
        <f t="shared" si="58"/>
        <v>262.00000000000034</v>
      </c>
      <c r="S269" s="343">
        <f t="shared" si="59"/>
        <v>0</v>
      </c>
      <c r="T269" s="343"/>
      <c r="U269" s="343">
        <f t="shared" ca="1" si="49"/>
        <v>1.0000000000000002</v>
      </c>
      <c r="V269" s="345">
        <f t="shared" si="60"/>
        <v>22.392857142857142</v>
      </c>
      <c r="W269" s="207"/>
      <c r="X269" s="207"/>
    </row>
    <row r="270" spans="2:24" x14ac:dyDescent="0.3">
      <c r="B270" s="246">
        <v>263</v>
      </c>
      <c r="C270" s="437">
        <f>B270*MechanicalData!$B$22/360</f>
        <v>40.180555555555557</v>
      </c>
      <c r="D270" s="437">
        <f>MechanicalData!$B$22</f>
        <v>55</v>
      </c>
      <c r="E270" s="248">
        <v>263</v>
      </c>
      <c r="F270" s="453">
        <v>49.133000000000003</v>
      </c>
      <c r="G270" s="437">
        <v>69.998000000000005</v>
      </c>
      <c r="H270" s="339">
        <f t="shared" si="50"/>
        <v>263</v>
      </c>
      <c r="I270" s="451">
        <f t="shared" si="51"/>
        <v>55</v>
      </c>
      <c r="J270" s="340">
        <f t="shared" si="52"/>
        <v>0.15277777777777779</v>
      </c>
      <c r="K270" s="341">
        <f t="shared" si="53"/>
        <v>40.180555555555557</v>
      </c>
      <c r="L270" s="333">
        <f t="shared" si="54"/>
        <v>5889.3214285714284</v>
      </c>
      <c r="M270" s="342">
        <f t="shared" si="55"/>
        <v>5889</v>
      </c>
      <c r="N270" s="343">
        <f t="shared" si="56"/>
        <v>40.180555555555557</v>
      </c>
      <c r="O270" s="343"/>
      <c r="P270" s="343">
        <f t="shared" si="57"/>
        <v>0</v>
      </c>
      <c r="Q270" s="344"/>
      <c r="R270" s="343">
        <f t="shared" si="58"/>
        <v>263.00000000000034</v>
      </c>
      <c r="S270" s="343">
        <f t="shared" si="59"/>
        <v>0</v>
      </c>
      <c r="T270" s="343"/>
      <c r="U270" s="343">
        <f t="shared" ca="1" si="49"/>
        <v>1.0000000000000002</v>
      </c>
      <c r="V270" s="345">
        <f t="shared" si="60"/>
        <v>22.392857142857142</v>
      </c>
      <c r="W270" s="207"/>
      <c r="X270" s="207"/>
    </row>
    <row r="271" spans="2:24" x14ac:dyDescent="0.3">
      <c r="B271" s="246">
        <v>264</v>
      </c>
      <c r="C271" s="437">
        <f>B271*MechanicalData!$B$22/360</f>
        <v>40.333333333333336</v>
      </c>
      <c r="D271" s="437">
        <f>MechanicalData!$B$22</f>
        <v>55</v>
      </c>
      <c r="E271" s="248">
        <v>264</v>
      </c>
      <c r="F271" s="453">
        <v>49.326999999999998</v>
      </c>
      <c r="G271" s="437">
        <v>69.998000000000005</v>
      </c>
      <c r="H271" s="339">
        <f t="shared" si="50"/>
        <v>264</v>
      </c>
      <c r="I271" s="451">
        <f t="shared" si="51"/>
        <v>55</v>
      </c>
      <c r="J271" s="340">
        <f t="shared" si="52"/>
        <v>0.15277777777777779</v>
      </c>
      <c r="K271" s="341">
        <f t="shared" si="53"/>
        <v>40.333333333333336</v>
      </c>
      <c r="L271" s="333">
        <f t="shared" si="54"/>
        <v>5911.7142857142853</v>
      </c>
      <c r="M271" s="342">
        <f t="shared" si="55"/>
        <v>5912</v>
      </c>
      <c r="N271" s="343">
        <f t="shared" si="56"/>
        <v>40.333333333333321</v>
      </c>
      <c r="O271" s="343"/>
      <c r="P271" s="343">
        <f t="shared" si="57"/>
        <v>0</v>
      </c>
      <c r="Q271" s="344"/>
      <c r="R271" s="343">
        <f t="shared" si="58"/>
        <v>264.00000000000028</v>
      </c>
      <c r="S271" s="343">
        <f t="shared" si="59"/>
        <v>0</v>
      </c>
      <c r="T271" s="343"/>
      <c r="U271" s="343">
        <f t="shared" ca="1" si="49"/>
        <v>1.0000000000000002</v>
      </c>
      <c r="V271" s="345">
        <f t="shared" si="60"/>
        <v>22.392857142857142</v>
      </c>
      <c r="W271" s="207"/>
      <c r="X271" s="207"/>
    </row>
    <row r="272" spans="2:24" x14ac:dyDescent="0.3">
      <c r="B272" s="246">
        <v>265</v>
      </c>
      <c r="C272" s="437">
        <f>B272*MechanicalData!$B$22/360</f>
        <v>40.486111111111114</v>
      </c>
      <c r="D272" s="437">
        <f>MechanicalData!$B$22</f>
        <v>55</v>
      </c>
      <c r="E272" s="248">
        <v>265</v>
      </c>
      <c r="F272" s="453">
        <v>49.521999999999998</v>
      </c>
      <c r="G272" s="437">
        <v>69.998000000000005</v>
      </c>
      <c r="H272" s="339">
        <f t="shared" si="50"/>
        <v>265</v>
      </c>
      <c r="I272" s="451">
        <f t="shared" si="51"/>
        <v>55</v>
      </c>
      <c r="J272" s="340">
        <f t="shared" si="52"/>
        <v>0.15277777777777779</v>
      </c>
      <c r="K272" s="341">
        <f t="shared" si="53"/>
        <v>40.486111111111114</v>
      </c>
      <c r="L272" s="333">
        <f t="shared" si="54"/>
        <v>5934.1071428571431</v>
      </c>
      <c r="M272" s="342">
        <f t="shared" si="55"/>
        <v>5934</v>
      </c>
      <c r="N272" s="343">
        <f t="shared" si="56"/>
        <v>40.486111111111114</v>
      </c>
      <c r="O272" s="343"/>
      <c r="P272" s="343">
        <f t="shared" si="57"/>
        <v>0</v>
      </c>
      <c r="Q272" s="344"/>
      <c r="R272" s="343">
        <f t="shared" si="58"/>
        <v>265.00000000000034</v>
      </c>
      <c r="S272" s="343">
        <f t="shared" si="59"/>
        <v>0</v>
      </c>
      <c r="T272" s="343"/>
      <c r="U272" s="343">
        <f t="shared" ca="1" si="49"/>
        <v>1.0000000000000002</v>
      </c>
      <c r="V272" s="345">
        <f t="shared" si="60"/>
        <v>22.392857142857142</v>
      </c>
      <c r="W272" s="207"/>
      <c r="X272" s="207"/>
    </row>
    <row r="273" spans="2:24" x14ac:dyDescent="0.3">
      <c r="B273" s="246">
        <v>266</v>
      </c>
      <c r="C273" s="437">
        <f>B273*MechanicalData!$B$22/360</f>
        <v>40.638888888888886</v>
      </c>
      <c r="D273" s="437">
        <f>MechanicalData!$B$22</f>
        <v>55</v>
      </c>
      <c r="E273" s="248">
        <v>266</v>
      </c>
      <c r="F273" s="453">
        <v>49.716000000000001</v>
      </c>
      <c r="G273" s="437">
        <v>69.998000000000005</v>
      </c>
      <c r="H273" s="339">
        <f t="shared" si="50"/>
        <v>266</v>
      </c>
      <c r="I273" s="451">
        <f t="shared" si="51"/>
        <v>55</v>
      </c>
      <c r="J273" s="340">
        <f t="shared" si="52"/>
        <v>0.15277777777777779</v>
      </c>
      <c r="K273" s="341">
        <f t="shared" si="53"/>
        <v>40.638888888888886</v>
      </c>
      <c r="L273" s="333">
        <f t="shared" si="54"/>
        <v>5956.4999999999991</v>
      </c>
      <c r="M273" s="342">
        <f t="shared" si="55"/>
        <v>5957</v>
      </c>
      <c r="N273" s="343">
        <f t="shared" si="56"/>
        <v>40.638888888888886</v>
      </c>
      <c r="O273" s="343"/>
      <c r="P273" s="343">
        <f t="shared" si="57"/>
        <v>0</v>
      </c>
      <c r="Q273" s="344"/>
      <c r="R273" s="343">
        <f t="shared" si="58"/>
        <v>266.00000000000028</v>
      </c>
      <c r="S273" s="343">
        <f t="shared" si="59"/>
        <v>0</v>
      </c>
      <c r="T273" s="343"/>
      <c r="U273" s="343">
        <f t="shared" ca="1" si="49"/>
        <v>1.0000000000000002</v>
      </c>
      <c r="V273" s="345">
        <f t="shared" si="60"/>
        <v>22.392857142857142</v>
      </c>
      <c r="W273" s="207"/>
      <c r="X273" s="207"/>
    </row>
    <row r="274" spans="2:24" x14ac:dyDescent="0.3">
      <c r="B274" s="246">
        <v>267</v>
      </c>
      <c r="C274" s="437">
        <f>B274*MechanicalData!$B$22/360</f>
        <v>40.791666666666664</v>
      </c>
      <c r="D274" s="437">
        <f>MechanicalData!$B$22</f>
        <v>55</v>
      </c>
      <c r="E274" s="248">
        <v>267</v>
      </c>
      <c r="F274" s="453">
        <v>49.911000000000001</v>
      </c>
      <c r="G274" s="437">
        <v>69.998000000000005</v>
      </c>
      <c r="H274" s="339">
        <f t="shared" si="50"/>
        <v>267</v>
      </c>
      <c r="I274" s="451">
        <f t="shared" si="51"/>
        <v>55</v>
      </c>
      <c r="J274" s="340">
        <f t="shared" si="52"/>
        <v>0.15277777777777779</v>
      </c>
      <c r="K274" s="341">
        <f t="shared" si="53"/>
        <v>40.791666666666664</v>
      </c>
      <c r="L274" s="333">
        <f t="shared" si="54"/>
        <v>5978.8928571428569</v>
      </c>
      <c r="M274" s="342">
        <f t="shared" si="55"/>
        <v>5979</v>
      </c>
      <c r="N274" s="343">
        <f t="shared" si="56"/>
        <v>40.791666666666664</v>
      </c>
      <c r="O274" s="343"/>
      <c r="P274" s="343">
        <f t="shared" si="57"/>
        <v>0</v>
      </c>
      <c r="Q274" s="344"/>
      <c r="R274" s="343">
        <f t="shared" si="58"/>
        <v>267.00000000000034</v>
      </c>
      <c r="S274" s="343">
        <f t="shared" si="59"/>
        <v>0</v>
      </c>
      <c r="T274" s="343"/>
      <c r="U274" s="343">
        <f t="shared" ca="1" si="49"/>
        <v>1.0000000000000002</v>
      </c>
      <c r="V274" s="345">
        <f t="shared" si="60"/>
        <v>22.392857142857142</v>
      </c>
      <c r="W274" s="207"/>
      <c r="X274" s="207"/>
    </row>
    <row r="275" spans="2:24" x14ac:dyDescent="0.3">
      <c r="B275" s="246">
        <v>268</v>
      </c>
      <c r="C275" s="437">
        <f>B275*MechanicalData!$B$22/360</f>
        <v>40.944444444444443</v>
      </c>
      <c r="D275" s="437">
        <f>MechanicalData!$B$22</f>
        <v>55</v>
      </c>
      <c r="E275" s="248">
        <v>268</v>
      </c>
      <c r="F275" s="453">
        <v>50.104999999999997</v>
      </c>
      <c r="G275" s="437">
        <v>69.998000000000005</v>
      </c>
      <c r="H275" s="339">
        <f t="shared" si="50"/>
        <v>268</v>
      </c>
      <c r="I275" s="451">
        <f t="shared" si="51"/>
        <v>55</v>
      </c>
      <c r="J275" s="340">
        <f t="shared" si="52"/>
        <v>0.15277777777777779</v>
      </c>
      <c r="K275" s="341">
        <f t="shared" si="53"/>
        <v>40.944444444444443</v>
      </c>
      <c r="L275" s="333">
        <f t="shared" si="54"/>
        <v>6001.2857142857138</v>
      </c>
      <c r="M275" s="342">
        <f t="shared" si="55"/>
        <v>6001</v>
      </c>
      <c r="N275" s="343">
        <f t="shared" si="56"/>
        <v>40.944444444444443</v>
      </c>
      <c r="O275" s="343"/>
      <c r="P275" s="343">
        <f t="shared" si="57"/>
        <v>0</v>
      </c>
      <c r="Q275" s="344"/>
      <c r="R275" s="343">
        <f t="shared" si="58"/>
        <v>268.00000000000028</v>
      </c>
      <c r="S275" s="343">
        <f t="shared" si="59"/>
        <v>0</v>
      </c>
      <c r="T275" s="343"/>
      <c r="U275" s="343">
        <f t="shared" ca="1" si="49"/>
        <v>1.0000000000000002</v>
      </c>
      <c r="V275" s="345">
        <f t="shared" si="60"/>
        <v>22.392857142857142</v>
      </c>
      <c r="W275" s="207"/>
      <c r="X275" s="207"/>
    </row>
    <row r="276" spans="2:24" x14ac:dyDescent="0.3">
      <c r="B276" s="246">
        <v>269</v>
      </c>
      <c r="C276" s="437">
        <f>B276*MechanicalData!$B$22/360</f>
        <v>41.097222222222221</v>
      </c>
      <c r="D276" s="437">
        <f>MechanicalData!$B$22</f>
        <v>55</v>
      </c>
      <c r="E276" s="248">
        <v>269</v>
      </c>
      <c r="F276" s="453">
        <v>50.298999999999999</v>
      </c>
      <c r="G276" s="437">
        <v>69.998000000000005</v>
      </c>
      <c r="H276" s="339">
        <f t="shared" si="50"/>
        <v>269</v>
      </c>
      <c r="I276" s="451">
        <f t="shared" si="51"/>
        <v>55</v>
      </c>
      <c r="J276" s="340">
        <f t="shared" si="52"/>
        <v>0.15277777777777779</v>
      </c>
      <c r="K276" s="341">
        <f t="shared" si="53"/>
        <v>41.097222222222221</v>
      </c>
      <c r="L276" s="333">
        <f t="shared" si="54"/>
        <v>6023.6785714285716</v>
      </c>
      <c r="M276" s="342">
        <f t="shared" si="55"/>
        <v>6024</v>
      </c>
      <c r="N276" s="343">
        <f t="shared" si="56"/>
        <v>41.097222222222221</v>
      </c>
      <c r="O276" s="343"/>
      <c r="P276" s="343">
        <f t="shared" si="57"/>
        <v>0</v>
      </c>
      <c r="Q276" s="344"/>
      <c r="R276" s="343">
        <f t="shared" si="58"/>
        <v>269.00000000000034</v>
      </c>
      <c r="S276" s="343">
        <f t="shared" si="59"/>
        <v>0</v>
      </c>
      <c r="T276" s="343"/>
      <c r="U276" s="343">
        <f t="shared" ca="1" si="49"/>
        <v>1.0000000000000002</v>
      </c>
      <c r="V276" s="345">
        <f t="shared" si="60"/>
        <v>22.392857142857142</v>
      </c>
      <c r="W276" s="207"/>
      <c r="X276" s="207"/>
    </row>
    <row r="277" spans="2:24" x14ac:dyDescent="0.3">
      <c r="B277" s="246">
        <v>270</v>
      </c>
      <c r="C277" s="437">
        <f>B277*MechanicalData!$B$22/360</f>
        <v>41.25</v>
      </c>
      <c r="D277" s="437">
        <f>MechanicalData!$B$22</f>
        <v>55</v>
      </c>
      <c r="E277" s="248">
        <v>270</v>
      </c>
      <c r="F277" s="453">
        <v>50.494</v>
      </c>
      <c r="G277" s="437">
        <v>69.998000000000005</v>
      </c>
      <c r="H277" s="339">
        <f t="shared" si="50"/>
        <v>270</v>
      </c>
      <c r="I277" s="451">
        <f t="shared" si="51"/>
        <v>55</v>
      </c>
      <c r="J277" s="340">
        <f t="shared" si="52"/>
        <v>0.15277777777777779</v>
      </c>
      <c r="K277" s="341">
        <f t="shared" si="53"/>
        <v>41.25</v>
      </c>
      <c r="L277" s="333">
        <f t="shared" si="54"/>
        <v>6046.0714285714284</v>
      </c>
      <c r="M277" s="342">
        <f t="shared" si="55"/>
        <v>6046</v>
      </c>
      <c r="N277" s="343">
        <f t="shared" si="56"/>
        <v>41.25</v>
      </c>
      <c r="O277" s="343"/>
      <c r="P277" s="343">
        <f t="shared" si="57"/>
        <v>0</v>
      </c>
      <c r="Q277" s="344"/>
      <c r="R277" s="343">
        <f t="shared" si="58"/>
        <v>270.00000000000034</v>
      </c>
      <c r="S277" s="343">
        <f t="shared" si="59"/>
        <v>0</v>
      </c>
      <c r="T277" s="343"/>
      <c r="U277" s="343">
        <f t="shared" ca="1" si="49"/>
        <v>1.0000000000000002</v>
      </c>
      <c r="V277" s="345">
        <f t="shared" si="60"/>
        <v>22.392857142857142</v>
      </c>
      <c r="W277" s="207"/>
      <c r="X277" s="207"/>
    </row>
    <row r="278" spans="2:24" x14ac:dyDescent="0.3">
      <c r="B278" s="246">
        <v>271</v>
      </c>
      <c r="C278" s="437">
        <f>B278*MechanicalData!$B$22/360</f>
        <v>41.402777777777779</v>
      </c>
      <c r="D278" s="437">
        <f>MechanicalData!$B$22</f>
        <v>55</v>
      </c>
      <c r="E278" s="248">
        <v>271</v>
      </c>
      <c r="F278" s="453">
        <v>50.688000000000002</v>
      </c>
      <c r="G278" s="437">
        <v>69.998000000000005</v>
      </c>
      <c r="H278" s="339">
        <f t="shared" si="50"/>
        <v>271</v>
      </c>
      <c r="I278" s="451">
        <f t="shared" si="51"/>
        <v>55</v>
      </c>
      <c r="J278" s="340">
        <f t="shared" si="52"/>
        <v>0.15277777777777779</v>
      </c>
      <c r="K278" s="341">
        <f t="shared" si="53"/>
        <v>41.402777777777779</v>
      </c>
      <c r="L278" s="333">
        <f t="shared" si="54"/>
        <v>6068.4642857142862</v>
      </c>
      <c r="M278" s="342">
        <f t="shared" si="55"/>
        <v>6068</v>
      </c>
      <c r="N278" s="343">
        <f t="shared" si="56"/>
        <v>41.402777777777779</v>
      </c>
      <c r="O278" s="343"/>
      <c r="P278" s="343">
        <f t="shared" si="57"/>
        <v>0</v>
      </c>
      <c r="Q278" s="344"/>
      <c r="R278" s="343">
        <f t="shared" si="58"/>
        <v>271.0000000000004</v>
      </c>
      <c r="S278" s="343">
        <f t="shared" si="59"/>
        <v>0</v>
      </c>
      <c r="T278" s="343"/>
      <c r="U278" s="343">
        <f t="shared" ca="1" si="49"/>
        <v>1.0000000000000002</v>
      </c>
      <c r="V278" s="345">
        <f t="shared" si="60"/>
        <v>22.392857142857142</v>
      </c>
      <c r="W278" s="207"/>
      <c r="X278" s="207"/>
    </row>
    <row r="279" spans="2:24" x14ac:dyDescent="0.3">
      <c r="B279" s="246">
        <v>272</v>
      </c>
      <c r="C279" s="437">
        <f>B279*MechanicalData!$B$22/360</f>
        <v>41.555555555555557</v>
      </c>
      <c r="D279" s="437">
        <f>MechanicalData!$B$22</f>
        <v>55</v>
      </c>
      <c r="E279" s="248">
        <v>272</v>
      </c>
      <c r="F279" s="453">
        <v>50.883000000000003</v>
      </c>
      <c r="G279" s="437">
        <v>69.998000000000005</v>
      </c>
      <c r="H279" s="339">
        <f t="shared" si="50"/>
        <v>272</v>
      </c>
      <c r="I279" s="451">
        <f t="shared" si="51"/>
        <v>55</v>
      </c>
      <c r="J279" s="340">
        <f t="shared" si="52"/>
        <v>0.15277777777777779</v>
      </c>
      <c r="K279" s="341">
        <f t="shared" si="53"/>
        <v>41.555555555555557</v>
      </c>
      <c r="L279" s="333">
        <f t="shared" si="54"/>
        <v>6090.8571428571422</v>
      </c>
      <c r="M279" s="342">
        <f t="shared" si="55"/>
        <v>6091</v>
      </c>
      <c r="N279" s="343">
        <f t="shared" si="56"/>
        <v>41.555555555555543</v>
      </c>
      <c r="O279" s="343"/>
      <c r="P279" s="343">
        <f t="shared" si="57"/>
        <v>0</v>
      </c>
      <c r="Q279" s="344"/>
      <c r="R279" s="343">
        <f t="shared" si="58"/>
        <v>272.00000000000034</v>
      </c>
      <c r="S279" s="343">
        <f t="shared" si="59"/>
        <v>0</v>
      </c>
      <c r="T279" s="343"/>
      <c r="U279" s="343">
        <f t="shared" ca="1" si="49"/>
        <v>1.0000000000000002</v>
      </c>
      <c r="V279" s="345">
        <f t="shared" si="60"/>
        <v>22.392857142857142</v>
      </c>
      <c r="W279" s="207"/>
      <c r="X279" s="207"/>
    </row>
    <row r="280" spans="2:24" x14ac:dyDescent="0.3">
      <c r="B280" s="246">
        <v>273</v>
      </c>
      <c r="C280" s="437">
        <f>B280*MechanicalData!$B$22/360</f>
        <v>41.708333333333336</v>
      </c>
      <c r="D280" s="437">
        <f>MechanicalData!$B$22</f>
        <v>55</v>
      </c>
      <c r="E280" s="248">
        <v>273</v>
      </c>
      <c r="F280" s="453">
        <v>51.076999999999998</v>
      </c>
      <c r="G280" s="437">
        <v>69.998000000000005</v>
      </c>
      <c r="H280" s="339">
        <f t="shared" si="50"/>
        <v>273</v>
      </c>
      <c r="I280" s="451">
        <f t="shared" si="51"/>
        <v>55</v>
      </c>
      <c r="J280" s="340">
        <f t="shared" si="52"/>
        <v>0.15277777777777779</v>
      </c>
      <c r="K280" s="341">
        <f t="shared" si="53"/>
        <v>41.708333333333336</v>
      </c>
      <c r="L280" s="333">
        <f t="shared" si="54"/>
        <v>6113.25</v>
      </c>
      <c r="M280" s="342">
        <f t="shared" si="55"/>
        <v>6113</v>
      </c>
      <c r="N280" s="343">
        <f t="shared" si="56"/>
        <v>41.708333333333336</v>
      </c>
      <c r="O280" s="343"/>
      <c r="P280" s="343">
        <f t="shared" si="57"/>
        <v>0</v>
      </c>
      <c r="Q280" s="344"/>
      <c r="R280" s="343">
        <f t="shared" si="58"/>
        <v>273.00000000000034</v>
      </c>
      <c r="S280" s="343">
        <f t="shared" si="59"/>
        <v>0</v>
      </c>
      <c r="T280" s="343"/>
      <c r="U280" s="343">
        <f t="shared" ca="1" si="49"/>
        <v>1.0000000000000002</v>
      </c>
      <c r="V280" s="345">
        <f t="shared" si="60"/>
        <v>22.392857142857142</v>
      </c>
      <c r="W280" s="207"/>
      <c r="X280" s="207"/>
    </row>
    <row r="281" spans="2:24" x14ac:dyDescent="0.3">
      <c r="B281" s="246">
        <v>274</v>
      </c>
      <c r="C281" s="437">
        <f>B281*MechanicalData!$B$22/360</f>
        <v>41.861111111111114</v>
      </c>
      <c r="D281" s="437">
        <f>MechanicalData!$B$22</f>
        <v>55</v>
      </c>
      <c r="E281" s="248">
        <v>274</v>
      </c>
      <c r="F281" s="453">
        <v>51.271999999999998</v>
      </c>
      <c r="G281" s="437">
        <v>69.998000000000005</v>
      </c>
      <c r="H281" s="339">
        <f t="shared" si="50"/>
        <v>274</v>
      </c>
      <c r="I281" s="451">
        <f t="shared" si="51"/>
        <v>55</v>
      </c>
      <c r="J281" s="340">
        <f t="shared" si="52"/>
        <v>0.15277777777777779</v>
      </c>
      <c r="K281" s="341">
        <f t="shared" si="53"/>
        <v>41.861111111111114</v>
      </c>
      <c r="L281" s="333">
        <f t="shared" si="54"/>
        <v>6135.6428571428569</v>
      </c>
      <c r="M281" s="342">
        <f t="shared" si="55"/>
        <v>6136</v>
      </c>
      <c r="N281" s="343">
        <f t="shared" si="56"/>
        <v>41.861111111111107</v>
      </c>
      <c r="O281" s="343"/>
      <c r="P281" s="343">
        <f t="shared" si="57"/>
        <v>0</v>
      </c>
      <c r="Q281" s="344"/>
      <c r="R281" s="343">
        <f t="shared" si="58"/>
        <v>274.00000000000034</v>
      </c>
      <c r="S281" s="343">
        <f t="shared" si="59"/>
        <v>0</v>
      </c>
      <c r="T281" s="343"/>
      <c r="U281" s="343">
        <f t="shared" ca="1" si="49"/>
        <v>1.0000000000000002</v>
      </c>
      <c r="V281" s="345">
        <f t="shared" si="60"/>
        <v>22.392857142857142</v>
      </c>
      <c r="W281" s="207"/>
      <c r="X281" s="207"/>
    </row>
    <row r="282" spans="2:24" x14ac:dyDescent="0.3">
      <c r="B282" s="246">
        <v>275</v>
      </c>
      <c r="C282" s="437">
        <f>B282*MechanicalData!$B$22/360</f>
        <v>42.013888888888886</v>
      </c>
      <c r="D282" s="437">
        <f>MechanicalData!$B$22</f>
        <v>55</v>
      </c>
      <c r="E282" s="248">
        <v>275</v>
      </c>
      <c r="F282" s="453">
        <v>51.466000000000001</v>
      </c>
      <c r="G282" s="437">
        <v>69.998000000000005</v>
      </c>
      <c r="H282" s="339">
        <f t="shared" si="50"/>
        <v>275</v>
      </c>
      <c r="I282" s="451">
        <f t="shared" si="51"/>
        <v>55</v>
      </c>
      <c r="J282" s="340">
        <f t="shared" si="52"/>
        <v>0.15277777777777779</v>
      </c>
      <c r="K282" s="341">
        <f t="shared" si="53"/>
        <v>42.013888888888886</v>
      </c>
      <c r="L282" s="333">
        <f t="shared" si="54"/>
        <v>6158.0357142857138</v>
      </c>
      <c r="M282" s="342">
        <f t="shared" si="55"/>
        <v>6158</v>
      </c>
      <c r="N282" s="343">
        <f t="shared" si="56"/>
        <v>42.013888888888886</v>
      </c>
      <c r="O282" s="343"/>
      <c r="P282" s="343">
        <f t="shared" si="57"/>
        <v>0</v>
      </c>
      <c r="Q282" s="344"/>
      <c r="R282" s="343">
        <f t="shared" si="58"/>
        <v>275.00000000000028</v>
      </c>
      <c r="S282" s="343">
        <f t="shared" si="59"/>
        <v>0</v>
      </c>
      <c r="T282" s="343"/>
      <c r="U282" s="343">
        <f t="shared" ca="1" si="49"/>
        <v>1.0000000000000002</v>
      </c>
      <c r="V282" s="345">
        <f t="shared" si="60"/>
        <v>22.392857142857142</v>
      </c>
      <c r="W282" s="207"/>
      <c r="X282" s="207"/>
    </row>
    <row r="283" spans="2:24" x14ac:dyDescent="0.3">
      <c r="B283" s="246">
        <v>276</v>
      </c>
      <c r="C283" s="437">
        <f>B283*MechanicalData!$B$22/360</f>
        <v>42.166666666666664</v>
      </c>
      <c r="D283" s="437">
        <f>MechanicalData!$B$22</f>
        <v>55</v>
      </c>
      <c r="E283" s="248">
        <v>276</v>
      </c>
      <c r="F283" s="453">
        <v>51.66</v>
      </c>
      <c r="G283" s="437">
        <v>69.998000000000005</v>
      </c>
      <c r="H283" s="339">
        <f t="shared" si="50"/>
        <v>276</v>
      </c>
      <c r="I283" s="451">
        <f t="shared" si="51"/>
        <v>55</v>
      </c>
      <c r="J283" s="340">
        <f t="shared" si="52"/>
        <v>0.15277777777777779</v>
      </c>
      <c r="K283" s="341">
        <f t="shared" si="53"/>
        <v>42.166666666666664</v>
      </c>
      <c r="L283" s="333">
        <f t="shared" si="54"/>
        <v>6180.4285714285706</v>
      </c>
      <c r="M283" s="342">
        <f t="shared" si="55"/>
        <v>6180</v>
      </c>
      <c r="N283" s="343">
        <f t="shared" si="56"/>
        <v>42.166666666666664</v>
      </c>
      <c r="O283" s="343"/>
      <c r="P283" s="343">
        <f t="shared" si="57"/>
        <v>0</v>
      </c>
      <c r="Q283" s="344"/>
      <c r="R283" s="343">
        <f t="shared" si="58"/>
        <v>276.00000000000034</v>
      </c>
      <c r="S283" s="343">
        <f t="shared" si="59"/>
        <v>0</v>
      </c>
      <c r="T283" s="343"/>
      <c r="U283" s="343">
        <f t="shared" ca="1" si="49"/>
        <v>1.0000000000000002</v>
      </c>
      <c r="V283" s="345">
        <f t="shared" si="60"/>
        <v>22.392857142857142</v>
      </c>
      <c r="W283" s="207"/>
      <c r="X283" s="207"/>
    </row>
    <row r="284" spans="2:24" x14ac:dyDescent="0.3">
      <c r="B284" s="246">
        <v>277</v>
      </c>
      <c r="C284" s="437">
        <f>B284*MechanicalData!$B$22/360</f>
        <v>42.319444444444443</v>
      </c>
      <c r="D284" s="437">
        <f>MechanicalData!$B$22</f>
        <v>55</v>
      </c>
      <c r="E284" s="248">
        <v>277</v>
      </c>
      <c r="F284" s="453">
        <v>51.854999999999997</v>
      </c>
      <c r="G284" s="437">
        <v>69.998000000000005</v>
      </c>
      <c r="H284" s="339">
        <f t="shared" si="50"/>
        <v>277</v>
      </c>
      <c r="I284" s="451">
        <f t="shared" si="51"/>
        <v>55</v>
      </c>
      <c r="J284" s="340">
        <f t="shared" si="52"/>
        <v>0.15277777777777779</v>
      </c>
      <c r="K284" s="341">
        <f t="shared" si="53"/>
        <v>42.319444444444443</v>
      </c>
      <c r="L284" s="333">
        <f t="shared" si="54"/>
        <v>6202.8214285714284</v>
      </c>
      <c r="M284" s="342">
        <f t="shared" si="55"/>
        <v>6203</v>
      </c>
      <c r="N284" s="343">
        <f t="shared" si="56"/>
        <v>42.319444444444443</v>
      </c>
      <c r="O284" s="343"/>
      <c r="P284" s="343">
        <f t="shared" si="57"/>
        <v>0</v>
      </c>
      <c r="Q284" s="344"/>
      <c r="R284" s="343">
        <f t="shared" si="58"/>
        <v>277.00000000000034</v>
      </c>
      <c r="S284" s="343">
        <f t="shared" si="59"/>
        <v>0</v>
      </c>
      <c r="T284" s="343"/>
      <c r="U284" s="343">
        <f t="shared" ca="1" si="49"/>
        <v>1.0000000000000002</v>
      </c>
      <c r="V284" s="345">
        <f t="shared" si="60"/>
        <v>22.392857142857142</v>
      </c>
      <c r="W284" s="207"/>
      <c r="X284" s="207"/>
    </row>
    <row r="285" spans="2:24" x14ac:dyDescent="0.3">
      <c r="B285" s="246">
        <v>278</v>
      </c>
      <c r="C285" s="437">
        <f>B285*MechanicalData!$B$22/360</f>
        <v>42.472222222222221</v>
      </c>
      <c r="D285" s="437">
        <f>MechanicalData!$B$22</f>
        <v>55</v>
      </c>
      <c r="E285" s="248">
        <v>278</v>
      </c>
      <c r="F285" s="453">
        <v>52.048999999999999</v>
      </c>
      <c r="G285" s="437">
        <v>69.998000000000005</v>
      </c>
      <c r="H285" s="339">
        <f t="shared" si="50"/>
        <v>278</v>
      </c>
      <c r="I285" s="451">
        <f t="shared" si="51"/>
        <v>55</v>
      </c>
      <c r="J285" s="340">
        <f t="shared" si="52"/>
        <v>0.15277777777777779</v>
      </c>
      <c r="K285" s="341">
        <f t="shared" si="53"/>
        <v>42.472222222222221</v>
      </c>
      <c r="L285" s="333">
        <f t="shared" si="54"/>
        <v>6225.2142857142853</v>
      </c>
      <c r="M285" s="342">
        <f t="shared" si="55"/>
        <v>6225</v>
      </c>
      <c r="N285" s="343">
        <f t="shared" si="56"/>
        <v>42.472222222222221</v>
      </c>
      <c r="O285" s="343"/>
      <c r="P285" s="343">
        <f t="shared" si="57"/>
        <v>0</v>
      </c>
      <c r="Q285" s="344"/>
      <c r="R285" s="343">
        <f t="shared" si="58"/>
        <v>278.00000000000034</v>
      </c>
      <c r="S285" s="343">
        <f t="shared" si="59"/>
        <v>0</v>
      </c>
      <c r="T285" s="343"/>
      <c r="U285" s="343">
        <f t="shared" ca="1" si="49"/>
        <v>1.0000000000000002</v>
      </c>
      <c r="V285" s="345">
        <f t="shared" si="60"/>
        <v>22.392857142857142</v>
      </c>
      <c r="W285" s="207"/>
      <c r="X285" s="207"/>
    </row>
    <row r="286" spans="2:24" x14ac:dyDescent="0.3">
      <c r="B286" s="246">
        <v>279</v>
      </c>
      <c r="C286" s="437">
        <f>B286*MechanicalData!$B$22/360</f>
        <v>42.625</v>
      </c>
      <c r="D286" s="437">
        <f>MechanicalData!$B$22</f>
        <v>55</v>
      </c>
      <c r="E286" s="248">
        <v>279</v>
      </c>
      <c r="F286" s="453">
        <v>52.244</v>
      </c>
      <c r="G286" s="437">
        <v>69.998000000000005</v>
      </c>
      <c r="H286" s="339">
        <f t="shared" si="50"/>
        <v>279</v>
      </c>
      <c r="I286" s="451">
        <f t="shared" si="51"/>
        <v>55</v>
      </c>
      <c r="J286" s="340">
        <f t="shared" si="52"/>
        <v>0.15277777777777779</v>
      </c>
      <c r="K286" s="341">
        <f t="shared" si="53"/>
        <v>42.625</v>
      </c>
      <c r="L286" s="333">
        <f t="shared" si="54"/>
        <v>6247.6071428571431</v>
      </c>
      <c r="M286" s="342">
        <f t="shared" si="55"/>
        <v>6248</v>
      </c>
      <c r="N286" s="343">
        <f t="shared" si="56"/>
        <v>42.625</v>
      </c>
      <c r="O286" s="343"/>
      <c r="P286" s="343">
        <f t="shared" si="57"/>
        <v>0</v>
      </c>
      <c r="Q286" s="344"/>
      <c r="R286" s="343">
        <f t="shared" si="58"/>
        <v>279.00000000000034</v>
      </c>
      <c r="S286" s="343">
        <f t="shared" si="59"/>
        <v>0</v>
      </c>
      <c r="T286" s="343"/>
      <c r="U286" s="343">
        <f t="shared" ca="1" si="49"/>
        <v>1.0000000000000002</v>
      </c>
      <c r="V286" s="345">
        <f t="shared" si="60"/>
        <v>22.392857142857142</v>
      </c>
      <c r="W286" s="207"/>
      <c r="X286" s="207"/>
    </row>
    <row r="287" spans="2:24" x14ac:dyDescent="0.3">
      <c r="B287" s="246">
        <v>280</v>
      </c>
      <c r="C287" s="437">
        <f>B287*MechanicalData!$B$22/360</f>
        <v>42.777777777777779</v>
      </c>
      <c r="D287" s="437">
        <f>MechanicalData!$B$22</f>
        <v>55</v>
      </c>
      <c r="E287" s="248">
        <v>280</v>
      </c>
      <c r="F287" s="453">
        <v>52.438000000000002</v>
      </c>
      <c r="G287" s="437">
        <v>69.998000000000005</v>
      </c>
      <c r="H287" s="339">
        <f t="shared" si="50"/>
        <v>280</v>
      </c>
      <c r="I287" s="451">
        <f t="shared" si="51"/>
        <v>55</v>
      </c>
      <c r="J287" s="340">
        <f t="shared" si="52"/>
        <v>0.15277777777777779</v>
      </c>
      <c r="K287" s="341">
        <f t="shared" si="53"/>
        <v>42.777777777777779</v>
      </c>
      <c r="L287" s="333">
        <f t="shared" si="54"/>
        <v>6270</v>
      </c>
      <c r="M287" s="342">
        <f t="shared" si="55"/>
        <v>6270</v>
      </c>
      <c r="N287" s="343">
        <f t="shared" si="56"/>
        <v>42.777777777777779</v>
      </c>
      <c r="O287" s="343"/>
      <c r="P287" s="343">
        <f t="shared" si="57"/>
        <v>0</v>
      </c>
      <c r="Q287" s="344"/>
      <c r="R287" s="343">
        <f t="shared" si="58"/>
        <v>280.00000000000034</v>
      </c>
      <c r="S287" s="343">
        <f t="shared" si="59"/>
        <v>0</v>
      </c>
      <c r="T287" s="343"/>
      <c r="U287" s="343">
        <f t="shared" ca="1" si="49"/>
        <v>1.0000000000000002</v>
      </c>
      <c r="V287" s="345">
        <f t="shared" si="60"/>
        <v>22.392857142857142</v>
      </c>
      <c r="W287" s="207"/>
      <c r="X287" s="207"/>
    </row>
    <row r="288" spans="2:24" x14ac:dyDescent="0.3">
      <c r="B288" s="246">
        <v>281</v>
      </c>
      <c r="C288" s="437">
        <f>B288*MechanicalData!$B$22/360</f>
        <v>42.930555555555557</v>
      </c>
      <c r="D288" s="437">
        <f>MechanicalData!$B$22</f>
        <v>55</v>
      </c>
      <c r="E288" s="248">
        <v>281</v>
      </c>
      <c r="F288" s="453">
        <v>52.633000000000003</v>
      </c>
      <c r="G288" s="437">
        <v>69.998000000000005</v>
      </c>
      <c r="H288" s="339">
        <f t="shared" si="50"/>
        <v>281</v>
      </c>
      <c r="I288" s="451">
        <f t="shared" si="51"/>
        <v>55</v>
      </c>
      <c r="J288" s="340">
        <f t="shared" si="52"/>
        <v>0.15277777777777779</v>
      </c>
      <c r="K288" s="341">
        <f t="shared" si="53"/>
        <v>42.930555555555557</v>
      </c>
      <c r="L288" s="333">
        <f t="shared" si="54"/>
        <v>6292.3928571428569</v>
      </c>
      <c r="M288" s="342">
        <f t="shared" si="55"/>
        <v>6292</v>
      </c>
      <c r="N288" s="343">
        <f t="shared" si="56"/>
        <v>42.930555555555557</v>
      </c>
      <c r="O288" s="343"/>
      <c r="P288" s="343">
        <f t="shared" si="57"/>
        <v>0</v>
      </c>
      <c r="Q288" s="344"/>
      <c r="R288" s="343">
        <f t="shared" si="58"/>
        <v>281.00000000000034</v>
      </c>
      <c r="S288" s="343">
        <f t="shared" si="59"/>
        <v>0</v>
      </c>
      <c r="T288" s="343"/>
      <c r="U288" s="343">
        <f t="shared" ca="1" si="49"/>
        <v>1.0000000000000002</v>
      </c>
      <c r="V288" s="345">
        <f t="shared" si="60"/>
        <v>22.392857142857142</v>
      </c>
      <c r="W288" s="207"/>
      <c r="X288" s="207"/>
    </row>
    <row r="289" spans="2:24" x14ac:dyDescent="0.3">
      <c r="B289" s="246">
        <v>282</v>
      </c>
      <c r="C289" s="437">
        <f>B289*MechanicalData!$B$22/360</f>
        <v>43.083333333333336</v>
      </c>
      <c r="D289" s="437">
        <f>MechanicalData!$B$22</f>
        <v>55</v>
      </c>
      <c r="E289" s="248">
        <v>282</v>
      </c>
      <c r="F289" s="453">
        <v>52.826999999999998</v>
      </c>
      <c r="G289" s="437">
        <v>69.998000000000005</v>
      </c>
      <c r="H289" s="339">
        <f t="shared" si="50"/>
        <v>282</v>
      </c>
      <c r="I289" s="451">
        <f t="shared" si="51"/>
        <v>55</v>
      </c>
      <c r="J289" s="340">
        <f t="shared" si="52"/>
        <v>0.15277777777777779</v>
      </c>
      <c r="K289" s="341">
        <f t="shared" si="53"/>
        <v>43.083333333333336</v>
      </c>
      <c r="L289" s="333">
        <f t="shared" si="54"/>
        <v>6314.7857142857138</v>
      </c>
      <c r="M289" s="342">
        <f t="shared" si="55"/>
        <v>6315</v>
      </c>
      <c r="N289" s="343">
        <f t="shared" si="56"/>
        <v>43.083333333333329</v>
      </c>
      <c r="O289" s="343"/>
      <c r="P289" s="343">
        <f t="shared" si="57"/>
        <v>0</v>
      </c>
      <c r="Q289" s="344"/>
      <c r="R289" s="343">
        <f t="shared" si="58"/>
        <v>282.00000000000034</v>
      </c>
      <c r="S289" s="343">
        <f t="shared" si="59"/>
        <v>0</v>
      </c>
      <c r="T289" s="343"/>
      <c r="U289" s="343">
        <f t="shared" ca="1" si="49"/>
        <v>1.0000000000000002</v>
      </c>
      <c r="V289" s="345">
        <f t="shared" si="60"/>
        <v>22.392857142857142</v>
      </c>
      <c r="W289" s="207"/>
      <c r="X289" s="207"/>
    </row>
    <row r="290" spans="2:24" x14ac:dyDescent="0.3">
      <c r="B290" s="246">
        <v>283</v>
      </c>
      <c r="C290" s="437">
        <f>B290*MechanicalData!$B$22/360</f>
        <v>43.236111111111114</v>
      </c>
      <c r="D290" s="437">
        <f>MechanicalData!$B$22</f>
        <v>55</v>
      </c>
      <c r="E290" s="248">
        <v>283</v>
      </c>
      <c r="F290" s="453">
        <v>53.021999999999998</v>
      </c>
      <c r="G290" s="437">
        <v>69.998000000000005</v>
      </c>
      <c r="H290" s="339">
        <f t="shared" si="50"/>
        <v>283</v>
      </c>
      <c r="I290" s="451">
        <f t="shared" si="51"/>
        <v>55</v>
      </c>
      <c r="J290" s="340">
        <f t="shared" si="52"/>
        <v>0.15277777777777779</v>
      </c>
      <c r="K290" s="341">
        <f t="shared" si="53"/>
        <v>43.236111111111114</v>
      </c>
      <c r="L290" s="333">
        <f t="shared" si="54"/>
        <v>6337.1785714285716</v>
      </c>
      <c r="M290" s="342">
        <f t="shared" si="55"/>
        <v>6337</v>
      </c>
      <c r="N290" s="343">
        <f t="shared" si="56"/>
        <v>43.236111111111114</v>
      </c>
      <c r="O290" s="343"/>
      <c r="P290" s="343">
        <f t="shared" si="57"/>
        <v>0</v>
      </c>
      <c r="Q290" s="344"/>
      <c r="R290" s="343">
        <f t="shared" si="58"/>
        <v>283.00000000000034</v>
      </c>
      <c r="S290" s="343">
        <f t="shared" si="59"/>
        <v>0</v>
      </c>
      <c r="T290" s="343"/>
      <c r="U290" s="343">
        <f t="shared" ca="1" si="49"/>
        <v>1.0000000000000002</v>
      </c>
      <c r="V290" s="345">
        <f t="shared" si="60"/>
        <v>22.392857142857142</v>
      </c>
      <c r="W290" s="207"/>
      <c r="X290" s="207"/>
    </row>
    <row r="291" spans="2:24" x14ac:dyDescent="0.3">
      <c r="B291" s="246">
        <v>284</v>
      </c>
      <c r="C291" s="437">
        <f>B291*MechanicalData!$B$22/360</f>
        <v>43.388888888888886</v>
      </c>
      <c r="D291" s="437">
        <f>MechanicalData!$B$22</f>
        <v>55</v>
      </c>
      <c r="E291" s="248">
        <v>284</v>
      </c>
      <c r="F291" s="453">
        <v>53.216000000000001</v>
      </c>
      <c r="G291" s="437">
        <v>69.998000000000005</v>
      </c>
      <c r="H291" s="339">
        <f t="shared" si="50"/>
        <v>284</v>
      </c>
      <c r="I291" s="451">
        <f t="shared" si="51"/>
        <v>55</v>
      </c>
      <c r="J291" s="340">
        <f t="shared" si="52"/>
        <v>0.15277777777777779</v>
      </c>
      <c r="K291" s="341">
        <f t="shared" si="53"/>
        <v>43.388888888888886</v>
      </c>
      <c r="L291" s="333">
        <f t="shared" si="54"/>
        <v>6359.5714285714275</v>
      </c>
      <c r="M291" s="342">
        <f t="shared" si="55"/>
        <v>6360</v>
      </c>
      <c r="N291" s="343">
        <f t="shared" si="56"/>
        <v>43.388888888888886</v>
      </c>
      <c r="O291" s="343"/>
      <c r="P291" s="343">
        <f t="shared" si="57"/>
        <v>0</v>
      </c>
      <c r="Q291" s="344"/>
      <c r="R291" s="343">
        <f t="shared" si="58"/>
        <v>284.00000000000028</v>
      </c>
      <c r="S291" s="343">
        <f t="shared" si="59"/>
        <v>0</v>
      </c>
      <c r="T291" s="343"/>
      <c r="U291" s="343">
        <f t="shared" ca="1" si="49"/>
        <v>1.0000000000000002</v>
      </c>
      <c r="V291" s="345">
        <f t="shared" si="60"/>
        <v>22.392857142857142</v>
      </c>
      <c r="W291" s="207"/>
      <c r="X291" s="207"/>
    </row>
    <row r="292" spans="2:24" x14ac:dyDescent="0.3">
      <c r="B292" s="246">
        <v>285</v>
      </c>
      <c r="C292" s="437">
        <f>B292*MechanicalData!$B$22/360</f>
        <v>43.541666666666664</v>
      </c>
      <c r="D292" s="437">
        <f>MechanicalData!$B$22</f>
        <v>55</v>
      </c>
      <c r="E292" s="248">
        <v>285</v>
      </c>
      <c r="F292" s="453">
        <v>53.41</v>
      </c>
      <c r="G292" s="437">
        <v>69.998000000000005</v>
      </c>
      <c r="H292" s="339">
        <f t="shared" si="50"/>
        <v>285</v>
      </c>
      <c r="I292" s="451">
        <f t="shared" si="51"/>
        <v>55</v>
      </c>
      <c r="J292" s="340">
        <f t="shared" si="52"/>
        <v>0.15277777777777779</v>
      </c>
      <c r="K292" s="341">
        <f t="shared" si="53"/>
        <v>43.541666666666664</v>
      </c>
      <c r="L292" s="333">
        <f t="shared" si="54"/>
        <v>6381.9642857142853</v>
      </c>
      <c r="M292" s="342">
        <f t="shared" si="55"/>
        <v>6382</v>
      </c>
      <c r="N292" s="343">
        <f t="shared" si="56"/>
        <v>43.541666666666664</v>
      </c>
      <c r="O292" s="343"/>
      <c r="P292" s="343">
        <f t="shared" si="57"/>
        <v>0</v>
      </c>
      <c r="Q292" s="344"/>
      <c r="R292" s="343">
        <f t="shared" si="58"/>
        <v>285.00000000000034</v>
      </c>
      <c r="S292" s="343">
        <f t="shared" si="59"/>
        <v>0</v>
      </c>
      <c r="T292" s="343"/>
      <c r="U292" s="343">
        <f t="shared" ca="1" si="49"/>
        <v>1.0000000000000002</v>
      </c>
      <c r="V292" s="345">
        <f t="shared" si="60"/>
        <v>22.392857142857142</v>
      </c>
      <c r="W292" s="207"/>
      <c r="X292" s="207"/>
    </row>
    <row r="293" spans="2:24" x14ac:dyDescent="0.3">
      <c r="B293" s="246">
        <v>286</v>
      </c>
      <c r="C293" s="437">
        <f>B293*MechanicalData!$B$22/360</f>
        <v>43.694444444444443</v>
      </c>
      <c r="D293" s="437">
        <f>MechanicalData!$B$22</f>
        <v>55</v>
      </c>
      <c r="E293" s="248">
        <v>286</v>
      </c>
      <c r="F293" s="453">
        <v>53.604999999999997</v>
      </c>
      <c r="G293" s="437">
        <v>69.998000000000005</v>
      </c>
      <c r="H293" s="339">
        <f t="shared" si="50"/>
        <v>286</v>
      </c>
      <c r="I293" s="451">
        <f t="shared" si="51"/>
        <v>55</v>
      </c>
      <c r="J293" s="340">
        <f t="shared" si="52"/>
        <v>0.15277777777777779</v>
      </c>
      <c r="K293" s="341">
        <f t="shared" si="53"/>
        <v>43.694444444444443</v>
      </c>
      <c r="L293" s="333">
        <f t="shared" si="54"/>
        <v>6404.3571428571422</v>
      </c>
      <c r="M293" s="342">
        <f t="shared" si="55"/>
        <v>6404</v>
      </c>
      <c r="N293" s="343">
        <f t="shared" si="56"/>
        <v>43.694444444444443</v>
      </c>
      <c r="O293" s="343"/>
      <c r="P293" s="343">
        <f t="shared" si="57"/>
        <v>0</v>
      </c>
      <c r="Q293" s="344"/>
      <c r="R293" s="343">
        <f t="shared" si="58"/>
        <v>286.00000000000034</v>
      </c>
      <c r="S293" s="343">
        <f t="shared" si="59"/>
        <v>0</v>
      </c>
      <c r="T293" s="343"/>
      <c r="U293" s="343">
        <f t="shared" ca="1" si="49"/>
        <v>1.0000000000000002</v>
      </c>
      <c r="V293" s="345">
        <f t="shared" si="60"/>
        <v>22.392857142857142</v>
      </c>
      <c r="W293" s="207"/>
      <c r="X293" s="207"/>
    </row>
    <row r="294" spans="2:24" x14ac:dyDescent="0.3">
      <c r="B294" s="246">
        <v>287</v>
      </c>
      <c r="C294" s="437">
        <f>B294*MechanicalData!$B$22/360</f>
        <v>43.847222222222221</v>
      </c>
      <c r="D294" s="437">
        <f>MechanicalData!$B$22</f>
        <v>55</v>
      </c>
      <c r="E294" s="248">
        <v>287</v>
      </c>
      <c r="F294" s="453">
        <v>53.798999999999999</v>
      </c>
      <c r="G294" s="437">
        <v>69.998000000000005</v>
      </c>
      <c r="H294" s="339">
        <f t="shared" si="50"/>
        <v>287</v>
      </c>
      <c r="I294" s="451">
        <f t="shared" si="51"/>
        <v>55</v>
      </c>
      <c r="J294" s="340">
        <f t="shared" si="52"/>
        <v>0.15277777777777779</v>
      </c>
      <c r="K294" s="341">
        <f t="shared" si="53"/>
        <v>43.847222222222221</v>
      </c>
      <c r="L294" s="333">
        <f t="shared" si="54"/>
        <v>6426.75</v>
      </c>
      <c r="M294" s="342">
        <f t="shared" si="55"/>
        <v>6427</v>
      </c>
      <c r="N294" s="343">
        <f t="shared" si="56"/>
        <v>43.847222222222221</v>
      </c>
      <c r="O294" s="343"/>
      <c r="P294" s="343">
        <f t="shared" si="57"/>
        <v>0</v>
      </c>
      <c r="Q294" s="344"/>
      <c r="R294" s="343">
        <f t="shared" si="58"/>
        <v>287.00000000000034</v>
      </c>
      <c r="S294" s="343">
        <f t="shared" si="59"/>
        <v>0</v>
      </c>
      <c r="T294" s="343"/>
      <c r="U294" s="343">
        <f t="shared" ca="1" si="49"/>
        <v>1.0000000000000002</v>
      </c>
      <c r="V294" s="345">
        <f t="shared" si="60"/>
        <v>22.392857142857142</v>
      </c>
      <c r="W294" s="207"/>
      <c r="X294" s="207"/>
    </row>
    <row r="295" spans="2:24" x14ac:dyDescent="0.3">
      <c r="B295" s="246">
        <v>288</v>
      </c>
      <c r="C295" s="437">
        <f>B295*MechanicalData!$B$22/360</f>
        <v>44</v>
      </c>
      <c r="D295" s="437">
        <f>MechanicalData!$B$22</f>
        <v>55</v>
      </c>
      <c r="E295" s="248">
        <v>288</v>
      </c>
      <c r="F295" s="453">
        <v>53.994</v>
      </c>
      <c r="G295" s="437">
        <v>69.998000000000005</v>
      </c>
      <c r="H295" s="339">
        <f t="shared" si="50"/>
        <v>288</v>
      </c>
      <c r="I295" s="451">
        <f t="shared" si="51"/>
        <v>55</v>
      </c>
      <c r="J295" s="340">
        <f t="shared" si="52"/>
        <v>0.15277777777777779</v>
      </c>
      <c r="K295" s="341">
        <f t="shared" si="53"/>
        <v>44</v>
      </c>
      <c r="L295" s="333">
        <f t="shared" si="54"/>
        <v>6449.1428571428569</v>
      </c>
      <c r="M295" s="342">
        <f t="shared" si="55"/>
        <v>6449</v>
      </c>
      <c r="N295" s="343">
        <f t="shared" si="56"/>
        <v>44</v>
      </c>
      <c r="O295" s="343"/>
      <c r="P295" s="343">
        <f t="shared" si="57"/>
        <v>0</v>
      </c>
      <c r="Q295" s="344"/>
      <c r="R295" s="343">
        <f t="shared" si="58"/>
        <v>288.00000000000034</v>
      </c>
      <c r="S295" s="343">
        <f t="shared" si="59"/>
        <v>0</v>
      </c>
      <c r="T295" s="343"/>
      <c r="U295" s="343">
        <f t="shared" ca="1" si="49"/>
        <v>1.0000000000000002</v>
      </c>
      <c r="V295" s="345">
        <f t="shared" si="60"/>
        <v>22.392857142857142</v>
      </c>
    </row>
    <row r="296" spans="2:24" x14ac:dyDescent="0.3">
      <c r="B296" s="246">
        <v>289</v>
      </c>
      <c r="C296" s="437">
        <f>B296*MechanicalData!$B$22/360</f>
        <v>44.152777777777779</v>
      </c>
      <c r="D296" s="437">
        <f>MechanicalData!$B$22</f>
        <v>55</v>
      </c>
      <c r="E296" s="248">
        <v>289</v>
      </c>
      <c r="F296" s="453">
        <v>54.188000000000002</v>
      </c>
      <c r="G296" s="437">
        <v>69.998000000000005</v>
      </c>
      <c r="H296" s="339">
        <f t="shared" si="50"/>
        <v>289</v>
      </c>
      <c r="I296" s="451">
        <f t="shared" si="51"/>
        <v>55</v>
      </c>
      <c r="J296" s="340">
        <f t="shared" si="52"/>
        <v>0.15277777777777779</v>
      </c>
      <c r="K296" s="341">
        <f t="shared" si="53"/>
        <v>44.152777777777779</v>
      </c>
      <c r="L296" s="333">
        <f t="shared" si="54"/>
        <v>6471.5357142857147</v>
      </c>
      <c r="M296" s="342">
        <f t="shared" si="55"/>
        <v>6472</v>
      </c>
      <c r="N296" s="343">
        <f t="shared" si="56"/>
        <v>44.152777777777779</v>
      </c>
      <c r="O296" s="343"/>
      <c r="P296" s="343">
        <f t="shared" si="57"/>
        <v>0</v>
      </c>
      <c r="Q296" s="344"/>
      <c r="R296" s="343">
        <f t="shared" si="58"/>
        <v>289.0000000000004</v>
      </c>
      <c r="S296" s="343">
        <f t="shared" si="59"/>
        <v>0</v>
      </c>
      <c r="T296" s="343"/>
      <c r="U296" s="343">
        <f t="shared" ca="1" si="49"/>
        <v>1.0000000000000002</v>
      </c>
      <c r="V296" s="345">
        <f t="shared" si="60"/>
        <v>22.392857142857142</v>
      </c>
    </row>
    <row r="297" spans="2:24" x14ac:dyDescent="0.3">
      <c r="B297" s="246">
        <v>290</v>
      </c>
      <c r="C297" s="437">
        <f>B297*MechanicalData!$B$22/360</f>
        <v>44.305555555555557</v>
      </c>
      <c r="D297" s="437">
        <f>MechanicalData!$B$22</f>
        <v>55</v>
      </c>
      <c r="E297" s="248">
        <v>290</v>
      </c>
      <c r="F297" s="453">
        <v>54.383000000000003</v>
      </c>
      <c r="G297" s="437">
        <v>69.998000000000005</v>
      </c>
      <c r="H297" s="339">
        <f t="shared" si="50"/>
        <v>290</v>
      </c>
      <c r="I297" s="451">
        <f t="shared" si="51"/>
        <v>55</v>
      </c>
      <c r="J297" s="340">
        <f t="shared" si="52"/>
        <v>0.15277777777777779</v>
      </c>
      <c r="K297" s="341">
        <f t="shared" si="53"/>
        <v>44.305555555555557</v>
      </c>
      <c r="L297" s="333">
        <f t="shared" si="54"/>
        <v>6493.9285714285706</v>
      </c>
      <c r="M297" s="342">
        <f t="shared" si="55"/>
        <v>6494</v>
      </c>
      <c r="N297" s="343">
        <f t="shared" si="56"/>
        <v>44.30555555555555</v>
      </c>
      <c r="O297" s="343"/>
      <c r="P297" s="343">
        <f t="shared" si="57"/>
        <v>0</v>
      </c>
      <c r="Q297" s="344"/>
      <c r="R297" s="343">
        <f t="shared" si="58"/>
        <v>290.00000000000034</v>
      </c>
      <c r="S297" s="343">
        <f t="shared" si="59"/>
        <v>0</v>
      </c>
      <c r="T297" s="343"/>
      <c r="U297" s="343">
        <f t="shared" ca="1" si="49"/>
        <v>1.0000000000000002</v>
      </c>
      <c r="V297" s="345">
        <f t="shared" si="60"/>
        <v>22.392857142857142</v>
      </c>
    </row>
    <row r="298" spans="2:24" x14ac:dyDescent="0.3">
      <c r="B298" s="246">
        <v>291</v>
      </c>
      <c r="C298" s="437">
        <f>B298*MechanicalData!$B$22/360</f>
        <v>44.458333333333336</v>
      </c>
      <c r="D298" s="437">
        <f>MechanicalData!$B$22</f>
        <v>55</v>
      </c>
      <c r="E298" s="248">
        <v>291</v>
      </c>
      <c r="F298" s="453">
        <v>54.576999999999998</v>
      </c>
      <c r="G298" s="437">
        <v>69.998000000000005</v>
      </c>
      <c r="H298" s="339">
        <f t="shared" si="50"/>
        <v>291</v>
      </c>
      <c r="I298" s="451">
        <f t="shared" si="51"/>
        <v>55</v>
      </c>
      <c r="J298" s="340">
        <f t="shared" si="52"/>
        <v>0.15277777777777779</v>
      </c>
      <c r="K298" s="341">
        <f t="shared" si="53"/>
        <v>44.458333333333336</v>
      </c>
      <c r="L298" s="333">
        <f t="shared" si="54"/>
        <v>6516.3214285714284</v>
      </c>
      <c r="M298" s="342">
        <f t="shared" si="55"/>
        <v>6516</v>
      </c>
      <c r="N298" s="343">
        <f t="shared" si="56"/>
        <v>44.458333333333329</v>
      </c>
      <c r="O298" s="343"/>
      <c r="P298" s="343">
        <f t="shared" si="57"/>
        <v>0</v>
      </c>
      <c r="Q298" s="344"/>
      <c r="R298" s="343">
        <f t="shared" si="58"/>
        <v>291.00000000000034</v>
      </c>
      <c r="S298" s="343">
        <f t="shared" si="59"/>
        <v>0</v>
      </c>
      <c r="T298" s="343"/>
      <c r="U298" s="343">
        <f t="shared" ca="1" si="49"/>
        <v>1.0000000000000002</v>
      </c>
      <c r="V298" s="345">
        <f t="shared" si="60"/>
        <v>22.392857142857142</v>
      </c>
    </row>
    <row r="299" spans="2:24" x14ac:dyDescent="0.3">
      <c r="B299" s="246">
        <v>292</v>
      </c>
      <c r="C299" s="437">
        <f>B299*MechanicalData!$B$22/360</f>
        <v>44.611111111111114</v>
      </c>
      <c r="D299" s="437">
        <f>MechanicalData!$B$22</f>
        <v>55</v>
      </c>
      <c r="E299" s="248">
        <v>292</v>
      </c>
      <c r="F299" s="453">
        <v>54.771000000000001</v>
      </c>
      <c r="G299" s="437">
        <v>69.998000000000005</v>
      </c>
      <c r="H299" s="339">
        <f t="shared" si="50"/>
        <v>292</v>
      </c>
      <c r="I299" s="451">
        <f t="shared" si="51"/>
        <v>55</v>
      </c>
      <c r="J299" s="340">
        <f t="shared" si="52"/>
        <v>0.15277777777777779</v>
      </c>
      <c r="K299" s="341">
        <f t="shared" si="53"/>
        <v>44.611111111111114</v>
      </c>
      <c r="L299" s="333">
        <f t="shared" si="54"/>
        <v>6538.7142857142853</v>
      </c>
      <c r="M299" s="342">
        <f t="shared" si="55"/>
        <v>6539</v>
      </c>
      <c r="N299" s="343">
        <f t="shared" si="56"/>
        <v>44.611111111111107</v>
      </c>
      <c r="O299" s="343"/>
      <c r="P299" s="343">
        <f t="shared" si="57"/>
        <v>0</v>
      </c>
      <c r="Q299" s="344"/>
      <c r="R299" s="343">
        <f t="shared" si="58"/>
        <v>292.00000000000034</v>
      </c>
      <c r="S299" s="343">
        <f t="shared" si="59"/>
        <v>0</v>
      </c>
      <c r="T299" s="343"/>
      <c r="U299" s="343">
        <f t="shared" ca="1" si="49"/>
        <v>1.0000000000000002</v>
      </c>
      <c r="V299" s="345">
        <f t="shared" si="60"/>
        <v>22.392857142857142</v>
      </c>
    </row>
    <row r="300" spans="2:24" x14ac:dyDescent="0.3">
      <c r="B300" s="246">
        <v>293</v>
      </c>
      <c r="C300" s="437">
        <f>B300*MechanicalData!$B$22/360</f>
        <v>44.763888888888886</v>
      </c>
      <c r="D300" s="437">
        <f>MechanicalData!$B$22</f>
        <v>55</v>
      </c>
      <c r="E300" s="248">
        <v>293</v>
      </c>
      <c r="F300" s="453">
        <v>54.966000000000001</v>
      </c>
      <c r="G300" s="437">
        <v>69.998000000000005</v>
      </c>
      <c r="H300" s="339">
        <f t="shared" ref="H300:H363" si="61">B300</f>
        <v>293</v>
      </c>
      <c r="I300" s="451">
        <f t="shared" ref="I300:I363" si="62">D300</f>
        <v>55</v>
      </c>
      <c r="J300" s="340">
        <f t="shared" ref="J300:J363" si="63">I300/360</f>
        <v>0.15277777777777779</v>
      </c>
      <c r="K300" s="341">
        <f t="shared" ref="K300:K363" si="64">C300</f>
        <v>44.763888888888886</v>
      </c>
      <c r="L300" s="333">
        <f t="shared" ref="L300:L363" si="65">K300/$Z$7*360</f>
        <v>6561.1071428571422</v>
      </c>
      <c r="M300" s="342">
        <f t="shared" ref="M300:M363" si="66">ROUND(L300, 0)</f>
        <v>6561</v>
      </c>
      <c r="N300" s="343">
        <f t="shared" ref="N300:N363" si="67">InterpolXY(L300,$Y$22:$Y$31,$X$22:$X$31)</f>
        <v>44.763888888888886</v>
      </c>
      <c r="O300" s="343"/>
      <c r="P300" s="343">
        <f t="shared" ref="P300:P363" si="68">K300-N300</f>
        <v>0</v>
      </c>
      <c r="Q300" s="344"/>
      <c r="R300" s="343">
        <f t="shared" ref="R300:R363" si="69">InterpolXY(L300,$Y$22:$Y$31,$AC$22:$AC$31)</f>
        <v>293.00000000000034</v>
      </c>
      <c r="S300" s="343">
        <f t="shared" ref="S300:S363" si="70">H300-R300</f>
        <v>0</v>
      </c>
      <c r="T300" s="343"/>
      <c r="U300" s="343">
        <f t="shared" ca="1" si="49"/>
        <v>1.0000000000000002</v>
      </c>
      <c r="V300" s="345">
        <f t="shared" si="60"/>
        <v>22.392857142857142</v>
      </c>
    </row>
    <row r="301" spans="2:24" x14ac:dyDescent="0.3">
      <c r="B301" s="246">
        <v>294</v>
      </c>
      <c r="C301" s="437">
        <f>B301*MechanicalData!$B$22/360</f>
        <v>44.916666666666664</v>
      </c>
      <c r="D301" s="437">
        <f>MechanicalData!$B$22</f>
        <v>55</v>
      </c>
      <c r="E301" s="248">
        <v>294</v>
      </c>
      <c r="F301" s="453">
        <v>55.16</v>
      </c>
      <c r="G301" s="437">
        <v>69.998000000000005</v>
      </c>
      <c r="H301" s="339">
        <f t="shared" si="61"/>
        <v>294</v>
      </c>
      <c r="I301" s="451">
        <f t="shared" si="62"/>
        <v>55</v>
      </c>
      <c r="J301" s="340">
        <f t="shared" si="63"/>
        <v>0.15277777777777779</v>
      </c>
      <c r="K301" s="341">
        <f t="shared" si="64"/>
        <v>44.916666666666664</v>
      </c>
      <c r="L301" s="333">
        <f t="shared" si="65"/>
        <v>6583.4999999999991</v>
      </c>
      <c r="M301" s="342">
        <f t="shared" si="66"/>
        <v>6584</v>
      </c>
      <c r="N301" s="343">
        <f t="shared" si="67"/>
        <v>44.916666666666657</v>
      </c>
      <c r="O301" s="343"/>
      <c r="P301" s="343">
        <f t="shared" si="68"/>
        <v>0</v>
      </c>
      <c r="Q301" s="344"/>
      <c r="R301" s="343">
        <f t="shared" si="69"/>
        <v>294.00000000000034</v>
      </c>
      <c r="S301" s="343">
        <f t="shared" si="70"/>
        <v>0</v>
      </c>
      <c r="T301" s="343"/>
      <c r="U301" s="343">
        <f t="shared" ca="1" si="49"/>
        <v>1.0000000000000002</v>
      </c>
      <c r="V301" s="345">
        <f t="shared" si="60"/>
        <v>22.392857142857142</v>
      </c>
    </row>
    <row r="302" spans="2:24" x14ac:dyDescent="0.3">
      <c r="B302" s="246">
        <v>295</v>
      </c>
      <c r="C302" s="437">
        <f>B302*MechanicalData!$B$22/360</f>
        <v>45.069444444444443</v>
      </c>
      <c r="D302" s="437">
        <f>MechanicalData!$B$22</f>
        <v>55</v>
      </c>
      <c r="E302" s="248">
        <v>295</v>
      </c>
      <c r="F302" s="453">
        <v>55.354999999999997</v>
      </c>
      <c r="G302" s="437">
        <v>69.998000000000005</v>
      </c>
      <c r="H302" s="339">
        <f t="shared" si="61"/>
        <v>295</v>
      </c>
      <c r="I302" s="451">
        <f t="shared" si="62"/>
        <v>55</v>
      </c>
      <c r="J302" s="340">
        <f t="shared" si="63"/>
        <v>0.15277777777777779</v>
      </c>
      <c r="K302" s="341">
        <f t="shared" si="64"/>
        <v>45.069444444444443</v>
      </c>
      <c r="L302" s="333">
        <f t="shared" si="65"/>
        <v>6605.8928571428569</v>
      </c>
      <c r="M302" s="342">
        <f t="shared" si="66"/>
        <v>6606</v>
      </c>
      <c r="N302" s="343">
        <f t="shared" si="67"/>
        <v>45.069444444444443</v>
      </c>
      <c r="O302" s="343"/>
      <c r="P302" s="343">
        <f t="shared" si="68"/>
        <v>0</v>
      </c>
      <c r="Q302" s="344"/>
      <c r="R302" s="343">
        <f t="shared" si="69"/>
        <v>295.00000000000034</v>
      </c>
      <c r="S302" s="343">
        <f t="shared" si="70"/>
        <v>0</v>
      </c>
      <c r="T302" s="343"/>
      <c r="U302" s="343">
        <f t="shared" ca="1" si="49"/>
        <v>1.0000000000000002</v>
      </c>
      <c r="V302" s="345">
        <f t="shared" si="60"/>
        <v>22.392857142857142</v>
      </c>
    </row>
    <row r="303" spans="2:24" x14ac:dyDescent="0.3">
      <c r="B303" s="246">
        <v>296</v>
      </c>
      <c r="C303" s="437">
        <f>B303*MechanicalData!$B$22/360</f>
        <v>45.222222222222221</v>
      </c>
      <c r="D303" s="437">
        <f>MechanicalData!$B$22</f>
        <v>55</v>
      </c>
      <c r="E303" s="248">
        <v>296</v>
      </c>
      <c r="F303" s="453">
        <v>55.548999999999999</v>
      </c>
      <c r="G303" s="437">
        <v>69.998000000000005</v>
      </c>
      <c r="H303" s="339">
        <f t="shared" si="61"/>
        <v>296</v>
      </c>
      <c r="I303" s="451">
        <f t="shared" si="62"/>
        <v>55</v>
      </c>
      <c r="J303" s="340">
        <f t="shared" si="63"/>
        <v>0.15277777777777779</v>
      </c>
      <c r="K303" s="341">
        <f t="shared" si="64"/>
        <v>45.222222222222221</v>
      </c>
      <c r="L303" s="333">
        <f t="shared" si="65"/>
        <v>6628.2857142857138</v>
      </c>
      <c r="M303" s="342">
        <f t="shared" si="66"/>
        <v>6628</v>
      </c>
      <c r="N303" s="343">
        <f t="shared" si="67"/>
        <v>45.222222222222221</v>
      </c>
      <c r="O303" s="343"/>
      <c r="P303" s="343">
        <f t="shared" si="68"/>
        <v>0</v>
      </c>
      <c r="Q303" s="344"/>
      <c r="R303" s="343">
        <f t="shared" si="69"/>
        <v>296.00000000000034</v>
      </c>
      <c r="S303" s="343">
        <f t="shared" si="70"/>
        <v>0</v>
      </c>
      <c r="T303" s="343"/>
      <c r="U303" s="343">
        <f t="shared" ca="1" si="49"/>
        <v>1.0000000000000002</v>
      </c>
      <c r="V303" s="345">
        <f t="shared" si="60"/>
        <v>22.392857142857142</v>
      </c>
    </row>
    <row r="304" spans="2:24" x14ac:dyDescent="0.3">
      <c r="B304" s="246">
        <v>297</v>
      </c>
      <c r="C304" s="437">
        <f>B304*MechanicalData!$B$22/360</f>
        <v>45.375</v>
      </c>
      <c r="D304" s="437">
        <f>MechanicalData!$B$22</f>
        <v>55</v>
      </c>
      <c r="E304" s="248">
        <v>297</v>
      </c>
      <c r="F304" s="453">
        <v>55.744</v>
      </c>
      <c r="G304" s="437">
        <v>69.998000000000005</v>
      </c>
      <c r="H304" s="339">
        <f t="shared" si="61"/>
        <v>297</v>
      </c>
      <c r="I304" s="451">
        <f t="shared" si="62"/>
        <v>55</v>
      </c>
      <c r="J304" s="340">
        <f t="shared" si="63"/>
        <v>0.15277777777777779</v>
      </c>
      <c r="K304" s="341">
        <f t="shared" si="64"/>
        <v>45.375</v>
      </c>
      <c r="L304" s="333">
        <f t="shared" si="65"/>
        <v>6650.6785714285716</v>
      </c>
      <c r="M304" s="342">
        <f t="shared" si="66"/>
        <v>6651</v>
      </c>
      <c r="N304" s="343">
        <f t="shared" si="67"/>
        <v>45.375</v>
      </c>
      <c r="O304" s="343"/>
      <c r="P304" s="343">
        <f t="shared" si="68"/>
        <v>0</v>
      </c>
      <c r="Q304" s="344"/>
      <c r="R304" s="343">
        <f t="shared" si="69"/>
        <v>297.0000000000004</v>
      </c>
      <c r="S304" s="343">
        <f t="shared" si="70"/>
        <v>0</v>
      </c>
      <c r="T304" s="343"/>
      <c r="U304" s="343">
        <f t="shared" ca="1" si="49"/>
        <v>1.0000000000000002</v>
      </c>
      <c r="V304" s="345">
        <f t="shared" si="60"/>
        <v>22.392857142857142</v>
      </c>
    </row>
    <row r="305" spans="2:22" x14ac:dyDescent="0.3">
      <c r="B305" s="246">
        <v>298</v>
      </c>
      <c r="C305" s="437">
        <f>B305*MechanicalData!$B$22/360</f>
        <v>45.527777777777779</v>
      </c>
      <c r="D305" s="437">
        <f>MechanicalData!$B$22</f>
        <v>55</v>
      </c>
      <c r="E305" s="248">
        <v>298</v>
      </c>
      <c r="F305" s="453">
        <v>55.938000000000002</v>
      </c>
      <c r="G305" s="437">
        <v>69.998000000000005</v>
      </c>
      <c r="H305" s="339">
        <f t="shared" si="61"/>
        <v>298</v>
      </c>
      <c r="I305" s="451">
        <f t="shared" si="62"/>
        <v>55</v>
      </c>
      <c r="J305" s="340">
        <f t="shared" si="63"/>
        <v>0.15277777777777779</v>
      </c>
      <c r="K305" s="341">
        <f t="shared" si="64"/>
        <v>45.527777777777779</v>
      </c>
      <c r="L305" s="333">
        <f t="shared" si="65"/>
        <v>6673.0714285714294</v>
      </c>
      <c r="M305" s="342">
        <f t="shared" si="66"/>
        <v>6673</v>
      </c>
      <c r="N305" s="343">
        <f t="shared" si="67"/>
        <v>45.527777777777779</v>
      </c>
      <c r="O305" s="343"/>
      <c r="P305" s="343">
        <f t="shared" si="68"/>
        <v>0</v>
      </c>
      <c r="Q305" s="344"/>
      <c r="R305" s="343">
        <f t="shared" si="69"/>
        <v>298.0000000000004</v>
      </c>
      <c r="S305" s="343">
        <f t="shared" si="70"/>
        <v>0</v>
      </c>
      <c r="T305" s="343"/>
      <c r="U305" s="343">
        <f t="shared" ca="1" si="49"/>
        <v>1.0000000000000002</v>
      </c>
      <c r="V305" s="345">
        <f t="shared" si="60"/>
        <v>22.392857142857142</v>
      </c>
    </row>
    <row r="306" spans="2:22" x14ac:dyDescent="0.3">
      <c r="B306" s="246">
        <v>299</v>
      </c>
      <c r="C306" s="437">
        <f>B306*MechanicalData!$B$22/360</f>
        <v>45.680555555555557</v>
      </c>
      <c r="D306" s="437">
        <f>MechanicalData!$B$22</f>
        <v>55</v>
      </c>
      <c r="E306" s="248">
        <v>299</v>
      </c>
      <c r="F306" s="453">
        <v>56.133000000000003</v>
      </c>
      <c r="G306" s="437">
        <v>69.998000000000005</v>
      </c>
      <c r="H306" s="339">
        <f t="shared" si="61"/>
        <v>299</v>
      </c>
      <c r="I306" s="451">
        <f t="shared" si="62"/>
        <v>55</v>
      </c>
      <c r="J306" s="340">
        <f t="shared" si="63"/>
        <v>0.15277777777777779</v>
      </c>
      <c r="K306" s="341">
        <f t="shared" si="64"/>
        <v>45.680555555555557</v>
      </c>
      <c r="L306" s="333">
        <f t="shared" si="65"/>
        <v>6695.4642857142862</v>
      </c>
      <c r="M306" s="342">
        <f t="shared" si="66"/>
        <v>6695</v>
      </c>
      <c r="N306" s="343">
        <f t="shared" si="67"/>
        <v>45.680555555555557</v>
      </c>
      <c r="O306" s="343"/>
      <c r="P306" s="343">
        <f t="shared" si="68"/>
        <v>0</v>
      </c>
      <c r="Q306" s="344"/>
      <c r="R306" s="343">
        <f t="shared" si="69"/>
        <v>299.0000000000004</v>
      </c>
      <c r="S306" s="343">
        <f t="shared" si="70"/>
        <v>0</v>
      </c>
      <c r="T306" s="343"/>
      <c r="U306" s="343">
        <f t="shared" ca="1" si="49"/>
        <v>1.0000000000000002</v>
      </c>
      <c r="V306" s="345">
        <f t="shared" si="60"/>
        <v>22.392857142857142</v>
      </c>
    </row>
    <row r="307" spans="2:22" x14ac:dyDescent="0.3">
      <c r="B307" s="246">
        <v>300</v>
      </c>
      <c r="C307" s="437">
        <f>B307*MechanicalData!$B$22/360</f>
        <v>45.833333333333336</v>
      </c>
      <c r="D307" s="437">
        <f>MechanicalData!$B$22</f>
        <v>55</v>
      </c>
      <c r="E307" s="248">
        <v>300</v>
      </c>
      <c r="F307" s="453">
        <v>56.326999999999998</v>
      </c>
      <c r="G307" s="437">
        <v>69.998000000000005</v>
      </c>
      <c r="H307" s="339">
        <f t="shared" si="61"/>
        <v>300</v>
      </c>
      <c r="I307" s="451">
        <f t="shared" si="62"/>
        <v>55</v>
      </c>
      <c r="J307" s="340">
        <f t="shared" si="63"/>
        <v>0.15277777777777779</v>
      </c>
      <c r="K307" s="341">
        <f t="shared" si="64"/>
        <v>45.833333333333336</v>
      </c>
      <c r="L307" s="333">
        <f t="shared" si="65"/>
        <v>6717.8571428571422</v>
      </c>
      <c r="M307" s="342">
        <f t="shared" si="66"/>
        <v>6718</v>
      </c>
      <c r="N307" s="343">
        <f t="shared" si="67"/>
        <v>45.833333333333329</v>
      </c>
      <c r="O307" s="343"/>
      <c r="P307" s="343">
        <f t="shared" si="68"/>
        <v>0</v>
      </c>
      <c r="Q307" s="344"/>
      <c r="R307" s="343">
        <f t="shared" si="69"/>
        <v>300.00000000000034</v>
      </c>
      <c r="S307" s="343">
        <f t="shared" si="70"/>
        <v>0</v>
      </c>
      <c r="T307" s="343"/>
      <c r="U307" s="343">
        <f t="shared" ca="1" si="49"/>
        <v>1.0000000000000002</v>
      </c>
      <c r="V307" s="345">
        <f t="shared" si="60"/>
        <v>22.392857142857142</v>
      </c>
    </row>
    <row r="308" spans="2:22" x14ac:dyDescent="0.3">
      <c r="B308" s="246">
        <v>301</v>
      </c>
      <c r="C308" s="437">
        <f>B308*MechanicalData!$B$22/360</f>
        <v>45.986111111111114</v>
      </c>
      <c r="D308" s="437">
        <f>MechanicalData!$B$22</f>
        <v>55</v>
      </c>
      <c r="E308" s="248">
        <v>301</v>
      </c>
      <c r="F308" s="453">
        <v>56.521000000000001</v>
      </c>
      <c r="G308" s="437">
        <v>69.998000000000005</v>
      </c>
      <c r="H308" s="339">
        <f t="shared" si="61"/>
        <v>301</v>
      </c>
      <c r="I308" s="451">
        <f t="shared" si="62"/>
        <v>55</v>
      </c>
      <c r="J308" s="340">
        <f t="shared" si="63"/>
        <v>0.15277777777777779</v>
      </c>
      <c r="K308" s="341">
        <f t="shared" si="64"/>
        <v>45.986111111111114</v>
      </c>
      <c r="L308" s="333">
        <f t="shared" si="65"/>
        <v>6740.25</v>
      </c>
      <c r="M308" s="342">
        <f t="shared" si="66"/>
        <v>6740</v>
      </c>
      <c r="N308" s="343">
        <f t="shared" si="67"/>
        <v>45.986111111111107</v>
      </c>
      <c r="O308" s="343"/>
      <c r="P308" s="343">
        <f t="shared" si="68"/>
        <v>0</v>
      </c>
      <c r="Q308" s="344"/>
      <c r="R308" s="343">
        <f t="shared" si="69"/>
        <v>301.0000000000004</v>
      </c>
      <c r="S308" s="343">
        <f t="shared" si="70"/>
        <v>0</v>
      </c>
      <c r="T308" s="343"/>
      <c r="U308" s="343">
        <f t="shared" ca="1" si="49"/>
        <v>1.0000000000000002</v>
      </c>
      <c r="V308" s="345">
        <f t="shared" si="60"/>
        <v>22.392857142857142</v>
      </c>
    </row>
    <row r="309" spans="2:22" x14ac:dyDescent="0.3">
      <c r="B309" s="246">
        <v>302</v>
      </c>
      <c r="C309" s="437">
        <f>B309*MechanicalData!$B$22/360</f>
        <v>46.138888888888886</v>
      </c>
      <c r="D309" s="437">
        <f>MechanicalData!$B$22</f>
        <v>55</v>
      </c>
      <c r="E309" s="248">
        <v>302</v>
      </c>
      <c r="F309" s="453">
        <v>56.716000000000001</v>
      </c>
      <c r="G309" s="437">
        <v>69.998000000000005</v>
      </c>
      <c r="H309" s="339">
        <f t="shared" si="61"/>
        <v>302</v>
      </c>
      <c r="I309" s="451">
        <f t="shared" si="62"/>
        <v>55</v>
      </c>
      <c r="J309" s="340">
        <f t="shared" si="63"/>
        <v>0.15277777777777779</v>
      </c>
      <c r="K309" s="341">
        <f t="shared" si="64"/>
        <v>46.138888888888886</v>
      </c>
      <c r="L309" s="333">
        <f t="shared" si="65"/>
        <v>6762.642857142856</v>
      </c>
      <c r="M309" s="342">
        <f t="shared" si="66"/>
        <v>6763</v>
      </c>
      <c r="N309" s="343">
        <f t="shared" si="67"/>
        <v>46.138888888888879</v>
      </c>
      <c r="O309" s="343"/>
      <c r="P309" s="343">
        <f t="shared" si="68"/>
        <v>0</v>
      </c>
      <c r="Q309" s="344"/>
      <c r="R309" s="343">
        <f t="shared" si="69"/>
        <v>302.00000000000034</v>
      </c>
      <c r="S309" s="343">
        <f t="shared" si="70"/>
        <v>0</v>
      </c>
      <c r="T309" s="343"/>
      <c r="U309" s="343">
        <f t="shared" ca="1" si="49"/>
        <v>1.0000000000000002</v>
      </c>
      <c r="V309" s="345">
        <f t="shared" si="60"/>
        <v>22.392857142857142</v>
      </c>
    </row>
    <row r="310" spans="2:22" x14ac:dyDescent="0.3">
      <c r="B310" s="246">
        <v>303</v>
      </c>
      <c r="C310" s="437">
        <f>B310*MechanicalData!$B$22/360</f>
        <v>46.291666666666664</v>
      </c>
      <c r="D310" s="437">
        <f>MechanicalData!$B$22</f>
        <v>55</v>
      </c>
      <c r="E310" s="248">
        <v>303</v>
      </c>
      <c r="F310" s="453">
        <v>56.91</v>
      </c>
      <c r="G310" s="437">
        <v>69.998000000000005</v>
      </c>
      <c r="H310" s="339">
        <f t="shared" si="61"/>
        <v>303</v>
      </c>
      <c r="I310" s="451">
        <f t="shared" si="62"/>
        <v>55</v>
      </c>
      <c r="J310" s="340">
        <f t="shared" si="63"/>
        <v>0.15277777777777779</v>
      </c>
      <c r="K310" s="341">
        <f t="shared" si="64"/>
        <v>46.291666666666664</v>
      </c>
      <c r="L310" s="333">
        <f t="shared" si="65"/>
        <v>6785.0357142857138</v>
      </c>
      <c r="M310" s="342">
        <f t="shared" si="66"/>
        <v>6785</v>
      </c>
      <c r="N310" s="343">
        <f t="shared" si="67"/>
        <v>46.291666666666664</v>
      </c>
      <c r="O310" s="343"/>
      <c r="P310" s="343">
        <f t="shared" si="68"/>
        <v>0</v>
      </c>
      <c r="Q310" s="344"/>
      <c r="R310" s="343">
        <f t="shared" si="69"/>
        <v>303.00000000000034</v>
      </c>
      <c r="S310" s="343">
        <f t="shared" si="70"/>
        <v>0</v>
      </c>
      <c r="T310" s="343"/>
      <c r="U310" s="343">
        <f t="shared" ca="1" si="49"/>
        <v>1.0000000000000002</v>
      </c>
      <c r="V310" s="345">
        <f t="shared" si="60"/>
        <v>22.392857142857142</v>
      </c>
    </row>
    <row r="311" spans="2:22" x14ac:dyDescent="0.3">
      <c r="B311" s="246">
        <v>304</v>
      </c>
      <c r="C311" s="437">
        <f>B311*MechanicalData!$B$22/360</f>
        <v>46.444444444444443</v>
      </c>
      <c r="D311" s="437">
        <f>MechanicalData!$B$22</f>
        <v>55</v>
      </c>
      <c r="E311" s="248">
        <v>304</v>
      </c>
      <c r="F311" s="453">
        <v>57.104999999999997</v>
      </c>
      <c r="G311" s="437">
        <v>69.998000000000005</v>
      </c>
      <c r="H311" s="339">
        <f t="shared" si="61"/>
        <v>304</v>
      </c>
      <c r="I311" s="451">
        <f t="shared" si="62"/>
        <v>55</v>
      </c>
      <c r="J311" s="340">
        <f t="shared" si="63"/>
        <v>0.15277777777777779</v>
      </c>
      <c r="K311" s="341">
        <f t="shared" si="64"/>
        <v>46.444444444444443</v>
      </c>
      <c r="L311" s="333">
        <f t="shared" si="65"/>
        <v>6807.4285714285706</v>
      </c>
      <c r="M311" s="342">
        <f t="shared" si="66"/>
        <v>6807</v>
      </c>
      <c r="N311" s="343">
        <f t="shared" si="67"/>
        <v>46.444444444444436</v>
      </c>
      <c r="O311" s="343"/>
      <c r="P311" s="343">
        <f t="shared" si="68"/>
        <v>0</v>
      </c>
      <c r="Q311" s="344"/>
      <c r="R311" s="343">
        <f t="shared" si="69"/>
        <v>304.00000000000034</v>
      </c>
      <c r="S311" s="343">
        <f t="shared" si="70"/>
        <v>0</v>
      </c>
      <c r="T311" s="343"/>
      <c r="U311" s="343">
        <f t="shared" ca="1" si="49"/>
        <v>1.0000000000000002</v>
      </c>
      <c r="V311" s="345">
        <f t="shared" si="60"/>
        <v>22.392857142857142</v>
      </c>
    </row>
    <row r="312" spans="2:22" x14ac:dyDescent="0.3">
      <c r="B312" s="246">
        <v>305</v>
      </c>
      <c r="C312" s="437">
        <f>B312*MechanicalData!$B$22/360</f>
        <v>46.597222222222221</v>
      </c>
      <c r="D312" s="437">
        <f>MechanicalData!$B$22</f>
        <v>55</v>
      </c>
      <c r="E312" s="248">
        <v>305</v>
      </c>
      <c r="F312" s="453">
        <v>57.298999999999999</v>
      </c>
      <c r="G312" s="437">
        <v>69.998000000000005</v>
      </c>
      <c r="H312" s="339">
        <f t="shared" si="61"/>
        <v>305</v>
      </c>
      <c r="I312" s="451">
        <f t="shared" si="62"/>
        <v>55</v>
      </c>
      <c r="J312" s="340">
        <f t="shared" si="63"/>
        <v>0.15277777777777779</v>
      </c>
      <c r="K312" s="341">
        <f t="shared" si="64"/>
        <v>46.597222222222221</v>
      </c>
      <c r="L312" s="333">
        <f t="shared" si="65"/>
        <v>6829.8214285714284</v>
      </c>
      <c r="M312" s="342">
        <f t="shared" si="66"/>
        <v>6830</v>
      </c>
      <c r="N312" s="343">
        <f t="shared" si="67"/>
        <v>46.597222222222221</v>
      </c>
      <c r="O312" s="343"/>
      <c r="P312" s="343">
        <f t="shared" si="68"/>
        <v>0</v>
      </c>
      <c r="Q312" s="344"/>
      <c r="R312" s="343">
        <f t="shared" si="69"/>
        <v>305.0000000000004</v>
      </c>
      <c r="S312" s="343">
        <f t="shared" si="70"/>
        <v>0</v>
      </c>
      <c r="T312" s="343"/>
      <c r="U312" s="343">
        <f t="shared" ca="1" si="49"/>
        <v>1.0000000000000002</v>
      </c>
      <c r="V312" s="345">
        <f t="shared" si="60"/>
        <v>22.392857142857142</v>
      </c>
    </row>
    <row r="313" spans="2:22" x14ac:dyDescent="0.3">
      <c r="B313" s="246">
        <v>306</v>
      </c>
      <c r="C313" s="437">
        <f>B313*MechanicalData!$B$22/360</f>
        <v>46.75</v>
      </c>
      <c r="D313" s="437">
        <f>MechanicalData!$B$22</f>
        <v>55</v>
      </c>
      <c r="E313" s="248">
        <v>306</v>
      </c>
      <c r="F313" s="453">
        <v>57.494</v>
      </c>
      <c r="G313" s="437">
        <v>69.998000000000005</v>
      </c>
      <c r="H313" s="339">
        <f t="shared" si="61"/>
        <v>306</v>
      </c>
      <c r="I313" s="451">
        <f t="shared" si="62"/>
        <v>55</v>
      </c>
      <c r="J313" s="340">
        <f t="shared" si="63"/>
        <v>0.15277777777777779</v>
      </c>
      <c r="K313" s="341">
        <f t="shared" si="64"/>
        <v>46.75</v>
      </c>
      <c r="L313" s="333">
        <f t="shared" si="65"/>
        <v>6852.2142857142853</v>
      </c>
      <c r="M313" s="342">
        <f t="shared" si="66"/>
        <v>6852</v>
      </c>
      <c r="N313" s="343">
        <f t="shared" si="67"/>
        <v>46.749999999999993</v>
      </c>
      <c r="O313" s="343"/>
      <c r="P313" s="343">
        <f t="shared" si="68"/>
        <v>0</v>
      </c>
      <c r="Q313" s="344"/>
      <c r="R313" s="343">
        <f t="shared" si="69"/>
        <v>306.00000000000034</v>
      </c>
      <c r="S313" s="343">
        <f t="shared" si="70"/>
        <v>0</v>
      </c>
      <c r="T313" s="343"/>
      <c r="U313" s="343">
        <f t="shared" ca="1" si="49"/>
        <v>1.0000000000000002</v>
      </c>
      <c r="V313" s="345">
        <f t="shared" si="60"/>
        <v>22.392857142857142</v>
      </c>
    </row>
    <row r="314" spans="2:22" x14ac:dyDescent="0.3">
      <c r="B314" s="246">
        <v>307</v>
      </c>
      <c r="C314" s="437">
        <f>B314*MechanicalData!$B$22/360</f>
        <v>46.902777777777779</v>
      </c>
      <c r="D314" s="437">
        <f>MechanicalData!$B$22</f>
        <v>55</v>
      </c>
      <c r="E314" s="248">
        <v>307</v>
      </c>
      <c r="F314" s="453">
        <v>57.688000000000002</v>
      </c>
      <c r="G314" s="437">
        <v>69.998000000000005</v>
      </c>
      <c r="H314" s="339">
        <f t="shared" si="61"/>
        <v>307</v>
      </c>
      <c r="I314" s="451">
        <f t="shared" si="62"/>
        <v>55</v>
      </c>
      <c r="J314" s="340">
        <f t="shared" si="63"/>
        <v>0.15277777777777779</v>
      </c>
      <c r="K314" s="341">
        <f t="shared" si="64"/>
        <v>46.902777777777779</v>
      </c>
      <c r="L314" s="333">
        <f t="shared" si="65"/>
        <v>6874.6071428571431</v>
      </c>
      <c r="M314" s="342">
        <f t="shared" si="66"/>
        <v>6875</v>
      </c>
      <c r="N314" s="343">
        <f t="shared" si="67"/>
        <v>46.902777777777779</v>
      </c>
      <c r="O314" s="343"/>
      <c r="P314" s="343">
        <f t="shared" si="68"/>
        <v>0</v>
      </c>
      <c r="Q314" s="344"/>
      <c r="R314" s="343">
        <f t="shared" si="69"/>
        <v>307.0000000000004</v>
      </c>
      <c r="S314" s="343">
        <f t="shared" si="70"/>
        <v>0</v>
      </c>
      <c r="T314" s="343"/>
      <c r="U314" s="343">
        <f t="shared" ca="1" si="49"/>
        <v>1.0000000000000002</v>
      </c>
      <c r="V314" s="345">
        <f t="shared" si="60"/>
        <v>22.392857142857142</v>
      </c>
    </row>
    <row r="315" spans="2:22" x14ac:dyDescent="0.3">
      <c r="B315" s="246">
        <v>308</v>
      </c>
      <c r="C315" s="437">
        <f>B315*MechanicalData!$B$22/360</f>
        <v>47.055555555555557</v>
      </c>
      <c r="D315" s="437">
        <f>MechanicalData!$B$22</f>
        <v>55</v>
      </c>
      <c r="E315" s="248">
        <v>308</v>
      </c>
      <c r="F315" s="453">
        <v>57.881999999999998</v>
      </c>
      <c r="G315" s="437">
        <v>69.998000000000005</v>
      </c>
      <c r="H315" s="339">
        <f t="shared" si="61"/>
        <v>308</v>
      </c>
      <c r="I315" s="451">
        <f t="shared" si="62"/>
        <v>55</v>
      </c>
      <c r="J315" s="340">
        <f t="shared" si="63"/>
        <v>0.15277777777777779</v>
      </c>
      <c r="K315" s="341">
        <f t="shared" si="64"/>
        <v>47.055555555555557</v>
      </c>
      <c r="L315" s="333">
        <f t="shared" si="65"/>
        <v>6897.0000000000009</v>
      </c>
      <c r="M315" s="342">
        <f t="shared" si="66"/>
        <v>6897</v>
      </c>
      <c r="N315" s="343">
        <f t="shared" si="67"/>
        <v>47.055555555555557</v>
      </c>
      <c r="O315" s="343"/>
      <c r="P315" s="343">
        <f t="shared" si="68"/>
        <v>0</v>
      </c>
      <c r="Q315" s="344"/>
      <c r="R315" s="343">
        <f t="shared" si="69"/>
        <v>308.0000000000004</v>
      </c>
      <c r="S315" s="343">
        <f t="shared" si="70"/>
        <v>0</v>
      </c>
      <c r="T315" s="343"/>
      <c r="U315" s="343">
        <f t="shared" ca="1" si="49"/>
        <v>1.0000000000000002</v>
      </c>
      <c r="V315" s="345">
        <f t="shared" si="60"/>
        <v>22.392857142857142</v>
      </c>
    </row>
    <row r="316" spans="2:22" x14ac:dyDescent="0.3">
      <c r="B316" s="246">
        <v>309</v>
      </c>
      <c r="C316" s="437">
        <f>B316*MechanicalData!$B$22/360</f>
        <v>47.208333333333336</v>
      </c>
      <c r="D316" s="437">
        <f>MechanicalData!$B$22</f>
        <v>55</v>
      </c>
      <c r="E316" s="248">
        <v>309</v>
      </c>
      <c r="F316" s="453">
        <v>58.076999999999998</v>
      </c>
      <c r="G316" s="437">
        <v>69.998000000000005</v>
      </c>
      <c r="H316" s="339">
        <f t="shared" si="61"/>
        <v>309</v>
      </c>
      <c r="I316" s="451">
        <f t="shared" si="62"/>
        <v>55</v>
      </c>
      <c r="J316" s="340">
        <f t="shared" si="63"/>
        <v>0.15277777777777779</v>
      </c>
      <c r="K316" s="341">
        <f t="shared" si="64"/>
        <v>47.208333333333336</v>
      </c>
      <c r="L316" s="333">
        <f t="shared" si="65"/>
        <v>6919.3928571428569</v>
      </c>
      <c r="M316" s="342">
        <f t="shared" si="66"/>
        <v>6919</v>
      </c>
      <c r="N316" s="343">
        <f t="shared" si="67"/>
        <v>47.208333333333329</v>
      </c>
      <c r="O316" s="343"/>
      <c r="P316" s="343">
        <f t="shared" si="68"/>
        <v>0</v>
      </c>
      <c r="Q316" s="344"/>
      <c r="R316" s="343">
        <f t="shared" si="69"/>
        <v>309.00000000000034</v>
      </c>
      <c r="S316" s="343">
        <f t="shared" si="70"/>
        <v>0</v>
      </c>
      <c r="T316" s="343"/>
      <c r="U316" s="343">
        <f t="shared" ca="1" si="49"/>
        <v>1.0000000000000002</v>
      </c>
      <c r="V316" s="345">
        <f t="shared" si="60"/>
        <v>22.392857142857142</v>
      </c>
    </row>
    <row r="317" spans="2:22" x14ac:dyDescent="0.3">
      <c r="B317" s="246">
        <v>310</v>
      </c>
      <c r="C317" s="437">
        <f>B317*MechanicalData!$B$22/360</f>
        <v>47.361111111111114</v>
      </c>
      <c r="D317" s="437">
        <f>MechanicalData!$B$22</f>
        <v>55</v>
      </c>
      <c r="E317" s="248">
        <v>310</v>
      </c>
      <c r="F317" s="453">
        <v>58.271000000000001</v>
      </c>
      <c r="G317" s="437">
        <v>69.998000000000005</v>
      </c>
      <c r="H317" s="339">
        <f t="shared" si="61"/>
        <v>310</v>
      </c>
      <c r="I317" s="451">
        <f t="shared" si="62"/>
        <v>55</v>
      </c>
      <c r="J317" s="340">
        <f t="shared" si="63"/>
        <v>0.15277777777777779</v>
      </c>
      <c r="K317" s="341">
        <f t="shared" si="64"/>
        <v>47.361111111111114</v>
      </c>
      <c r="L317" s="333">
        <f t="shared" si="65"/>
        <v>6941.7857142857138</v>
      </c>
      <c r="M317" s="342">
        <f t="shared" si="66"/>
        <v>6942</v>
      </c>
      <c r="N317" s="343">
        <f t="shared" si="67"/>
        <v>47.361111111111107</v>
      </c>
      <c r="O317" s="343"/>
      <c r="P317" s="343">
        <f t="shared" si="68"/>
        <v>0</v>
      </c>
      <c r="Q317" s="344"/>
      <c r="R317" s="343">
        <f t="shared" si="69"/>
        <v>310.00000000000034</v>
      </c>
      <c r="S317" s="343">
        <f t="shared" si="70"/>
        <v>0</v>
      </c>
      <c r="T317" s="343"/>
      <c r="U317" s="343">
        <f t="shared" ca="1" si="49"/>
        <v>1.0000000000000002</v>
      </c>
      <c r="V317" s="345">
        <f t="shared" si="60"/>
        <v>22.392857142857142</v>
      </c>
    </row>
    <row r="318" spans="2:22" x14ac:dyDescent="0.3">
      <c r="B318" s="246">
        <v>311</v>
      </c>
      <c r="C318" s="437">
        <f>B318*MechanicalData!$B$22/360</f>
        <v>47.513888888888886</v>
      </c>
      <c r="D318" s="437">
        <f>MechanicalData!$B$22</f>
        <v>55</v>
      </c>
      <c r="E318" s="248">
        <v>311</v>
      </c>
      <c r="F318" s="453">
        <v>58.466000000000001</v>
      </c>
      <c r="G318" s="437">
        <v>69.998000000000005</v>
      </c>
      <c r="H318" s="339">
        <f t="shared" si="61"/>
        <v>311</v>
      </c>
      <c r="I318" s="451">
        <f t="shared" si="62"/>
        <v>55</v>
      </c>
      <c r="J318" s="340">
        <f t="shared" si="63"/>
        <v>0.15277777777777779</v>
      </c>
      <c r="K318" s="341">
        <f t="shared" si="64"/>
        <v>47.513888888888886</v>
      </c>
      <c r="L318" s="333">
        <f t="shared" si="65"/>
        <v>6964.1785714285706</v>
      </c>
      <c r="M318" s="342">
        <f t="shared" si="66"/>
        <v>6964</v>
      </c>
      <c r="N318" s="343">
        <f t="shared" si="67"/>
        <v>47.513888888888886</v>
      </c>
      <c r="O318" s="343"/>
      <c r="P318" s="343">
        <f t="shared" si="68"/>
        <v>0</v>
      </c>
      <c r="Q318" s="344"/>
      <c r="R318" s="343">
        <f t="shared" si="69"/>
        <v>311.00000000000034</v>
      </c>
      <c r="S318" s="343">
        <f t="shared" si="70"/>
        <v>0</v>
      </c>
      <c r="T318" s="343"/>
      <c r="U318" s="343">
        <f t="shared" ca="1" si="49"/>
        <v>1.0000000000000002</v>
      </c>
      <c r="V318" s="345">
        <f t="shared" si="60"/>
        <v>22.392857142857142</v>
      </c>
    </row>
    <row r="319" spans="2:22" x14ac:dyDescent="0.3">
      <c r="B319" s="246">
        <v>312</v>
      </c>
      <c r="C319" s="437">
        <f>B319*MechanicalData!$B$22/360</f>
        <v>47.666666666666664</v>
      </c>
      <c r="D319" s="437">
        <f>MechanicalData!$B$22</f>
        <v>55</v>
      </c>
      <c r="E319" s="248">
        <v>312</v>
      </c>
      <c r="F319" s="453">
        <v>58.66</v>
      </c>
      <c r="G319" s="437">
        <v>69.998000000000005</v>
      </c>
      <c r="H319" s="339">
        <f t="shared" si="61"/>
        <v>312</v>
      </c>
      <c r="I319" s="451">
        <f t="shared" si="62"/>
        <v>55</v>
      </c>
      <c r="J319" s="340">
        <f t="shared" si="63"/>
        <v>0.15277777777777779</v>
      </c>
      <c r="K319" s="341">
        <f t="shared" si="64"/>
        <v>47.666666666666664</v>
      </c>
      <c r="L319" s="333">
        <f t="shared" si="65"/>
        <v>6986.5714285714275</v>
      </c>
      <c r="M319" s="342">
        <f t="shared" si="66"/>
        <v>6987</v>
      </c>
      <c r="N319" s="343">
        <f t="shared" si="67"/>
        <v>47.666666666666657</v>
      </c>
      <c r="O319" s="343"/>
      <c r="P319" s="343">
        <f t="shared" si="68"/>
        <v>0</v>
      </c>
      <c r="Q319" s="344"/>
      <c r="R319" s="343">
        <f t="shared" si="69"/>
        <v>312.00000000000028</v>
      </c>
      <c r="S319" s="343">
        <f t="shared" si="70"/>
        <v>0</v>
      </c>
      <c r="T319" s="343"/>
      <c r="U319" s="343">
        <f t="shared" ca="1" si="49"/>
        <v>1.0000000000000002</v>
      </c>
      <c r="V319" s="345">
        <f t="shared" si="60"/>
        <v>22.392857142857142</v>
      </c>
    </row>
    <row r="320" spans="2:22" x14ac:dyDescent="0.3">
      <c r="B320" s="246">
        <v>313</v>
      </c>
      <c r="C320" s="437">
        <f>B320*MechanicalData!$B$22/360</f>
        <v>47.819444444444443</v>
      </c>
      <c r="D320" s="437">
        <f>MechanicalData!$B$22</f>
        <v>55</v>
      </c>
      <c r="E320" s="248">
        <v>313</v>
      </c>
      <c r="F320" s="453">
        <v>58.854999999999997</v>
      </c>
      <c r="G320" s="437">
        <v>69.998000000000005</v>
      </c>
      <c r="H320" s="339">
        <f t="shared" si="61"/>
        <v>313</v>
      </c>
      <c r="I320" s="451">
        <f t="shared" si="62"/>
        <v>55</v>
      </c>
      <c r="J320" s="340">
        <f t="shared" si="63"/>
        <v>0.15277777777777779</v>
      </c>
      <c r="K320" s="341">
        <f t="shared" si="64"/>
        <v>47.819444444444443</v>
      </c>
      <c r="L320" s="333">
        <f t="shared" si="65"/>
        <v>7008.9642857142853</v>
      </c>
      <c r="M320" s="342">
        <f t="shared" si="66"/>
        <v>7009</v>
      </c>
      <c r="N320" s="343">
        <f t="shared" si="67"/>
        <v>47.819444444444443</v>
      </c>
      <c r="O320" s="343"/>
      <c r="P320" s="343">
        <f t="shared" si="68"/>
        <v>0</v>
      </c>
      <c r="Q320" s="344"/>
      <c r="R320" s="343">
        <f t="shared" si="69"/>
        <v>313.00000000000034</v>
      </c>
      <c r="S320" s="343">
        <f t="shared" si="70"/>
        <v>0</v>
      </c>
      <c r="T320" s="343"/>
      <c r="U320" s="343">
        <f t="shared" ca="1" si="49"/>
        <v>1.0000000000000002</v>
      </c>
      <c r="V320" s="345">
        <f t="shared" si="60"/>
        <v>22.392857142857142</v>
      </c>
    </row>
    <row r="321" spans="2:22" x14ac:dyDescent="0.3">
      <c r="B321" s="246">
        <v>314</v>
      </c>
      <c r="C321" s="437">
        <f>B321*MechanicalData!$B$22/360</f>
        <v>47.972222222222221</v>
      </c>
      <c r="D321" s="437">
        <f>MechanicalData!$B$22</f>
        <v>55</v>
      </c>
      <c r="E321" s="248">
        <v>314</v>
      </c>
      <c r="F321" s="453">
        <v>59.048999999999999</v>
      </c>
      <c r="G321" s="437">
        <v>69.998000000000005</v>
      </c>
      <c r="H321" s="339">
        <f t="shared" si="61"/>
        <v>314</v>
      </c>
      <c r="I321" s="451">
        <f t="shared" si="62"/>
        <v>55</v>
      </c>
      <c r="J321" s="340">
        <f t="shared" si="63"/>
        <v>0.15277777777777779</v>
      </c>
      <c r="K321" s="341">
        <f t="shared" si="64"/>
        <v>47.972222222222221</v>
      </c>
      <c r="L321" s="333">
        <f t="shared" si="65"/>
        <v>7031.3571428571422</v>
      </c>
      <c r="M321" s="342">
        <f t="shared" si="66"/>
        <v>7031</v>
      </c>
      <c r="N321" s="343">
        <f t="shared" si="67"/>
        <v>47.972222222222214</v>
      </c>
      <c r="O321" s="343"/>
      <c r="P321" s="343">
        <f t="shared" si="68"/>
        <v>0</v>
      </c>
      <c r="Q321" s="344"/>
      <c r="R321" s="343">
        <f t="shared" si="69"/>
        <v>314.00000000000034</v>
      </c>
      <c r="S321" s="343">
        <f t="shared" si="70"/>
        <v>0</v>
      </c>
      <c r="T321" s="343"/>
      <c r="U321" s="343">
        <f t="shared" ca="1" si="49"/>
        <v>1.0000000000000002</v>
      </c>
      <c r="V321" s="345">
        <f t="shared" si="60"/>
        <v>22.392857142857142</v>
      </c>
    </row>
    <row r="322" spans="2:22" x14ac:dyDescent="0.3">
      <c r="B322" s="246">
        <v>315</v>
      </c>
      <c r="C322" s="437">
        <f>B322*MechanicalData!$B$22/360</f>
        <v>48.125</v>
      </c>
      <c r="D322" s="437">
        <f>MechanicalData!$B$22</f>
        <v>55</v>
      </c>
      <c r="E322" s="248">
        <v>315</v>
      </c>
      <c r="F322" s="453">
        <v>59.244</v>
      </c>
      <c r="G322" s="437">
        <v>69.998000000000005</v>
      </c>
      <c r="H322" s="339">
        <f t="shared" si="61"/>
        <v>315</v>
      </c>
      <c r="I322" s="451">
        <f t="shared" si="62"/>
        <v>55</v>
      </c>
      <c r="J322" s="340">
        <f t="shared" si="63"/>
        <v>0.15277777777777779</v>
      </c>
      <c r="K322" s="341">
        <f t="shared" si="64"/>
        <v>48.125</v>
      </c>
      <c r="L322" s="333">
        <f t="shared" si="65"/>
        <v>7053.75</v>
      </c>
      <c r="M322" s="342">
        <f t="shared" si="66"/>
        <v>7054</v>
      </c>
      <c r="N322" s="343">
        <f t="shared" si="67"/>
        <v>48.125</v>
      </c>
      <c r="O322" s="343"/>
      <c r="P322" s="343">
        <f t="shared" si="68"/>
        <v>0</v>
      </c>
      <c r="Q322" s="344"/>
      <c r="R322" s="343">
        <f t="shared" si="69"/>
        <v>315.0000000000004</v>
      </c>
      <c r="S322" s="343">
        <f t="shared" si="70"/>
        <v>0</v>
      </c>
      <c r="T322" s="343"/>
      <c r="U322" s="343">
        <f t="shared" ca="1" si="49"/>
        <v>1.0000000000000002</v>
      </c>
      <c r="V322" s="345">
        <f t="shared" si="60"/>
        <v>22.392857142857142</v>
      </c>
    </row>
    <row r="323" spans="2:22" x14ac:dyDescent="0.3">
      <c r="B323" s="246">
        <v>316</v>
      </c>
      <c r="C323" s="437">
        <f>B323*MechanicalData!$B$22/360</f>
        <v>48.277777777777779</v>
      </c>
      <c r="D323" s="437">
        <f>MechanicalData!$B$22</f>
        <v>55</v>
      </c>
      <c r="E323" s="248">
        <v>316</v>
      </c>
      <c r="F323" s="453">
        <v>59.438000000000002</v>
      </c>
      <c r="G323" s="437">
        <v>69.998000000000005</v>
      </c>
      <c r="H323" s="339">
        <f t="shared" si="61"/>
        <v>316</v>
      </c>
      <c r="I323" s="451">
        <f t="shared" si="62"/>
        <v>55</v>
      </c>
      <c r="J323" s="340">
        <f t="shared" si="63"/>
        <v>0.15277777777777779</v>
      </c>
      <c r="K323" s="341">
        <f t="shared" si="64"/>
        <v>48.277777777777779</v>
      </c>
      <c r="L323" s="333">
        <f t="shared" si="65"/>
        <v>7076.1428571428578</v>
      </c>
      <c r="M323" s="342">
        <f t="shared" si="66"/>
        <v>7076</v>
      </c>
      <c r="N323" s="343">
        <f t="shared" si="67"/>
        <v>48.277777777777779</v>
      </c>
      <c r="O323" s="343"/>
      <c r="P323" s="343">
        <f t="shared" si="68"/>
        <v>0</v>
      </c>
      <c r="Q323" s="344"/>
      <c r="R323" s="343">
        <f t="shared" si="69"/>
        <v>316.00000000000045</v>
      </c>
      <c r="S323" s="343">
        <f t="shared" si="70"/>
        <v>-4.5474735088646412E-13</v>
      </c>
      <c r="T323" s="343"/>
      <c r="U323" s="343">
        <f t="shared" ca="1" si="49"/>
        <v>1.0000000000000002</v>
      </c>
      <c r="V323" s="345">
        <f t="shared" si="60"/>
        <v>22.392857142857142</v>
      </c>
    </row>
    <row r="324" spans="2:22" x14ac:dyDescent="0.3">
      <c r="B324" s="246">
        <v>317</v>
      </c>
      <c r="C324" s="437">
        <f>B324*MechanicalData!$B$22/360</f>
        <v>48.430555555555557</v>
      </c>
      <c r="D324" s="437">
        <f>MechanicalData!$B$22</f>
        <v>55</v>
      </c>
      <c r="E324" s="248">
        <v>317</v>
      </c>
      <c r="F324" s="453">
        <v>59.631999999999998</v>
      </c>
      <c r="G324" s="437">
        <v>69.998000000000005</v>
      </c>
      <c r="H324" s="339">
        <f t="shared" si="61"/>
        <v>317</v>
      </c>
      <c r="I324" s="451">
        <f t="shared" si="62"/>
        <v>55</v>
      </c>
      <c r="J324" s="340">
        <f t="shared" si="63"/>
        <v>0.15277777777777779</v>
      </c>
      <c r="K324" s="341">
        <f t="shared" si="64"/>
        <v>48.430555555555557</v>
      </c>
      <c r="L324" s="333">
        <f t="shared" si="65"/>
        <v>7098.5357142857147</v>
      </c>
      <c r="M324" s="342">
        <f t="shared" si="66"/>
        <v>7099</v>
      </c>
      <c r="N324" s="343">
        <f t="shared" si="67"/>
        <v>48.430555555555557</v>
      </c>
      <c r="O324" s="343"/>
      <c r="P324" s="343">
        <f t="shared" si="68"/>
        <v>0</v>
      </c>
      <c r="Q324" s="344"/>
      <c r="R324" s="343">
        <f t="shared" si="69"/>
        <v>317.0000000000004</v>
      </c>
      <c r="S324" s="343">
        <f t="shared" si="70"/>
        <v>0</v>
      </c>
      <c r="T324" s="343"/>
      <c r="U324" s="343">
        <f t="shared" ca="1" si="49"/>
        <v>1.0000000000000002</v>
      </c>
      <c r="V324" s="345">
        <f t="shared" si="60"/>
        <v>22.392857142857142</v>
      </c>
    </row>
    <row r="325" spans="2:22" x14ac:dyDescent="0.3">
      <c r="B325" s="246">
        <v>318</v>
      </c>
      <c r="C325" s="437">
        <f>B325*MechanicalData!$B$22/360</f>
        <v>48.583333333333336</v>
      </c>
      <c r="D325" s="437">
        <f>MechanicalData!$B$22</f>
        <v>55</v>
      </c>
      <c r="E325" s="248">
        <v>318</v>
      </c>
      <c r="F325" s="453">
        <v>59.826999999999998</v>
      </c>
      <c r="G325" s="437">
        <v>69.998000000000005</v>
      </c>
      <c r="H325" s="339">
        <f t="shared" si="61"/>
        <v>318</v>
      </c>
      <c r="I325" s="451">
        <f t="shared" si="62"/>
        <v>55</v>
      </c>
      <c r="J325" s="340">
        <f t="shared" si="63"/>
        <v>0.15277777777777779</v>
      </c>
      <c r="K325" s="341">
        <f t="shared" si="64"/>
        <v>48.583333333333336</v>
      </c>
      <c r="L325" s="333">
        <f t="shared" si="65"/>
        <v>7120.9285714285706</v>
      </c>
      <c r="M325" s="342">
        <f t="shared" si="66"/>
        <v>7121</v>
      </c>
      <c r="N325" s="343">
        <f t="shared" si="67"/>
        <v>48.583333333333329</v>
      </c>
      <c r="O325" s="343"/>
      <c r="P325" s="343">
        <f t="shared" si="68"/>
        <v>0</v>
      </c>
      <c r="Q325" s="344"/>
      <c r="R325" s="343">
        <f t="shared" si="69"/>
        <v>318.00000000000034</v>
      </c>
      <c r="S325" s="343">
        <f t="shared" si="70"/>
        <v>0</v>
      </c>
      <c r="T325" s="343"/>
      <c r="U325" s="343">
        <f t="shared" ca="1" si="49"/>
        <v>1.0000000000000002</v>
      </c>
      <c r="V325" s="345">
        <f t="shared" si="60"/>
        <v>22.392857142857142</v>
      </c>
    </row>
    <row r="326" spans="2:22" x14ac:dyDescent="0.3">
      <c r="B326" s="246">
        <v>319</v>
      </c>
      <c r="C326" s="437">
        <f>B326*MechanicalData!$B$22/360</f>
        <v>48.736111111111114</v>
      </c>
      <c r="D326" s="437">
        <f>MechanicalData!$B$22</f>
        <v>55</v>
      </c>
      <c r="E326" s="248">
        <v>319</v>
      </c>
      <c r="F326" s="453">
        <v>60.021000000000001</v>
      </c>
      <c r="G326" s="437">
        <v>69.998000000000005</v>
      </c>
      <c r="H326" s="339">
        <f t="shared" si="61"/>
        <v>319</v>
      </c>
      <c r="I326" s="451">
        <f t="shared" si="62"/>
        <v>55</v>
      </c>
      <c r="J326" s="340">
        <f t="shared" si="63"/>
        <v>0.15277777777777779</v>
      </c>
      <c r="K326" s="341">
        <f t="shared" si="64"/>
        <v>48.736111111111114</v>
      </c>
      <c r="L326" s="333">
        <f t="shared" si="65"/>
        <v>7143.3214285714284</v>
      </c>
      <c r="M326" s="342">
        <f t="shared" si="66"/>
        <v>7143</v>
      </c>
      <c r="N326" s="343">
        <f t="shared" si="67"/>
        <v>48.736111111111107</v>
      </c>
      <c r="O326" s="343"/>
      <c r="P326" s="343">
        <f t="shared" si="68"/>
        <v>0</v>
      </c>
      <c r="Q326" s="344"/>
      <c r="R326" s="343">
        <f t="shared" si="69"/>
        <v>319.0000000000004</v>
      </c>
      <c r="S326" s="343">
        <f t="shared" si="70"/>
        <v>0</v>
      </c>
      <c r="T326" s="343"/>
      <c r="U326" s="343">
        <f t="shared" ca="1" si="49"/>
        <v>1.0000000000000002</v>
      </c>
      <c r="V326" s="345">
        <f t="shared" si="60"/>
        <v>22.392857142857142</v>
      </c>
    </row>
    <row r="327" spans="2:22" x14ac:dyDescent="0.3">
      <c r="B327" s="246">
        <v>320</v>
      </c>
      <c r="C327" s="437">
        <f>B327*MechanicalData!$B$22/360</f>
        <v>48.888888888888886</v>
      </c>
      <c r="D327" s="437">
        <f>MechanicalData!$B$22</f>
        <v>55</v>
      </c>
      <c r="E327" s="248">
        <v>320</v>
      </c>
      <c r="F327" s="453">
        <v>60.216000000000001</v>
      </c>
      <c r="G327" s="437">
        <v>69.998000000000005</v>
      </c>
      <c r="H327" s="339">
        <f t="shared" si="61"/>
        <v>320</v>
      </c>
      <c r="I327" s="451">
        <f t="shared" si="62"/>
        <v>55</v>
      </c>
      <c r="J327" s="340">
        <f t="shared" si="63"/>
        <v>0.15277777777777779</v>
      </c>
      <c r="K327" s="341">
        <f t="shared" si="64"/>
        <v>48.888888888888886</v>
      </c>
      <c r="L327" s="333">
        <f t="shared" si="65"/>
        <v>7165.7142857142844</v>
      </c>
      <c r="M327" s="342">
        <f t="shared" si="66"/>
        <v>7166</v>
      </c>
      <c r="N327" s="343">
        <f t="shared" si="67"/>
        <v>48.888888888888879</v>
      </c>
      <c r="O327" s="343"/>
      <c r="P327" s="343">
        <f t="shared" si="68"/>
        <v>0</v>
      </c>
      <c r="Q327" s="344"/>
      <c r="R327" s="343">
        <f t="shared" si="69"/>
        <v>320.0000000000004</v>
      </c>
      <c r="S327" s="343">
        <f t="shared" si="70"/>
        <v>0</v>
      </c>
      <c r="T327" s="343"/>
      <c r="U327" s="343">
        <f t="shared" ca="1" si="49"/>
        <v>1.0000000000000002</v>
      </c>
      <c r="V327" s="345">
        <f t="shared" si="60"/>
        <v>22.392857142857142</v>
      </c>
    </row>
    <row r="328" spans="2:22" x14ac:dyDescent="0.3">
      <c r="B328" s="246">
        <v>321</v>
      </c>
      <c r="C328" s="437">
        <f>B328*MechanicalData!$B$22/360</f>
        <v>49.041666666666664</v>
      </c>
      <c r="D328" s="437">
        <f>MechanicalData!$B$22</f>
        <v>55</v>
      </c>
      <c r="E328" s="248">
        <v>321</v>
      </c>
      <c r="F328" s="453">
        <v>60.41</v>
      </c>
      <c r="G328" s="437">
        <v>69.998000000000005</v>
      </c>
      <c r="H328" s="339">
        <f t="shared" si="61"/>
        <v>321</v>
      </c>
      <c r="I328" s="451">
        <f t="shared" si="62"/>
        <v>55</v>
      </c>
      <c r="J328" s="340">
        <f t="shared" si="63"/>
        <v>0.15277777777777779</v>
      </c>
      <c r="K328" s="341">
        <f t="shared" si="64"/>
        <v>49.041666666666664</v>
      </c>
      <c r="L328" s="333">
        <f t="shared" si="65"/>
        <v>7188.1071428571422</v>
      </c>
      <c r="M328" s="342">
        <f t="shared" si="66"/>
        <v>7188</v>
      </c>
      <c r="N328" s="343">
        <f t="shared" si="67"/>
        <v>49.041666666666664</v>
      </c>
      <c r="O328" s="343"/>
      <c r="P328" s="343">
        <f t="shared" si="68"/>
        <v>0</v>
      </c>
      <c r="Q328" s="344"/>
      <c r="R328" s="343">
        <f t="shared" si="69"/>
        <v>321.00000000000034</v>
      </c>
      <c r="S328" s="343">
        <f t="shared" si="70"/>
        <v>0</v>
      </c>
      <c r="T328" s="343"/>
      <c r="U328" s="343">
        <f t="shared" ref="U328:U391" ca="1" si="71">$V328/$Z$9</f>
        <v>1.0000000000000002</v>
      </c>
      <c r="V328" s="345">
        <f t="shared" si="60"/>
        <v>22.392857142857142</v>
      </c>
    </row>
    <row r="329" spans="2:22" x14ac:dyDescent="0.3">
      <c r="B329" s="246">
        <v>322</v>
      </c>
      <c r="C329" s="437">
        <f>B329*MechanicalData!$B$22/360</f>
        <v>49.194444444444443</v>
      </c>
      <c r="D329" s="437">
        <f>MechanicalData!$B$22</f>
        <v>55</v>
      </c>
      <c r="E329" s="248">
        <v>322</v>
      </c>
      <c r="F329" s="453">
        <v>60.604999999999997</v>
      </c>
      <c r="G329" s="437">
        <v>69.998000000000005</v>
      </c>
      <c r="H329" s="339">
        <f t="shared" si="61"/>
        <v>322</v>
      </c>
      <c r="I329" s="451">
        <f t="shared" si="62"/>
        <v>55</v>
      </c>
      <c r="J329" s="340">
        <f t="shared" si="63"/>
        <v>0.15277777777777779</v>
      </c>
      <c r="K329" s="341">
        <f t="shared" si="64"/>
        <v>49.194444444444443</v>
      </c>
      <c r="L329" s="333">
        <f t="shared" si="65"/>
        <v>7210.4999999999991</v>
      </c>
      <c r="M329" s="342">
        <f t="shared" si="66"/>
        <v>7211</v>
      </c>
      <c r="N329" s="343">
        <f t="shared" si="67"/>
        <v>49.194444444444436</v>
      </c>
      <c r="O329" s="343"/>
      <c r="P329" s="343">
        <f t="shared" si="68"/>
        <v>0</v>
      </c>
      <c r="Q329" s="344"/>
      <c r="R329" s="343">
        <f t="shared" si="69"/>
        <v>322.00000000000034</v>
      </c>
      <c r="S329" s="343">
        <f t="shared" si="70"/>
        <v>0</v>
      </c>
      <c r="T329" s="343"/>
      <c r="U329" s="343">
        <f t="shared" ca="1" si="71"/>
        <v>1.0000000000000002</v>
      </c>
      <c r="V329" s="345">
        <f t="shared" ref="V329:V392" si="72">$I329/$Z$7</f>
        <v>22.392857142857142</v>
      </c>
    </row>
    <row r="330" spans="2:22" x14ac:dyDescent="0.3">
      <c r="B330" s="246">
        <v>323</v>
      </c>
      <c r="C330" s="437">
        <f>B330*MechanicalData!$B$22/360</f>
        <v>49.347222222222221</v>
      </c>
      <c r="D330" s="437">
        <f>MechanicalData!$B$22</f>
        <v>55</v>
      </c>
      <c r="E330" s="248">
        <v>323</v>
      </c>
      <c r="F330" s="453">
        <v>60.798999999999999</v>
      </c>
      <c r="G330" s="437">
        <v>69.998000000000005</v>
      </c>
      <c r="H330" s="339">
        <f t="shared" si="61"/>
        <v>323</v>
      </c>
      <c r="I330" s="451">
        <f t="shared" si="62"/>
        <v>55</v>
      </c>
      <c r="J330" s="340">
        <f t="shared" si="63"/>
        <v>0.15277777777777779</v>
      </c>
      <c r="K330" s="341">
        <f t="shared" si="64"/>
        <v>49.347222222222221</v>
      </c>
      <c r="L330" s="333">
        <f t="shared" si="65"/>
        <v>7232.8928571428569</v>
      </c>
      <c r="M330" s="342">
        <f t="shared" si="66"/>
        <v>7233</v>
      </c>
      <c r="N330" s="343">
        <f t="shared" si="67"/>
        <v>49.347222222222221</v>
      </c>
      <c r="O330" s="343"/>
      <c r="P330" s="343">
        <f t="shared" si="68"/>
        <v>0</v>
      </c>
      <c r="Q330" s="344"/>
      <c r="R330" s="343">
        <f t="shared" si="69"/>
        <v>323.0000000000004</v>
      </c>
      <c r="S330" s="343">
        <f t="shared" si="70"/>
        <v>0</v>
      </c>
      <c r="T330" s="343"/>
      <c r="U330" s="343">
        <f t="shared" ca="1" si="71"/>
        <v>1.0000000000000002</v>
      </c>
      <c r="V330" s="345">
        <f t="shared" si="72"/>
        <v>22.392857142857142</v>
      </c>
    </row>
    <row r="331" spans="2:22" x14ac:dyDescent="0.3">
      <c r="B331" s="246">
        <v>324</v>
      </c>
      <c r="C331" s="437">
        <f>B331*MechanicalData!$B$22/360</f>
        <v>49.5</v>
      </c>
      <c r="D331" s="437">
        <f>MechanicalData!$B$22</f>
        <v>55</v>
      </c>
      <c r="E331" s="248">
        <v>324</v>
      </c>
      <c r="F331" s="453">
        <v>60.994</v>
      </c>
      <c r="G331" s="437">
        <v>69.998000000000005</v>
      </c>
      <c r="H331" s="339">
        <f t="shared" si="61"/>
        <v>324</v>
      </c>
      <c r="I331" s="451">
        <f t="shared" si="62"/>
        <v>55</v>
      </c>
      <c r="J331" s="340">
        <f t="shared" si="63"/>
        <v>0.15277777777777779</v>
      </c>
      <c r="K331" s="341">
        <f t="shared" si="64"/>
        <v>49.5</v>
      </c>
      <c r="L331" s="333">
        <f t="shared" si="65"/>
        <v>7255.2857142857147</v>
      </c>
      <c r="M331" s="342">
        <f t="shared" si="66"/>
        <v>7255</v>
      </c>
      <c r="N331" s="343">
        <f t="shared" si="67"/>
        <v>49.5</v>
      </c>
      <c r="O331" s="343"/>
      <c r="P331" s="343">
        <f t="shared" si="68"/>
        <v>0</v>
      </c>
      <c r="Q331" s="344"/>
      <c r="R331" s="343">
        <f t="shared" si="69"/>
        <v>324.00000000000045</v>
      </c>
      <c r="S331" s="343">
        <f t="shared" si="70"/>
        <v>-4.5474735088646412E-13</v>
      </c>
      <c r="T331" s="343"/>
      <c r="U331" s="343">
        <f t="shared" ca="1" si="71"/>
        <v>1.0000000000000002</v>
      </c>
      <c r="V331" s="345">
        <f t="shared" si="72"/>
        <v>22.392857142857142</v>
      </c>
    </row>
    <row r="332" spans="2:22" x14ac:dyDescent="0.3">
      <c r="B332" s="246">
        <v>325</v>
      </c>
      <c r="C332" s="437">
        <f>B332*MechanicalData!$B$22/360</f>
        <v>49.652777777777779</v>
      </c>
      <c r="D332" s="437">
        <f>MechanicalData!$B$22</f>
        <v>55</v>
      </c>
      <c r="E332" s="248">
        <v>325</v>
      </c>
      <c r="F332" s="453">
        <v>61.188000000000002</v>
      </c>
      <c r="G332" s="437">
        <v>69.998000000000005</v>
      </c>
      <c r="H332" s="339">
        <f t="shared" si="61"/>
        <v>325</v>
      </c>
      <c r="I332" s="451">
        <f t="shared" si="62"/>
        <v>55</v>
      </c>
      <c r="J332" s="340">
        <f t="shared" si="63"/>
        <v>0.15277777777777779</v>
      </c>
      <c r="K332" s="341">
        <f t="shared" si="64"/>
        <v>49.652777777777779</v>
      </c>
      <c r="L332" s="333">
        <f t="shared" si="65"/>
        <v>7277.6785714285716</v>
      </c>
      <c r="M332" s="342">
        <f t="shared" si="66"/>
        <v>7278</v>
      </c>
      <c r="N332" s="343">
        <f t="shared" si="67"/>
        <v>49.652777777777779</v>
      </c>
      <c r="O332" s="343"/>
      <c r="P332" s="343">
        <f t="shared" si="68"/>
        <v>0</v>
      </c>
      <c r="Q332" s="344"/>
      <c r="R332" s="343">
        <f t="shared" si="69"/>
        <v>325.0000000000004</v>
      </c>
      <c r="S332" s="343">
        <f t="shared" si="70"/>
        <v>0</v>
      </c>
      <c r="T332" s="343"/>
      <c r="U332" s="343">
        <f t="shared" ca="1" si="71"/>
        <v>1.0000000000000002</v>
      </c>
      <c r="V332" s="345">
        <f t="shared" si="72"/>
        <v>22.392857142857142</v>
      </c>
    </row>
    <row r="333" spans="2:22" x14ac:dyDescent="0.3">
      <c r="B333" s="246">
        <v>326</v>
      </c>
      <c r="C333" s="437">
        <f>B333*MechanicalData!$B$22/360</f>
        <v>49.805555555555557</v>
      </c>
      <c r="D333" s="437">
        <f>MechanicalData!$B$22</f>
        <v>55</v>
      </c>
      <c r="E333" s="248">
        <v>326</v>
      </c>
      <c r="F333" s="453">
        <v>61.381999999999998</v>
      </c>
      <c r="G333" s="437">
        <v>69.998000000000005</v>
      </c>
      <c r="H333" s="339">
        <f t="shared" si="61"/>
        <v>326</v>
      </c>
      <c r="I333" s="451">
        <f t="shared" si="62"/>
        <v>55</v>
      </c>
      <c r="J333" s="340">
        <f t="shared" si="63"/>
        <v>0.15277777777777779</v>
      </c>
      <c r="K333" s="341">
        <f t="shared" si="64"/>
        <v>49.805555555555557</v>
      </c>
      <c r="L333" s="333">
        <f t="shared" si="65"/>
        <v>7300.0714285714294</v>
      </c>
      <c r="M333" s="342">
        <f t="shared" si="66"/>
        <v>7300</v>
      </c>
      <c r="N333" s="343">
        <f t="shared" si="67"/>
        <v>49.805555555555557</v>
      </c>
      <c r="O333" s="343"/>
      <c r="P333" s="343">
        <f t="shared" si="68"/>
        <v>0</v>
      </c>
      <c r="Q333" s="344"/>
      <c r="R333" s="343">
        <f t="shared" si="69"/>
        <v>326.00000000000045</v>
      </c>
      <c r="S333" s="343">
        <f t="shared" si="70"/>
        <v>-4.5474735088646412E-13</v>
      </c>
      <c r="T333" s="343"/>
      <c r="U333" s="343">
        <f t="shared" ca="1" si="71"/>
        <v>1.0000000000000002</v>
      </c>
      <c r="V333" s="345">
        <f t="shared" si="72"/>
        <v>22.392857142857142</v>
      </c>
    </row>
    <row r="334" spans="2:22" x14ac:dyDescent="0.3">
      <c r="B334" s="246">
        <v>327</v>
      </c>
      <c r="C334" s="437">
        <f>B334*MechanicalData!$B$22/360</f>
        <v>49.958333333333336</v>
      </c>
      <c r="D334" s="437">
        <f>MechanicalData!$B$22</f>
        <v>55</v>
      </c>
      <c r="E334" s="248">
        <v>327</v>
      </c>
      <c r="F334" s="453">
        <v>61.576999999999998</v>
      </c>
      <c r="G334" s="437">
        <v>69.998000000000005</v>
      </c>
      <c r="H334" s="339">
        <f t="shared" si="61"/>
        <v>327</v>
      </c>
      <c r="I334" s="451">
        <f t="shared" si="62"/>
        <v>55</v>
      </c>
      <c r="J334" s="340">
        <f t="shared" si="63"/>
        <v>0.15277777777777779</v>
      </c>
      <c r="K334" s="341">
        <f t="shared" si="64"/>
        <v>49.958333333333336</v>
      </c>
      <c r="L334" s="333">
        <f t="shared" si="65"/>
        <v>7322.4642857142853</v>
      </c>
      <c r="M334" s="342">
        <f t="shared" si="66"/>
        <v>7322</v>
      </c>
      <c r="N334" s="343">
        <f t="shared" si="67"/>
        <v>49.958333333333329</v>
      </c>
      <c r="O334" s="343"/>
      <c r="P334" s="343">
        <f t="shared" si="68"/>
        <v>0</v>
      </c>
      <c r="Q334" s="344"/>
      <c r="R334" s="343">
        <f t="shared" si="69"/>
        <v>327.0000000000004</v>
      </c>
      <c r="S334" s="343">
        <f t="shared" si="70"/>
        <v>0</v>
      </c>
      <c r="T334" s="343"/>
      <c r="U334" s="343">
        <f t="shared" ca="1" si="71"/>
        <v>1.0000000000000002</v>
      </c>
      <c r="V334" s="345">
        <f t="shared" si="72"/>
        <v>22.392857142857142</v>
      </c>
    </row>
    <row r="335" spans="2:22" x14ac:dyDescent="0.3">
      <c r="B335" s="246">
        <v>328</v>
      </c>
      <c r="C335" s="437">
        <f>B335*MechanicalData!$B$22/360</f>
        <v>50.111111111111114</v>
      </c>
      <c r="D335" s="437">
        <f>MechanicalData!$B$22</f>
        <v>55</v>
      </c>
      <c r="E335" s="248">
        <v>328</v>
      </c>
      <c r="F335" s="453">
        <v>61.771000000000001</v>
      </c>
      <c r="G335" s="437">
        <v>69.998000000000005</v>
      </c>
      <c r="H335" s="339">
        <f t="shared" si="61"/>
        <v>328</v>
      </c>
      <c r="I335" s="451">
        <f t="shared" si="62"/>
        <v>55</v>
      </c>
      <c r="J335" s="340">
        <f t="shared" si="63"/>
        <v>0.15277777777777779</v>
      </c>
      <c r="K335" s="341">
        <f t="shared" si="64"/>
        <v>50.111111111111114</v>
      </c>
      <c r="L335" s="333">
        <f t="shared" si="65"/>
        <v>7344.8571428571431</v>
      </c>
      <c r="M335" s="342">
        <f t="shared" si="66"/>
        <v>7345</v>
      </c>
      <c r="N335" s="343">
        <f t="shared" si="67"/>
        <v>50.111111111111107</v>
      </c>
      <c r="O335" s="343"/>
      <c r="P335" s="343">
        <f t="shared" si="68"/>
        <v>0</v>
      </c>
      <c r="Q335" s="344"/>
      <c r="R335" s="343">
        <f t="shared" si="69"/>
        <v>328.00000000000045</v>
      </c>
      <c r="S335" s="343">
        <f t="shared" si="70"/>
        <v>-4.5474735088646412E-13</v>
      </c>
      <c r="T335" s="343"/>
      <c r="U335" s="343">
        <f t="shared" ca="1" si="71"/>
        <v>1.0000000000000002</v>
      </c>
      <c r="V335" s="345">
        <f t="shared" si="72"/>
        <v>22.392857142857142</v>
      </c>
    </row>
    <row r="336" spans="2:22" x14ac:dyDescent="0.3">
      <c r="B336" s="246">
        <v>329</v>
      </c>
      <c r="C336" s="437">
        <f>B336*MechanicalData!$B$22/360</f>
        <v>50.263888888888886</v>
      </c>
      <c r="D336" s="437">
        <f>MechanicalData!$B$22</f>
        <v>55</v>
      </c>
      <c r="E336" s="248">
        <v>329</v>
      </c>
      <c r="F336" s="453">
        <v>61.966000000000001</v>
      </c>
      <c r="G336" s="437">
        <v>69.998000000000005</v>
      </c>
      <c r="H336" s="339">
        <f t="shared" si="61"/>
        <v>329</v>
      </c>
      <c r="I336" s="451">
        <f t="shared" si="62"/>
        <v>55</v>
      </c>
      <c r="J336" s="340">
        <f t="shared" si="63"/>
        <v>0.15277777777777779</v>
      </c>
      <c r="K336" s="341">
        <f t="shared" si="64"/>
        <v>50.263888888888886</v>
      </c>
      <c r="L336" s="333">
        <f t="shared" si="65"/>
        <v>7367.2499999999991</v>
      </c>
      <c r="M336" s="342">
        <f t="shared" si="66"/>
        <v>7367</v>
      </c>
      <c r="N336" s="343">
        <f t="shared" si="67"/>
        <v>50.263888888888879</v>
      </c>
      <c r="O336" s="343"/>
      <c r="P336" s="343">
        <f t="shared" si="68"/>
        <v>0</v>
      </c>
      <c r="Q336" s="344"/>
      <c r="R336" s="343">
        <f t="shared" si="69"/>
        <v>329.00000000000034</v>
      </c>
      <c r="S336" s="343">
        <f t="shared" si="70"/>
        <v>0</v>
      </c>
      <c r="T336" s="343"/>
      <c r="U336" s="343">
        <f t="shared" ca="1" si="71"/>
        <v>1.0000000000000002</v>
      </c>
      <c r="V336" s="345">
        <f t="shared" si="72"/>
        <v>22.392857142857142</v>
      </c>
    </row>
    <row r="337" spans="2:22" x14ac:dyDescent="0.3">
      <c r="B337" s="246">
        <v>330</v>
      </c>
      <c r="C337" s="437">
        <f>B337*MechanicalData!$B$22/360</f>
        <v>50.416666666666664</v>
      </c>
      <c r="D337" s="437">
        <f>MechanicalData!$B$22</f>
        <v>55</v>
      </c>
      <c r="E337" s="248">
        <v>330</v>
      </c>
      <c r="F337" s="453">
        <v>62.16</v>
      </c>
      <c r="G337" s="437">
        <v>69.998000000000005</v>
      </c>
      <c r="H337" s="339">
        <f t="shared" si="61"/>
        <v>330</v>
      </c>
      <c r="I337" s="451">
        <f t="shared" si="62"/>
        <v>55</v>
      </c>
      <c r="J337" s="340">
        <f t="shared" si="63"/>
        <v>0.15277777777777779</v>
      </c>
      <c r="K337" s="341">
        <f t="shared" si="64"/>
        <v>50.416666666666664</v>
      </c>
      <c r="L337" s="333">
        <f t="shared" si="65"/>
        <v>7389.642857142856</v>
      </c>
      <c r="M337" s="342">
        <f t="shared" si="66"/>
        <v>7390</v>
      </c>
      <c r="N337" s="343">
        <f t="shared" si="67"/>
        <v>50.416666666666657</v>
      </c>
      <c r="O337" s="343"/>
      <c r="P337" s="343">
        <f t="shared" si="68"/>
        <v>0</v>
      </c>
      <c r="Q337" s="344"/>
      <c r="R337" s="343">
        <f t="shared" si="69"/>
        <v>330.0000000000004</v>
      </c>
      <c r="S337" s="343">
        <f t="shared" si="70"/>
        <v>0</v>
      </c>
      <c r="T337" s="343"/>
      <c r="U337" s="343">
        <f t="shared" ca="1" si="71"/>
        <v>1.0000000000000002</v>
      </c>
      <c r="V337" s="345">
        <f t="shared" si="72"/>
        <v>22.392857142857142</v>
      </c>
    </row>
    <row r="338" spans="2:22" x14ac:dyDescent="0.3">
      <c r="B338" s="246">
        <v>331</v>
      </c>
      <c r="C338" s="437">
        <f>B338*MechanicalData!$B$22/360</f>
        <v>50.569444444444443</v>
      </c>
      <c r="D338" s="437">
        <f>MechanicalData!$B$22</f>
        <v>55</v>
      </c>
      <c r="E338" s="248">
        <v>331</v>
      </c>
      <c r="F338" s="453">
        <v>62.354999999999997</v>
      </c>
      <c r="G338" s="437">
        <v>69.998000000000005</v>
      </c>
      <c r="H338" s="339">
        <f t="shared" si="61"/>
        <v>331</v>
      </c>
      <c r="I338" s="451">
        <f t="shared" si="62"/>
        <v>55</v>
      </c>
      <c r="J338" s="340">
        <f t="shared" si="63"/>
        <v>0.15277777777777779</v>
      </c>
      <c r="K338" s="341">
        <f t="shared" si="64"/>
        <v>50.569444444444443</v>
      </c>
      <c r="L338" s="333">
        <f t="shared" si="65"/>
        <v>7412.0357142857138</v>
      </c>
      <c r="M338" s="342">
        <f t="shared" si="66"/>
        <v>7412</v>
      </c>
      <c r="N338" s="343">
        <f t="shared" si="67"/>
        <v>50.569444444444436</v>
      </c>
      <c r="O338" s="343"/>
      <c r="P338" s="343">
        <f t="shared" si="68"/>
        <v>0</v>
      </c>
      <c r="Q338" s="344"/>
      <c r="R338" s="343">
        <f t="shared" si="69"/>
        <v>331.0000000000004</v>
      </c>
      <c r="S338" s="343">
        <f t="shared" si="70"/>
        <v>0</v>
      </c>
      <c r="T338" s="343"/>
      <c r="U338" s="343">
        <f t="shared" ca="1" si="71"/>
        <v>1.0000000000000002</v>
      </c>
      <c r="V338" s="345">
        <f t="shared" si="72"/>
        <v>22.392857142857142</v>
      </c>
    </row>
    <row r="339" spans="2:22" x14ac:dyDescent="0.3">
      <c r="B339" s="246">
        <v>332</v>
      </c>
      <c r="C339" s="437">
        <f>B339*MechanicalData!$B$22/360</f>
        <v>50.722222222222221</v>
      </c>
      <c r="D339" s="437">
        <f>MechanicalData!$B$22</f>
        <v>55</v>
      </c>
      <c r="E339" s="248">
        <v>332</v>
      </c>
      <c r="F339" s="453">
        <v>62.548999999999999</v>
      </c>
      <c r="G339" s="437">
        <v>69.998000000000005</v>
      </c>
      <c r="H339" s="339">
        <f t="shared" si="61"/>
        <v>332</v>
      </c>
      <c r="I339" s="451">
        <f t="shared" si="62"/>
        <v>55</v>
      </c>
      <c r="J339" s="340">
        <f t="shared" si="63"/>
        <v>0.15277777777777779</v>
      </c>
      <c r="K339" s="341">
        <f t="shared" si="64"/>
        <v>50.722222222222221</v>
      </c>
      <c r="L339" s="333">
        <f t="shared" si="65"/>
        <v>7434.4285714285706</v>
      </c>
      <c r="M339" s="342">
        <f t="shared" si="66"/>
        <v>7434</v>
      </c>
      <c r="N339" s="343">
        <f t="shared" si="67"/>
        <v>50.722222222222214</v>
      </c>
      <c r="O339" s="343"/>
      <c r="P339" s="343">
        <f t="shared" si="68"/>
        <v>0</v>
      </c>
      <c r="Q339" s="344"/>
      <c r="R339" s="343">
        <f t="shared" si="69"/>
        <v>332.00000000000034</v>
      </c>
      <c r="S339" s="343">
        <f t="shared" si="70"/>
        <v>0</v>
      </c>
      <c r="T339" s="343"/>
      <c r="U339" s="343">
        <f t="shared" ca="1" si="71"/>
        <v>1.0000000000000002</v>
      </c>
      <c r="V339" s="345">
        <f t="shared" si="72"/>
        <v>22.392857142857142</v>
      </c>
    </row>
    <row r="340" spans="2:22" x14ac:dyDescent="0.3">
      <c r="B340" s="246">
        <v>333</v>
      </c>
      <c r="C340" s="437">
        <f>B340*MechanicalData!$B$22/360</f>
        <v>50.875</v>
      </c>
      <c r="D340" s="437">
        <f>MechanicalData!$B$22</f>
        <v>55</v>
      </c>
      <c r="E340" s="248">
        <v>333</v>
      </c>
      <c r="F340" s="453">
        <v>62.743000000000002</v>
      </c>
      <c r="G340" s="437">
        <v>69.998000000000005</v>
      </c>
      <c r="H340" s="339">
        <f t="shared" si="61"/>
        <v>333</v>
      </c>
      <c r="I340" s="451">
        <f t="shared" si="62"/>
        <v>55</v>
      </c>
      <c r="J340" s="340">
        <f t="shared" si="63"/>
        <v>0.15277777777777779</v>
      </c>
      <c r="K340" s="341">
        <f t="shared" si="64"/>
        <v>50.875</v>
      </c>
      <c r="L340" s="333">
        <f t="shared" si="65"/>
        <v>7456.8214285714284</v>
      </c>
      <c r="M340" s="342">
        <f t="shared" si="66"/>
        <v>7457</v>
      </c>
      <c r="N340" s="343">
        <f t="shared" si="67"/>
        <v>50.874999999999993</v>
      </c>
      <c r="O340" s="343"/>
      <c r="P340" s="343">
        <f t="shared" si="68"/>
        <v>0</v>
      </c>
      <c r="Q340" s="344"/>
      <c r="R340" s="343">
        <f t="shared" si="69"/>
        <v>333.0000000000004</v>
      </c>
      <c r="S340" s="343">
        <f t="shared" si="70"/>
        <v>0</v>
      </c>
      <c r="T340" s="343"/>
      <c r="U340" s="343">
        <f t="shared" ca="1" si="71"/>
        <v>1.0000000000000002</v>
      </c>
      <c r="V340" s="345">
        <f t="shared" si="72"/>
        <v>22.392857142857142</v>
      </c>
    </row>
    <row r="341" spans="2:22" x14ac:dyDescent="0.3">
      <c r="B341" s="246">
        <v>334</v>
      </c>
      <c r="C341" s="437">
        <f>B341*MechanicalData!$B$22/360</f>
        <v>51.027777777777779</v>
      </c>
      <c r="D341" s="437">
        <f>MechanicalData!$B$22</f>
        <v>55</v>
      </c>
      <c r="E341" s="248">
        <v>334</v>
      </c>
      <c r="F341" s="453">
        <v>62.938000000000002</v>
      </c>
      <c r="G341" s="437">
        <v>69.998000000000005</v>
      </c>
      <c r="H341" s="339">
        <f t="shared" si="61"/>
        <v>334</v>
      </c>
      <c r="I341" s="451">
        <f t="shared" si="62"/>
        <v>55</v>
      </c>
      <c r="J341" s="340">
        <f t="shared" si="63"/>
        <v>0.15277777777777779</v>
      </c>
      <c r="K341" s="341">
        <f t="shared" si="64"/>
        <v>51.027777777777779</v>
      </c>
      <c r="L341" s="333">
        <f t="shared" si="65"/>
        <v>7479.2142857142862</v>
      </c>
      <c r="M341" s="342">
        <f t="shared" si="66"/>
        <v>7479</v>
      </c>
      <c r="N341" s="343">
        <f t="shared" si="67"/>
        <v>51.027777777777779</v>
      </c>
      <c r="O341" s="343"/>
      <c r="P341" s="343">
        <f t="shared" si="68"/>
        <v>0</v>
      </c>
      <c r="Q341" s="344"/>
      <c r="R341" s="343">
        <f t="shared" si="69"/>
        <v>334.00000000000045</v>
      </c>
      <c r="S341" s="343">
        <f t="shared" si="70"/>
        <v>-4.5474735088646412E-13</v>
      </c>
      <c r="T341" s="343"/>
      <c r="U341" s="343">
        <f t="shared" ca="1" si="71"/>
        <v>1.0000000000000002</v>
      </c>
      <c r="V341" s="345">
        <f t="shared" si="72"/>
        <v>22.392857142857142</v>
      </c>
    </row>
    <row r="342" spans="2:22" x14ac:dyDescent="0.3">
      <c r="B342" s="246">
        <v>335</v>
      </c>
      <c r="C342" s="437">
        <f>B342*MechanicalData!$B$22/360</f>
        <v>51.180555555555557</v>
      </c>
      <c r="D342" s="437">
        <f>MechanicalData!$B$22</f>
        <v>55</v>
      </c>
      <c r="E342" s="248">
        <v>335</v>
      </c>
      <c r="F342" s="453">
        <v>63.131999999999998</v>
      </c>
      <c r="G342" s="437">
        <v>69.998000000000005</v>
      </c>
      <c r="H342" s="339">
        <f t="shared" si="61"/>
        <v>335</v>
      </c>
      <c r="I342" s="451">
        <f t="shared" si="62"/>
        <v>55</v>
      </c>
      <c r="J342" s="340">
        <f t="shared" si="63"/>
        <v>0.15277777777777779</v>
      </c>
      <c r="K342" s="341">
        <f t="shared" si="64"/>
        <v>51.180555555555557</v>
      </c>
      <c r="L342" s="333">
        <f t="shared" si="65"/>
        <v>7501.6071428571431</v>
      </c>
      <c r="M342" s="342">
        <f t="shared" si="66"/>
        <v>7502</v>
      </c>
      <c r="N342" s="343">
        <f t="shared" si="67"/>
        <v>51.180555555555557</v>
      </c>
      <c r="O342" s="343"/>
      <c r="P342" s="343">
        <f t="shared" si="68"/>
        <v>0</v>
      </c>
      <c r="Q342" s="344"/>
      <c r="R342" s="343">
        <f t="shared" si="69"/>
        <v>335.00000000000045</v>
      </c>
      <c r="S342" s="343">
        <f t="shared" si="70"/>
        <v>-4.5474735088646412E-13</v>
      </c>
      <c r="T342" s="343"/>
      <c r="U342" s="343">
        <f t="shared" ca="1" si="71"/>
        <v>1.0000000000000002</v>
      </c>
      <c r="V342" s="345">
        <f t="shared" si="72"/>
        <v>22.392857142857142</v>
      </c>
    </row>
    <row r="343" spans="2:22" x14ac:dyDescent="0.3">
      <c r="B343" s="246">
        <v>336</v>
      </c>
      <c r="C343" s="437">
        <f>B343*MechanicalData!$B$22/360</f>
        <v>51.333333333333336</v>
      </c>
      <c r="D343" s="437">
        <f>MechanicalData!$B$22</f>
        <v>55</v>
      </c>
      <c r="E343" s="248">
        <v>336</v>
      </c>
      <c r="F343" s="453">
        <v>63.326999999999998</v>
      </c>
      <c r="G343" s="437">
        <v>69.998000000000005</v>
      </c>
      <c r="H343" s="339">
        <f t="shared" si="61"/>
        <v>336</v>
      </c>
      <c r="I343" s="451">
        <f t="shared" si="62"/>
        <v>55</v>
      </c>
      <c r="J343" s="340">
        <f t="shared" si="63"/>
        <v>0.15277777777777779</v>
      </c>
      <c r="K343" s="341">
        <f t="shared" si="64"/>
        <v>51.333333333333336</v>
      </c>
      <c r="L343" s="333">
        <f t="shared" si="65"/>
        <v>7523.9999999999991</v>
      </c>
      <c r="M343" s="342">
        <f t="shared" si="66"/>
        <v>7524</v>
      </c>
      <c r="N343" s="343">
        <f t="shared" si="67"/>
        <v>51.333333333333329</v>
      </c>
      <c r="O343" s="343"/>
      <c r="P343" s="343">
        <f t="shared" si="68"/>
        <v>0</v>
      </c>
      <c r="Q343" s="344"/>
      <c r="R343" s="343">
        <f t="shared" si="69"/>
        <v>336.00000000000034</v>
      </c>
      <c r="S343" s="343">
        <f t="shared" si="70"/>
        <v>0</v>
      </c>
      <c r="T343" s="343"/>
      <c r="U343" s="343">
        <f t="shared" ca="1" si="71"/>
        <v>1.0000000000000002</v>
      </c>
      <c r="V343" s="345">
        <f t="shared" si="72"/>
        <v>22.392857142857142</v>
      </c>
    </row>
    <row r="344" spans="2:22" x14ac:dyDescent="0.3">
      <c r="B344" s="246">
        <v>337</v>
      </c>
      <c r="C344" s="437">
        <f>B344*MechanicalData!$B$22/360</f>
        <v>51.486111111111114</v>
      </c>
      <c r="D344" s="437">
        <f>MechanicalData!$B$22</f>
        <v>55</v>
      </c>
      <c r="E344" s="248">
        <v>337</v>
      </c>
      <c r="F344" s="453">
        <v>63.521000000000001</v>
      </c>
      <c r="G344" s="437">
        <v>69.998000000000005</v>
      </c>
      <c r="H344" s="339">
        <f t="shared" si="61"/>
        <v>337</v>
      </c>
      <c r="I344" s="451">
        <f t="shared" si="62"/>
        <v>55</v>
      </c>
      <c r="J344" s="340">
        <f t="shared" si="63"/>
        <v>0.15277777777777779</v>
      </c>
      <c r="K344" s="341">
        <f t="shared" si="64"/>
        <v>51.486111111111114</v>
      </c>
      <c r="L344" s="333">
        <f t="shared" si="65"/>
        <v>7546.3928571428569</v>
      </c>
      <c r="M344" s="342">
        <f t="shared" si="66"/>
        <v>7546</v>
      </c>
      <c r="N344" s="343">
        <f t="shared" si="67"/>
        <v>51.486111111111107</v>
      </c>
      <c r="O344" s="343"/>
      <c r="P344" s="343">
        <f t="shared" si="68"/>
        <v>0</v>
      </c>
      <c r="Q344" s="344"/>
      <c r="R344" s="343">
        <f t="shared" si="69"/>
        <v>337.0000000000004</v>
      </c>
      <c r="S344" s="343">
        <f t="shared" si="70"/>
        <v>0</v>
      </c>
      <c r="T344" s="343"/>
      <c r="U344" s="343">
        <f t="shared" ca="1" si="71"/>
        <v>1.0000000000000002</v>
      </c>
      <c r="V344" s="345">
        <f t="shared" si="72"/>
        <v>22.392857142857142</v>
      </c>
    </row>
    <row r="345" spans="2:22" x14ac:dyDescent="0.3">
      <c r="B345" s="246">
        <v>338</v>
      </c>
      <c r="C345" s="437">
        <f>B345*MechanicalData!$B$22/360</f>
        <v>51.638888888888886</v>
      </c>
      <c r="D345" s="437">
        <f>MechanicalData!$B$22</f>
        <v>55</v>
      </c>
      <c r="E345" s="248">
        <v>338</v>
      </c>
      <c r="F345" s="453">
        <v>63.716000000000001</v>
      </c>
      <c r="G345" s="437">
        <v>69.998000000000005</v>
      </c>
      <c r="H345" s="339">
        <f t="shared" si="61"/>
        <v>338</v>
      </c>
      <c r="I345" s="451">
        <f t="shared" si="62"/>
        <v>55</v>
      </c>
      <c r="J345" s="340">
        <f t="shared" si="63"/>
        <v>0.15277777777777779</v>
      </c>
      <c r="K345" s="341">
        <f t="shared" si="64"/>
        <v>51.638888888888886</v>
      </c>
      <c r="L345" s="333">
        <f t="shared" si="65"/>
        <v>7568.7857142857129</v>
      </c>
      <c r="M345" s="342">
        <f t="shared" si="66"/>
        <v>7569</v>
      </c>
      <c r="N345" s="343">
        <f t="shared" si="67"/>
        <v>51.638888888888879</v>
      </c>
      <c r="O345" s="343"/>
      <c r="P345" s="343">
        <f t="shared" si="68"/>
        <v>0</v>
      </c>
      <c r="Q345" s="344"/>
      <c r="R345" s="343">
        <f t="shared" si="69"/>
        <v>338.0000000000004</v>
      </c>
      <c r="S345" s="343">
        <f t="shared" si="70"/>
        <v>0</v>
      </c>
      <c r="T345" s="343"/>
      <c r="U345" s="343">
        <f t="shared" ca="1" si="71"/>
        <v>1.0000000000000002</v>
      </c>
      <c r="V345" s="345">
        <f t="shared" si="72"/>
        <v>22.392857142857142</v>
      </c>
    </row>
    <row r="346" spans="2:22" x14ac:dyDescent="0.3">
      <c r="B346" s="246">
        <v>339</v>
      </c>
      <c r="C346" s="437">
        <f>B346*MechanicalData!$B$22/360</f>
        <v>51.791666666666664</v>
      </c>
      <c r="D346" s="437">
        <f>MechanicalData!$B$22</f>
        <v>55</v>
      </c>
      <c r="E346" s="248">
        <v>339</v>
      </c>
      <c r="F346" s="453">
        <v>63.91</v>
      </c>
      <c r="G346" s="437">
        <v>69.998000000000005</v>
      </c>
      <c r="H346" s="339">
        <f t="shared" si="61"/>
        <v>339</v>
      </c>
      <c r="I346" s="451">
        <f t="shared" si="62"/>
        <v>55</v>
      </c>
      <c r="J346" s="340">
        <f t="shared" si="63"/>
        <v>0.15277777777777779</v>
      </c>
      <c r="K346" s="341">
        <f t="shared" si="64"/>
        <v>51.791666666666664</v>
      </c>
      <c r="L346" s="333">
        <f t="shared" si="65"/>
        <v>7591.1785714285706</v>
      </c>
      <c r="M346" s="342">
        <f t="shared" si="66"/>
        <v>7591</v>
      </c>
      <c r="N346" s="343">
        <f t="shared" si="67"/>
        <v>51.791666666666657</v>
      </c>
      <c r="O346" s="343"/>
      <c r="P346" s="343">
        <f t="shared" si="68"/>
        <v>0</v>
      </c>
      <c r="Q346" s="344"/>
      <c r="R346" s="343">
        <f t="shared" si="69"/>
        <v>339.00000000000034</v>
      </c>
      <c r="S346" s="343">
        <f t="shared" si="70"/>
        <v>0</v>
      </c>
      <c r="T346" s="343"/>
      <c r="U346" s="343">
        <f t="shared" ca="1" si="71"/>
        <v>1.0000000000000002</v>
      </c>
      <c r="V346" s="345">
        <f t="shared" si="72"/>
        <v>22.392857142857142</v>
      </c>
    </row>
    <row r="347" spans="2:22" x14ac:dyDescent="0.3">
      <c r="B347" s="246">
        <v>340</v>
      </c>
      <c r="C347" s="437">
        <f>B347*MechanicalData!$B$22/360</f>
        <v>51.944444444444443</v>
      </c>
      <c r="D347" s="437">
        <f>MechanicalData!$B$22</f>
        <v>55</v>
      </c>
      <c r="E347" s="248">
        <v>340</v>
      </c>
      <c r="F347" s="453">
        <v>64.105000000000004</v>
      </c>
      <c r="G347" s="437">
        <v>69.998000000000005</v>
      </c>
      <c r="H347" s="339">
        <f t="shared" si="61"/>
        <v>340</v>
      </c>
      <c r="I347" s="451">
        <f t="shared" si="62"/>
        <v>55</v>
      </c>
      <c r="J347" s="340">
        <f t="shared" si="63"/>
        <v>0.15277777777777779</v>
      </c>
      <c r="K347" s="341">
        <f t="shared" si="64"/>
        <v>51.944444444444443</v>
      </c>
      <c r="L347" s="333">
        <f t="shared" si="65"/>
        <v>7613.5714285714275</v>
      </c>
      <c r="M347" s="342">
        <f t="shared" si="66"/>
        <v>7614</v>
      </c>
      <c r="N347" s="343">
        <f t="shared" si="67"/>
        <v>51.944444444444436</v>
      </c>
      <c r="O347" s="343"/>
      <c r="P347" s="343">
        <f t="shared" si="68"/>
        <v>0</v>
      </c>
      <c r="Q347" s="344"/>
      <c r="R347" s="343">
        <f t="shared" si="69"/>
        <v>340.00000000000034</v>
      </c>
      <c r="S347" s="343">
        <f t="shared" si="70"/>
        <v>0</v>
      </c>
      <c r="T347" s="343"/>
      <c r="U347" s="343">
        <f t="shared" ca="1" si="71"/>
        <v>1.0000000000000002</v>
      </c>
      <c r="V347" s="345">
        <f t="shared" si="72"/>
        <v>22.392857142857142</v>
      </c>
    </row>
    <row r="348" spans="2:22" x14ac:dyDescent="0.3">
      <c r="B348" s="246">
        <v>341</v>
      </c>
      <c r="C348" s="437">
        <f>B348*MechanicalData!$B$22/360</f>
        <v>52.097222222222221</v>
      </c>
      <c r="D348" s="437">
        <f>MechanicalData!$B$22</f>
        <v>55</v>
      </c>
      <c r="E348" s="248">
        <v>341</v>
      </c>
      <c r="F348" s="453">
        <v>64.299000000000007</v>
      </c>
      <c r="G348" s="437">
        <v>69.998000000000005</v>
      </c>
      <c r="H348" s="339">
        <f t="shared" si="61"/>
        <v>341</v>
      </c>
      <c r="I348" s="451">
        <f t="shared" si="62"/>
        <v>55</v>
      </c>
      <c r="J348" s="340">
        <f t="shared" si="63"/>
        <v>0.15277777777777779</v>
      </c>
      <c r="K348" s="341">
        <f t="shared" si="64"/>
        <v>52.097222222222221</v>
      </c>
      <c r="L348" s="333">
        <f t="shared" si="65"/>
        <v>7635.9642857142853</v>
      </c>
      <c r="M348" s="342">
        <f t="shared" si="66"/>
        <v>7636</v>
      </c>
      <c r="N348" s="343">
        <f t="shared" si="67"/>
        <v>52.097222222222214</v>
      </c>
      <c r="O348" s="343"/>
      <c r="P348" s="343">
        <f t="shared" si="68"/>
        <v>0</v>
      </c>
      <c r="Q348" s="344"/>
      <c r="R348" s="343">
        <f t="shared" si="69"/>
        <v>341.0000000000004</v>
      </c>
      <c r="S348" s="343">
        <f t="shared" si="70"/>
        <v>0</v>
      </c>
      <c r="T348" s="343"/>
      <c r="U348" s="343">
        <f t="shared" ca="1" si="71"/>
        <v>1.0000000000000002</v>
      </c>
      <c r="V348" s="345">
        <f t="shared" si="72"/>
        <v>22.392857142857142</v>
      </c>
    </row>
    <row r="349" spans="2:22" x14ac:dyDescent="0.3">
      <c r="B349" s="246">
        <v>342</v>
      </c>
      <c r="C349" s="437">
        <f>B349*MechanicalData!$B$22/360</f>
        <v>52.25</v>
      </c>
      <c r="D349" s="437">
        <f>MechanicalData!$B$22</f>
        <v>55</v>
      </c>
      <c r="E349" s="248">
        <v>342</v>
      </c>
      <c r="F349" s="453">
        <v>64.492999999999995</v>
      </c>
      <c r="G349" s="437">
        <v>69.998000000000005</v>
      </c>
      <c r="H349" s="339">
        <f t="shared" si="61"/>
        <v>342</v>
      </c>
      <c r="I349" s="451">
        <f t="shared" si="62"/>
        <v>55</v>
      </c>
      <c r="J349" s="340">
        <f t="shared" si="63"/>
        <v>0.15277777777777779</v>
      </c>
      <c r="K349" s="341">
        <f t="shared" si="64"/>
        <v>52.25</v>
      </c>
      <c r="L349" s="333">
        <f t="shared" si="65"/>
        <v>7658.3571428571431</v>
      </c>
      <c r="M349" s="342">
        <f t="shared" si="66"/>
        <v>7658</v>
      </c>
      <c r="N349" s="343">
        <f t="shared" si="67"/>
        <v>52.25</v>
      </c>
      <c r="O349" s="343"/>
      <c r="P349" s="343">
        <f t="shared" si="68"/>
        <v>0</v>
      </c>
      <c r="Q349" s="344"/>
      <c r="R349" s="343">
        <f t="shared" si="69"/>
        <v>342.00000000000045</v>
      </c>
      <c r="S349" s="343">
        <f t="shared" si="70"/>
        <v>-4.5474735088646412E-13</v>
      </c>
      <c r="T349" s="343"/>
      <c r="U349" s="343">
        <f t="shared" ca="1" si="71"/>
        <v>1.0000000000000002</v>
      </c>
      <c r="V349" s="345">
        <f t="shared" si="72"/>
        <v>22.392857142857142</v>
      </c>
    </row>
    <row r="350" spans="2:22" x14ac:dyDescent="0.3">
      <c r="B350" s="246">
        <v>343</v>
      </c>
      <c r="C350" s="437">
        <f>B350*MechanicalData!$B$22/360</f>
        <v>52.402777777777779</v>
      </c>
      <c r="D350" s="437">
        <f>MechanicalData!$B$22</f>
        <v>55</v>
      </c>
      <c r="E350" s="248">
        <v>343</v>
      </c>
      <c r="F350" s="453">
        <v>64.688000000000002</v>
      </c>
      <c r="G350" s="437">
        <v>69.998000000000005</v>
      </c>
      <c r="H350" s="339">
        <f t="shared" si="61"/>
        <v>343</v>
      </c>
      <c r="I350" s="451">
        <f t="shared" si="62"/>
        <v>55</v>
      </c>
      <c r="J350" s="340">
        <f t="shared" si="63"/>
        <v>0.15277777777777779</v>
      </c>
      <c r="K350" s="341">
        <f t="shared" si="64"/>
        <v>52.402777777777779</v>
      </c>
      <c r="L350" s="333">
        <f t="shared" si="65"/>
        <v>7680.75</v>
      </c>
      <c r="M350" s="342">
        <f t="shared" si="66"/>
        <v>7681</v>
      </c>
      <c r="N350" s="343">
        <f t="shared" si="67"/>
        <v>52.402777777777771</v>
      </c>
      <c r="O350" s="343"/>
      <c r="P350" s="343">
        <f t="shared" si="68"/>
        <v>0</v>
      </c>
      <c r="Q350" s="344"/>
      <c r="R350" s="343">
        <f t="shared" si="69"/>
        <v>343.00000000000045</v>
      </c>
      <c r="S350" s="343">
        <f t="shared" si="70"/>
        <v>-4.5474735088646412E-13</v>
      </c>
      <c r="T350" s="343"/>
      <c r="U350" s="343">
        <f t="shared" ca="1" si="71"/>
        <v>1.0000000000000002</v>
      </c>
      <c r="V350" s="345">
        <f t="shared" si="72"/>
        <v>22.392857142857142</v>
      </c>
    </row>
    <row r="351" spans="2:22" x14ac:dyDescent="0.3">
      <c r="B351" s="246">
        <v>344</v>
      </c>
      <c r="C351" s="437">
        <f>B351*MechanicalData!$B$22/360</f>
        <v>52.555555555555557</v>
      </c>
      <c r="D351" s="437">
        <f>MechanicalData!$B$22</f>
        <v>55</v>
      </c>
      <c r="E351" s="248">
        <v>344</v>
      </c>
      <c r="F351" s="453">
        <v>64.882000000000005</v>
      </c>
      <c r="G351" s="437">
        <v>69.998000000000005</v>
      </c>
      <c r="H351" s="339">
        <f t="shared" si="61"/>
        <v>344</v>
      </c>
      <c r="I351" s="451">
        <f t="shared" si="62"/>
        <v>55</v>
      </c>
      <c r="J351" s="340">
        <f t="shared" si="63"/>
        <v>0.15277777777777779</v>
      </c>
      <c r="K351" s="341">
        <f t="shared" si="64"/>
        <v>52.555555555555557</v>
      </c>
      <c r="L351" s="333">
        <f t="shared" si="65"/>
        <v>7703.1428571428578</v>
      </c>
      <c r="M351" s="342">
        <f t="shared" si="66"/>
        <v>7703</v>
      </c>
      <c r="N351" s="343">
        <f t="shared" si="67"/>
        <v>52.555555555555557</v>
      </c>
      <c r="O351" s="343"/>
      <c r="P351" s="343">
        <f t="shared" si="68"/>
        <v>0</v>
      </c>
      <c r="Q351" s="344"/>
      <c r="R351" s="343">
        <f t="shared" si="69"/>
        <v>344.00000000000045</v>
      </c>
      <c r="S351" s="343">
        <f t="shared" si="70"/>
        <v>-4.5474735088646412E-13</v>
      </c>
      <c r="T351" s="343"/>
      <c r="U351" s="343">
        <f t="shared" ca="1" si="71"/>
        <v>1.0000000000000002</v>
      </c>
      <c r="V351" s="345">
        <f t="shared" si="72"/>
        <v>22.392857142857142</v>
      </c>
    </row>
    <row r="352" spans="2:22" x14ac:dyDescent="0.3">
      <c r="B352" s="246">
        <v>345</v>
      </c>
      <c r="C352" s="437">
        <f>B352*MechanicalData!$B$22/360</f>
        <v>52.708333333333336</v>
      </c>
      <c r="D352" s="437">
        <f>MechanicalData!$B$22</f>
        <v>55</v>
      </c>
      <c r="E352" s="248">
        <v>345</v>
      </c>
      <c r="F352" s="453">
        <v>65.076999999999998</v>
      </c>
      <c r="G352" s="437">
        <v>69.998000000000005</v>
      </c>
      <c r="H352" s="339">
        <f t="shared" si="61"/>
        <v>345</v>
      </c>
      <c r="I352" s="451">
        <f t="shared" si="62"/>
        <v>55</v>
      </c>
      <c r="J352" s="340">
        <f t="shared" si="63"/>
        <v>0.15277777777777779</v>
      </c>
      <c r="K352" s="341">
        <f t="shared" si="64"/>
        <v>52.708333333333336</v>
      </c>
      <c r="L352" s="333">
        <f t="shared" si="65"/>
        <v>7725.5357142857138</v>
      </c>
      <c r="M352" s="342">
        <f t="shared" si="66"/>
        <v>7726</v>
      </c>
      <c r="N352" s="343">
        <f t="shared" si="67"/>
        <v>52.708333333333329</v>
      </c>
      <c r="O352" s="343"/>
      <c r="P352" s="343">
        <f t="shared" si="68"/>
        <v>0</v>
      </c>
      <c r="Q352" s="344"/>
      <c r="R352" s="343">
        <f t="shared" si="69"/>
        <v>345.0000000000004</v>
      </c>
      <c r="S352" s="343">
        <f t="shared" si="70"/>
        <v>0</v>
      </c>
      <c r="T352" s="343"/>
      <c r="U352" s="343">
        <f t="shared" ca="1" si="71"/>
        <v>1.0000000000000002</v>
      </c>
      <c r="V352" s="345">
        <f t="shared" si="72"/>
        <v>22.392857142857142</v>
      </c>
    </row>
    <row r="353" spans="2:22" x14ac:dyDescent="0.3">
      <c r="B353" s="246">
        <v>346</v>
      </c>
      <c r="C353" s="437">
        <f>B353*MechanicalData!$B$22/360</f>
        <v>52.861111111111114</v>
      </c>
      <c r="D353" s="437">
        <f>MechanicalData!$B$22</f>
        <v>55</v>
      </c>
      <c r="E353" s="248">
        <v>346</v>
      </c>
      <c r="F353" s="453">
        <v>65.271000000000001</v>
      </c>
      <c r="G353" s="437">
        <v>69.998000000000005</v>
      </c>
      <c r="H353" s="339">
        <f t="shared" si="61"/>
        <v>346</v>
      </c>
      <c r="I353" s="451">
        <f t="shared" si="62"/>
        <v>55</v>
      </c>
      <c r="J353" s="340">
        <f t="shared" si="63"/>
        <v>0.15277777777777779</v>
      </c>
      <c r="K353" s="341">
        <f t="shared" si="64"/>
        <v>52.861111111111114</v>
      </c>
      <c r="L353" s="333">
        <f t="shared" si="65"/>
        <v>7747.9285714285716</v>
      </c>
      <c r="M353" s="342">
        <f t="shared" si="66"/>
        <v>7748</v>
      </c>
      <c r="N353" s="343">
        <f t="shared" si="67"/>
        <v>52.861111111111107</v>
      </c>
      <c r="O353" s="343"/>
      <c r="P353" s="343">
        <f t="shared" si="68"/>
        <v>0</v>
      </c>
      <c r="Q353" s="344"/>
      <c r="R353" s="343">
        <f t="shared" si="69"/>
        <v>346.00000000000045</v>
      </c>
      <c r="S353" s="343">
        <f t="shared" si="70"/>
        <v>-4.5474735088646412E-13</v>
      </c>
      <c r="T353" s="343"/>
      <c r="U353" s="343">
        <f t="shared" ca="1" si="71"/>
        <v>1.0000000000000002</v>
      </c>
      <c r="V353" s="345">
        <f t="shared" si="72"/>
        <v>22.392857142857142</v>
      </c>
    </row>
    <row r="354" spans="2:22" x14ac:dyDescent="0.3">
      <c r="B354" s="246">
        <v>347</v>
      </c>
      <c r="C354" s="437">
        <f>B354*MechanicalData!$B$22/360</f>
        <v>53.013888888888886</v>
      </c>
      <c r="D354" s="437">
        <f>MechanicalData!$B$22</f>
        <v>55</v>
      </c>
      <c r="E354" s="248">
        <v>347</v>
      </c>
      <c r="F354" s="453">
        <v>65.465999999999994</v>
      </c>
      <c r="G354" s="437">
        <v>69.998000000000005</v>
      </c>
      <c r="H354" s="339">
        <f t="shared" si="61"/>
        <v>347</v>
      </c>
      <c r="I354" s="451">
        <f t="shared" si="62"/>
        <v>55</v>
      </c>
      <c r="J354" s="340">
        <f t="shared" si="63"/>
        <v>0.15277777777777779</v>
      </c>
      <c r="K354" s="341">
        <f t="shared" si="64"/>
        <v>53.013888888888886</v>
      </c>
      <c r="L354" s="333">
        <f t="shared" si="65"/>
        <v>7770.3214285714275</v>
      </c>
      <c r="M354" s="342">
        <f t="shared" si="66"/>
        <v>7770</v>
      </c>
      <c r="N354" s="343">
        <f t="shared" si="67"/>
        <v>53.013888888888879</v>
      </c>
      <c r="O354" s="343"/>
      <c r="P354" s="343">
        <f t="shared" si="68"/>
        <v>0</v>
      </c>
      <c r="Q354" s="344"/>
      <c r="R354" s="343">
        <f t="shared" si="69"/>
        <v>347.00000000000034</v>
      </c>
      <c r="S354" s="343">
        <f t="shared" si="70"/>
        <v>0</v>
      </c>
      <c r="T354" s="343"/>
      <c r="U354" s="343">
        <f t="shared" ca="1" si="71"/>
        <v>1.0000000000000002</v>
      </c>
      <c r="V354" s="345">
        <f t="shared" si="72"/>
        <v>22.392857142857142</v>
      </c>
    </row>
    <row r="355" spans="2:22" x14ac:dyDescent="0.3">
      <c r="B355" s="246">
        <v>348</v>
      </c>
      <c r="C355" s="437">
        <f>B355*MechanicalData!$B$22/360</f>
        <v>53.166666666666664</v>
      </c>
      <c r="D355" s="437">
        <f>MechanicalData!$B$22</f>
        <v>55</v>
      </c>
      <c r="E355" s="248">
        <v>348</v>
      </c>
      <c r="F355" s="453">
        <v>65.66</v>
      </c>
      <c r="G355" s="437">
        <v>69.998000000000005</v>
      </c>
      <c r="H355" s="339">
        <f t="shared" si="61"/>
        <v>348</v>
      </c>
      <c r="I355" s="451">
        <f t="shared" si="62"/>
        <v>55</v>
      </c>
      <c r="J355" s="340">
        <f t="shared" si="63"/>
        <v>0.15277777777777779</v>
      </c>
      <c r="K355" s="341">
        <f t="shared" si="64"/>
        <v>53.166666666666664</v>
      </c>
      <c r="L355" s="333">
        <f t="shared" si="65"/>
        <v>7792.7142857142844</v>
      </c>
      <c r="M355" s="342">
        <f t="shared" si="66"/>
        <v>7793</v>
      </c>
      <c r="N355" s="343">
        <f t="shared" si="67"/>
        <v>53.166666666666657</v>
      </c>
      <c r="O355" s="343"/>
      <c r="P355" s="343">
        <f t="shared" si="68"/>
        <v>0</v>
      </c>
      <c r="Q355" s="344"/>
      <c r="R355" s="343">
        <f t="shared" si="69"/>
        <v>348.0000000000004</v>
      </c>
      <c r="S355" s="343">
        <f t="shared" si="70"/>
        <v>0</v>
      </c>
      <c r="T355" s="343"/>
      <c r="U355" s="343">
        <f t="shared" ca="1" si="71"/>
        <v>1.0000000000000002</v>
      </c>
      <c r="V355" s="345">
        <f t="shared" si="72"/>
        <v>22.392857142857142</v>
      </c>
    </row>
    <row r="356" spans="2:22" x14ac:dyDescent="0.3">
      <c r="B356" s="246">
        <v>349</v>
      </c>
      <c r="C356" s="437">
        <f>B356*MechanicalData!$B$22/360</f>
        <v>53.319444444444443</v>
      </c>
      <c r="D356" s="437">
        <f>MechanicalData!$B$22</f>
        <v>55</v>
      </c>
      <c r="E356" s="248">
        <v>349</v>
      </c>
      <c r="F356" s="453">
        <v>65.853999999999999</v>
      </c>
      <c r="G356" s="437">
        <v>69.998000000000005</v>
      </c>
      <c r="H356" s="339">
        <f t="shared" si="61"/>
        <v>349</v>
      </c>
      <c r="I356" s="451">
        <f t="shared" si="62"/>
        <v>55</v>
      </c>
      <c r="J356" s="340">
        <f t="shared" si="63"/>
        <v>0.15277777777777779</v>
      </c>
      <c r="K356" s="341">
        <f t="shared" si="64"/>
        <v>53.319444444444443</v>
      </c>
      <c r="L356" s="333">
        <f t="shared" si="65"/>
        <v>7815.1071428571422</v>
      </c>
      <c r="M356" s="342">
        <f t="shared" si="66"/>
        <v>7815</v>
      </c>
      <c r="N356" s="343">
        <f t="shared" si="67"/>
        <v>53.319444444444436</v>
      </c>
      <c r="O356" s="343"/>
      <c r="P356" s="343">
        <f t="shared" si="68"/>
        <v>0</v>
      </c>
      <c r="Q356" s="344"/>
      <c r="R356" s="343">
        <f t="shared" si="69"/>
        <v>349.0000000000004</v>
      </c>
      <c r="S356" s="343">
        <f t="shared" si="70"/>
        <v>0</v>
      </c>
      <c r="T356" s="343"/>
      <c r="U356" s="343">
        <f t="shared" ca="1" si="71"/>
        <v>1.0000000000000002</v>
      </c>
      <c r="V356" s="345">
        <f t="shared" si="72"/>
        <v>22.392857142857142</v>
      </c>
    </row>
    <row r="357" spans="2:22" x14ac:dyDescent="0.3">
      <c r="B357" s="246">
        <v>350</v>
      </c>
      <c r="C357" s="437">
        <f>B357*MechanicalData!$B$22/360</f>
        <v>53.472222222222221</v>
      </c>
      <c r="D357" s="437">
        <f>MechanicalData!$B$22</f>
        <v>55</v>
      </c>
      <c r="E357" s="248">
        <v>350</v>
      </c>
      <c r="F357" s="453">
        <v>66.049000000000007</v>
      </c>
      <c r="G357" s="437">
        <v>69.998000000000005</v>
      </c>
      <c r="H357" s="339">
        <f t="shared" si="61"/>
        <v>350</v>
      </c>
      <c r="I357" s="451">
        <f t="shared" si="62"/>
        <v>55</v>
      </c>
      <c r="J357" s="340">
        <f t="shared" si="63"/>
        <v>0.15277777777777779</v>
      </c>
      <c r="K357" s="341">
        <f t="shared" si="64"/>
        <v>53.472222222222221</v>
      </c>
      <c r="L357" s="333">
        <f t="shared" si="65"/>
        <v>7837.5</v>
      </c>
      <c r="M357" s="342">
        <f t="shared" si="66"/>
        <v>7838</v>
      </c>
      <c r="N357" s="343">
        <f t="shared" si="67"/>
        <v>53.472222222222221</v>
      </c>
      <c r="O357" s="343"/>
      <c r="P357" s="343">
        <f t="shared" si="68"/>
        <v>0</v>
      </c>
      <c r="Q357" s="344"/>
      <c r="R357" s="343">
        <f t="shared" si="69"/>
        <v>350.00000000000045</v>
      </c>
      <c r="S357" s="343">
        <f t="shared" si="70"/>
        <v>-4.5474735088646412E-13</v>
      </c>
      <c r="T357" s="343"/>
      <c r="U357" s="343">
        <f t="shared" ca="1" si="71"/>
        <v>1.0000000000000002</v>
      </c>
      <c r="V357" s="345">
        <f t="shared" si="72"/>
        <v>22.392857142857142</v>
      </c>
    </row>
    <row r="358" spans="2:22" x14ac:dyDescent="0.3">
      <c r="B358" s="246">
        <v>351</v>
      </c>
      <c r="C358" s="437">
        <f>B358*MechanicalData!$B$22/360</f>
        <v>53.625</v>
      </c>
      <c r="D358" s="437">
        <f>MechanicalData!$B$22</f>
        <v>55</v>
      </c>
      <c r="E358" s="248">
        <v>351</v>
      </c>
      <c r="F358" s="453">
        <v>66.242999999999995</v>
      </c>
      <c r="G358" s="437">
        <v>69.998000000000005</v>
      </c>
      <c r="H358" s="339">
        <f t="shared" si="61"/>
        <v>351</v>
      </c>
      <c r="I358" s="451">
        <f t="shared" si="62"/>
        <v>55</v>
      </c>
      <c r="J358" s="340">
        <f t="shared" si="63"/>
        <v>0.15277777777777779</v>
      </c>
      <c r="K358" s="341">
        <f t="shared" si="64"/>
        <v>53.625</v>
      </c>
      <c r="L358" s="333">
        <f t="shared" si="65"/>
        <v>7859.8928571428569</v>
      </c>
      <c r="M358" s="342">
        <f t="shared" si="66"/>
        <v>7860</v>
      </c>
      <c r="N358" s="343">
        <f t="shared" si="67"/>
        <v>53.624999999999993</v>
      </c>
      <c r="O358" s="343"/>
      <c r="P358" s="343">
        <f t="shared" si="68"/>
        <v>0</v>
      </c>
      <c r="Q358" s="344"/>
      <c r="R358" s="343">
        <f t="shared" si="69"/>
        <v>351.0000000000004</v>
      </c>
      <c r="S358" s="343">
        <f t="shared" si="70"/>
        <v>0</v>
      </c>
      <c r="T358" s="343"/>
      <c r="U358" s="343">
        <f t="shared" ca="1" si="71"/>
        <v>1.0000000000000002</v>
      </c>
      <c r="V358" s="345">
        <f t="shared" si="72"/>
        <v>22.392857142857142</v>
      </c>
    </row>
    <row r="359" spans="2:22" x14ac:dyDescent="0.3">
      <c r="B359" s="246">
        <v>352</v>
      </c>
      <c r="C359" s="437">
        <f>B359*MechanicalData!$B$22/360</f>
        <v>53.777777777777779</v>
      </c>
      <c r="D359" s="437">
        <f>MechanicalData!$B$22</f>
        <v>55</v>
      </c>
      <c r="E359" s="248">
        <v>352</v>
      </c>
      <c r="F359" s="453">
        <v>66.438000000000002</v>
      </c>
      <c r="G359" s="437">
        <v>69.998000000000005</v>
      </c>
      <c r="H359" s="339">
        <f t="shared" si="61"/>
        <v>352</v>
      </c>
      <c r="I359" s="451">
        <f t="shared" si="62"/>
        <v>55</v>
      </c>
      <c r="J359" s="340">
        <f t="shared" si="63"/>
        <v>0.15277777777777779</v>
      </c>
      <c r="K359" s="341">
        <f t="shared" si="64"/>
        <v>53.777777777777779</v>
      </c>
      <c r="L359" s="333">
        <f t="shared" si="65"/>
        <v>7882.2857142857147</v>
      </c>
      <c r="M359" s="342">
        <f t="shared" si="66"/>
        <v>7882</v>
      </c>
      <c r="N359" s="343">
        <f t="shared" si="67"/>
        <v>53.777777777777779</v>
      </c>
      <c r="O359" s="343"/>
      <c r="P359" s="343">
        <f t="shared" si="68"/>
        <v>0</v>
      </c>
      <c r="Q359" s="344"/>
      <c r="R359" s="343">
        <f t="shared" si="69"/>
        <v>352.00000000000045</v>
      </c>
      <c r="S359" s="343">
        <f t="shared" si="70"/>
        <v>-4.5474735088646412E-13</v>
      </c>
      <c r="T359" s="343"/>
      <c r="U359" s="343">
        <f t="shared" ca="1" si="71"/>
        <v>1.0000000000000002</v>
      </c>
      <c r="V359" s="345">
        <f t="shared" si="72"/>
        <v>22.392857142857142</v>
      </c>
    </row>
    <row r="360" spans="2:22" x14ac:dyDescent="0.3">
      <c r="B360" s="246">
        <v>353</v>
      </c>
      <c r="C360" s="437">
        <f>B360*MechanicalData!$B$22/360</f>
        <v>53.930555555555557</v>
      </c>
      <c r="D360" s="437">
        <f>MechanicalData!$B$22</f>
        <v>55</v>
      </c>
      <c r="E360" s="248">
        <v>353</v>
      </c>
      <c r="F360" s="453">
        <v>66.632000000000005</v>
      </c>
      <c r="G360" s="437">
        <v>69.998000000000005</v>
      </c>
      <c r="H360" s="339">
        <f t="shared" si="61"/>
        <v>353</v>
      </c>
      <c r="I360" s="451">
        <f t="shared" si="62"/>
        <v>55</v>
      </c>
      <c r="J360" s="340">
        <f t="shared" si="63"/>
        <v>0.15277777777777779</v>
      </c>
      <c r="K360" s="341">
        <f t="shared" si="64"/>
        <v>53.930555555555557</v>
      </c>
      <c r="L360" s="333">
        <f t="shared" si="65"/>
        <v>7904.6785714285716</v>
      </c>
      <c r="M360" s="342">
        <f t="shared" si="66"/>
        <v>7905</v>
      </c>
      <c r="N360" s="343">
        <f t="shared" si="67"/>
        <v>53.93055555555555</v>
      </c>
      <c r="O360" s="343"/>
      <c r="P360" s="343">
        <f t="shared" si="68"/>
        <v>0</v>
      </c>
      <c r="Q360" s="344"/>
      <c r="R360" s="343">
        <f t="shared" si="69"/>
        <v>353.00000000000045</v>
      </c>
      <c r="S360" s="343">
        <f t="shared" si="70"/>
        <v>-4.5474735088646412E-13</v>
      </c>
      <c r="T360" s="343"/>
      <c r="U360" s="343">
        <f t="shared" ca="1" si="71"/>
        <v>1.0000000000000002</v>
      </c>
      <c r="V360" s="345">
        <f t="shared" si="72"/>
        <v>22.392857142857142</v>
      </c>
    </row>
    <row r="361" spans="2:22" x14ac:dyDescent="0.3">
      <c r="B361" s="246">
        <v>354</v>
      </c>
      <c r="C361" s="437">
        <f>B361*MechanicalData!$B$22/360</f>
        <v>54.083333333333336</v>
      </c>
      <c r="D361" s="437">
        <f>MechanicalData!$B$22</f>
        <v>55</v>
      </c>
      <c r="E361" s="248">
        <v>354</v>
      </c>
      <c r="F361" s="453">
        <v>66.826999999999998</v>
      </c>
      <c r="G361" s="437">
        <v>69.998000000000005</v>
      </c>
      <c r="H361" s="339">
        <f t="shared" si="61"/>
        <v>354</v>
      </c>
      <c r="I361" s="451">
        <f t="shared" si="62"/>
        <v>55</v>
      </c>
      <c r="J361" s="340">
        <f t="shared" si="63"/>
        <v>0.15277777777777779</v>
      </c>
      <c r="K361" s="341">
        <f t="shared" si="64"/>
        <v>54.083333333333336</v>
      </c>
      <c r="L361" s="333">
        <f t="shared" si="65"/>
        <v>7927.0714285714294</v>
      </c>
      <c r="M361" s="342">
        <f t="shared" si="66"/>
        <v>7927</v>
      </c>
      <c r="N361" s="343">
        <f t="shared" si="67"/>
        <v>54.083333333333336</v>
      </c>
      <c r="O361" s="343"/>
      <c r="P361" s="343">
        <f t="shared" si="68"/>
        <v>0</v>
      </c>
      <c r="Q361" s="344"/>
      <c r="R361" s="343">
        <f t="shared" si="69"/>
        <v>354.00000000000051</v>
      </c>
      <c r="S361" s="343">
        <f t="shared" si="70"/>
        <v>-5.1159076974727213E-13</v>
      </c>
      <c r="T361" s="343"/>
      <c r="U361" s="343">
        <f t="shared" ca="1" si="71"/>
        <v>1.0000000000000002</v>
      </c>
      <c r="V361" s="345">
        <f t="shared" si="72"/>
        <v>22.392857142857142</v>
      </c>
    </row>
    <row r="362" spans="2:22" x14ac:dyDescent="0.3">
      <c r="B362" s="246">
        <v>355</v>
      </c>
      <c r="C362" s="437">
        <f>B362*MechanicalData!$B$22/360</f>
        <v>54.236111111111114</v>
      </c>
      <c r="D362" s="437">
        <f>MechanicalData!$B$22</f>
        <v>55</v>
      </c>
      <c r="E362" s="248">
        <v>355</v>
      </c>
      <c r="F362" s="453">
        <v>67.021000000000001</v>
      </c>
      <c r="G362" s="437">
        <v>69.998000000000005</v>
      </c>
      <c r="H362" s="339">
        <f t="shared" si="61"/>
        <v>355</v>
      </c>
      <c r="I362" s="451">
        <f t="shared" si="62"/>
        <v>55</v>
      </c>
      <c r="J362" s="340">
        <f t="shared" si="63"/>
        <v>0.15277777777777779</v>
      </c>
      <c r="K362" s="341">
        <f t="shared" si="64"/>
        <v>54.236111111111114</v>
      </c>
      <c r="L362" s="333">
        <f t="shared" si="65"/>
        <v>7949.4642857142853</v>
      </c>
      <c r="M362" s="342">
        <f t="shared" si="66"/>
        <v>7949</v>
      </c>
      <c r="N362" s="343">
        <f t="shared" si="67"/>
        <v>54.236111111111107</v>
      </c>
      <c r="O362" s="343"/>
      <c r="P362" s="343">
        <f t="shared" si="68"/>
        <v>0</v>
      </c>
      <c r="Q362" s="344"/>
      <c r="R362" s="343">
        <f t="shared" si="69"/>
        <v>355.0000000000004</v>
      </c>
      <c r="S362" s="343">
        <f t="shared" si="70"/>
        <v>0</v>
      </c>
      <c r="T362" s="343"/>
      <c r="U362" s="343">
        <f t="shared" ca="1" si="71"/>
        <v>1.0000000000000002</v>
      </c>
      <c r="V362" s="345">
        <f t="shared" si="72"/>
        <v>22.392857142857142</v>
      </c>
    </row>
    <row r="363" spans="2:22" x14ac:dyDescent="0.3">
      <c r="B363" s="246">
        <v>356</v>
      </c>
      <c r="C363" s="437">
        <f>B363*MechanicalData!$B$22/360</f>
        <v>54.388888888888886</v>
      </c>
      <c r="D363" s="437">
        <f>MechanicalData!$B$22</f>
        <v>55</v>
      </c>
      <c r="E363" s="248">
        <v>356</v>
      </c>
      <c r="F363" s="453">
        <v>67.215999999999994</v>
      </c>
      <c r="G363" s="437">
        <v>69.998000000000005</v>
      </c>
      <c r="H363" s="339">
        <f t="shared" si="61"/>
        <v>356</v>
      </c>
      <c r="I363" s="451">
        <f t="shared" si="62"/>
        <v>55</v>
      </c>
      <c r="J363" s="340">
        <f t="shared" si="63"/>
        <v>0.15277777777777779</v>
      </c>
      <c r="K363" s="341">
        <f t="shared" si="64"/>
        <v>54.388888888888886</v>
      </c>
      <c r="L363" s="333">
        <f t="shared" si="65"/>
        <v>7971.8571428571413</v>
      </c>
      <c r="M363" s="342">
        <f t="shared" si="66"/>
        <v>7972</v>
      </c>
      <c r="N363" s="343">
        <f t="shared" si="67"/>
        <v>54.388888888888879</v>
      </c>
      <c r="O363" s="343"/>
      <c r="P363" s="343">
        <f t="shared" si="68"/>
        <v>0</v>
      </c>
      <c r="Q363" s="344"/>
      <c r="R363" s="343">
        <f t="shared" si="69"/>
        <v>356.0000000000004</v>
      </c>
      <c r="S363" s="343">
        <f t="shared" si="70"/>
        <v>0</v>
      </c>
      <c r="T363" s="343"/>
      <c r="U363" s="343">
        <f t="shared" ca="1" si="71"/>
        <v>1.0000000000000002</v>
      </c>
      <c r="V363" s="345">
        <f t="shared" si="72"/>
        <v>22.392857142857142</v>
      </c>
    </row>
    <row r="364" spans="2:22" x14ac:dyDescent="0.3">
      <c r="B364" s="246">
        <v>357</v>
      </c>
      <c r="C364" s="437">
        <f>B364*MechanicalData!$B$22/360</f>
        <v>54.541666666666664</v>
      </c>
      <c r="D364" s="437">
        <f>MechanicalData!$B$22</f>
        <v>55</v>
      </c>
      <c r="E364" s="248">
        <v>357</v>
      </c>
      <c r="F364" s="453">
        <v>67.41</v>
      </c>
      <c r="G364" s="437">
        <v>69.998000000000005</v>
      </c>
      <c r="H364" s="339">
        <f t="shared" ref="H364:H427" si="73">B364</f>
        <v>357</v>
      </c>
      <c r="I364" s="451">
        <f t="shared" ref="I364:I427" si="74">D364</f>
        <v>55</v>
      </c>
      <c r="J364" s="340">
        <f t="shared" ref="J364:J427" si="75">I364/360</f>
        <v>0.15277777777777779</v>
      </c>
      <c r="K364" s="341">
        <f t="shared" ref="K364:K427" si="76">C364</f>
        <v>54.541666666666664</v>
      </c>
      <c r="L364" s="333">
        <f t="shared" ref="L364:L427" si="77">K364/$Z$7*360</f>
        <v>7994.2499999999991</v>
      </c>
      <c r="M364" s="342">
        <f t="shared" ref="M364:M427" si="78">ROUND(L364, 0)</f>
        <v>7994</v>
      </c>
      <c r="N364" s="343">
        <f t="shared" ref="N364:N427" si="79">InterpolXY(L364,$Y$22:$Y$31,$X$22:$X$31)</f>
        <v>54.541666666666657</v>
      </c>
      <c r="O364" s="343"/>
      <c r="P364" s="343">
        <f t="shared" ref="P364:P427" si="80">K364-N364</f>
        <v>0</v>
      </c>
      <c r="Q364" s="344"/>
      <c r="R364" s="343">
        <f t="shared" ref="R364:R427" si="81">InterpolXY(L364,$Y$22:$Y$31,$AC$22:$AC$31)</f>
        <v>357.0000000000004</v>
      </c>
      <c r="S364" s="343">
        <f t="shared" ref="S364:S427" si="82">H364-R364</f>
        <v>0</v>
      </c>
      <c r="T364" s="343"/>
      <c r="U364" s="343">
        <f t="shared" ca="1" si="71"/>
        <v>1.0000000000000002</v>
      </c>
      <c r="V364" s="345">
        <f t="shared" si="72"/>
        <v>22.392857142857142</v>
      </c>
    </row>
    <row r="365" spans="2:22" x14ac:dyDescent="0.3">
      <c r="B365" s="246">
        <v>358</v>
      </c>
      <c r="C365" s="437">
        <f>B365*MechanicalData!$B$22/360</f>
        <v>54.694444444444443</v>
      </c>
      <c r="D365" s="437">
        <f>MechanicalData!$B$22</f>
        <v>55</v>
      </c>
      <c r="E365" s="248">
        <v>358</v>
      </c>
      <c r="F365" s="453">
        <v>67.603999999999999</v>
      </c>
      <c r="G365" s="437">
        <v>69.998000000000005</v>
      </c>
      <c r="H365" s="339">
        <f t="shared" si="73"/>
        <v>358</v>
      </c>
      <c r="I365" s="451">
        <f t="shared" si="74"/>
        <v>55</v>
      </c>
      <c r="J365" s="340">
        <f t="shared" si="75"/>
        <v>0.15277777777777779</v>
      </c>
      <c r="K365" s="341">
        <f t="shared" si="76"/>
        <v>54.694444444444443</v>
      </c>
      <c r="L365" s="333">
        <f t="shared" si="77"/>
        <v>8016.642857142856</v>
      </c>
      <c r="M365" s="342">
        <f t="shared" si="78"/>
        <v>8017</v>
      </c>
      <c r="N365" s="343">
        <f t="shared" si="79"/>
        <v>54.694444444444436</v>
      </c>
      <c r="O365" s="343"/>
      <c r="P365" s="343">
        <f t="shared" si="80"/>
        <v>0</v>
      </c>
      <c r="Q365" s="344"/>
      <c r="R365" s="343">
        <f t="shared" si="81"/>
        <v>358.00000000000045</v>
      </c>
      <c r="S365" s="343">
        <f t="shared" si="82"/>
        <v>-4.5474735088646412E-13</v>
      </c>
      <c r="T365" s="343"/>
      <c r="U365" s="343">
        <f t="shared" ca="1" si="71"/>
        <v>1.0000000000000002</v>
      </c>
      <c r="V365" s="345">
        <f t="shared" si="72"/>
        <v>22.392857142857142</v>
      </c>
    </row>
    <row r="366" spans="2:22" x14ac:dyDescent="0.3">
      <c r="B366" s="246">
        <v>359</v>
      </c>
      <c r="C366" s="437">
        <f>B366*MechanicalData!$B$22/360</f>
        <v>54.847222222222221</v>
      </c>
      <c r="D366" s="437">
        <f>MechanicalData!$B$22</f>
        <v>55</v>
      </c>
      <c r="E366" s="248">
        <v>359</v>
      </c>
      <c r="F366" s="453">
        <v>67.799000000000007</v>
      </c>
      <c r="G366" s="437">
        <v>69.998000000000005</v>
      </c>
      <c r="H366" s="339">
        <f t="shared" si="73"/>
        <v>359</v>
      </c>
      <c r="I366" s="451">
        <f t="shared" si="74"/>
        <v>55</v>
      </c>
      <c r="J366" s="340">
        <f t="shared" si="75"/>
        <v>0.15277777777777779</v>
      </c>
      <c r="K366" s="341">
        <f t="shared" si="76"/>
        <v>54.847222222222221</v>
      </c>
      <c r="L366" s="333">
        <f t="shared" si="77"/>
        <v>8039.0357142857138</v>
      </c>
      <c r="M366" s="342">
        <f t="shared" si="78"/>
        <v>8039</v>
      </c>
      <c r="N366" s="343">
        <f t="shared" si="79"/>
        <v>54.847222222222214</v>
      </c>
      <c r="O366" s="343"/>
      <c r="P366" s="343">
        <f t="shared" si="80"/>
        <v>0</v>
      </c>
      <c r="Q366" s="344"/>
      <c r="R366" s="343">
        <f t="shared" si="81"/>
        <v>359.0000000000004</v>
      </c>
      <c r="S366" s="343">
        <f t="shared" si="82"/>
        <v>0</v>
      </c>
      <c r="T366" s="343"/>
      <c r="U366" s="343">
        <f t="shared" ca="1" si="71"/>
        <v>1.0000000000000002</v>
      </c>
      <c r="V366" s="345">
        <f t="shared" si="72"/>
        <v>22.392857142857142</v>
      </c>
    </row>
    <row r="367" spans="2:22" x14ac:dyDescent="0.3">
      <c r="B367" s="246">
        <v>360</v>
      </c>
      <c r="C367" s="437">
        <f>B367*MechanicalData!$B$22/360</f>
        <v>55</v>
      </c>
      <c r="D367" s="437">
        <f>MechanicalData!$B$22</f>
        <v>55</v>
      </c>
      <c r="E367" s="248">
        <v>360</v>
      </c>
      <c r="F367" s="453">
        <v>67.992999999999995</v>
      </c>
      <c r="G367" s="437">
        <v>69.998000000000005</v>
      </c>
      <c r="H367" s="339">
        <f t="shared" si="73"/>
        <v>360</v>
      </c>
      <c r="I367" s="451">
        <f t="shared" si="74"/>
        <v>55</v>
      </c>
      <c r="J367" s="340">
        <f t="shared" si="75"/>
        <v>0.15277777777777779</v>
      </c>
      <c r="K367" s="341">
        <f t="shared" si="76"/>
        <v>55</v>
      </c>
      <c r="L367" s="333">
        <f t="shared" si="77"/>
        <v>8061.4285714285716</v>
      </c>
      <c r="M367" s="342">
        <f t="shared" si="78"/>
        <v>8061</v>
      </c>
      <c r="N367" s="343">
        <f t="shared" si="79"/>
        <v>55</v>
      </c>
      <c r="O367" s="343"/>
      <c r="P367" s="343">
        <f t="shared" si="80"/>
        <v>0</v>
      </c>
      <c r="Q367" s="344"/>
      <c r="R367" s="343">
        <f t="shared" si="81"/>
        <v>360.00000000000045</v>
      </c>
      <c r="S367" s="343">
        <f t="shared" si="82"/>
        <v>-4.5474735088646412E-13</v>
      </c>
      <c r="T367" s="343"/>
      <c r="U367" s="343">
        <f t="shared" ca="1" si="71"/>
        <v>1.0000000000000002</v>
      </c>
      <c r="V367" s="345">
        <f t="shared" si="72"/>
        <v>22.392857142857142</v>
      </c>
    </row>
    <row r="368" spans="2:22" x14ac:dyDescent="0.3">
      <c r="B368" s="246">
        <v>361</v>
      </c>
      <c r="C368" s="437">
        <f>B368*MechanicalData!$B$22/360</f>
        <v>55.152777777777779</v>
      </c>
      <c r="D368" s="437">
        <f>MechanicalData!$B$22</f>
        <v>55</v>
      </c>
      <c r="E368" s="248">
        <v>361</v>
      </c>
      <c r="F368" s="453">
        <v>68.188000000000002</v>
      </c>
      <c r="G368" s="437">
        <v>69.998000000000005</v>
      </c>
      <c r="H368" s="339">
        <f t="shared" si="73"/>
        <v>361</v>
      </c>
      <c r="I368" s="451">
        <f t="shared" si="74"/>
        <v>55</v>
      </c>
      <c r="J368" s="340">
        <f t="shared" si="75"/>
        <v>0.15277777777777779</v>
      </c>
      <c r="K368" s="341">
        <f t="shared" si="76"/>
        <v>55.152777777777779</v>
      </c>
      <c r="L368" s="333">
        <f t="shared" si="77"/>
        <v>8083.8214285714284</v>
      </c>
      <c r="M368" s="342">
        <f t="shared" si="78"/>
        <v>8084</v>
      </c>
      <c r="N368" s="343">
        <f t="shared" si="79"/>
        <v>55.152777777777771</v>
      </c>
      <c r="O368" s="343"/>
      <c r="P368" s="343">
        <f t="shared" si="80"/>
        <v>0</v>
      </c>
      <c r="Q368" s="344"/>
      <c r="R368" s="343">
        <f t="shared" si="81"/>
        <v>361.00000000000045</v>
      </c>
      <c r="S368" s="343">
        <f t="shared" si="82"/>
        <v>-4.5474735088646412E-13</v>
      </c>
      <c r="T368" s="343"/>
      <c r="U368" s="343">
        <f t="shared" ca="1" si="71"/>
        <v>1.0000000000000002</v>
      </c>
      <c r="V368" s="345">
        <f t="shared" si="72"/>
        <v>22.392857142857142</v>
      </c>
    </row>
    <row r="369" spans="2:22" x14ac:dyDescent="0.3">
      <c r="B369" s="246">
        <v>362</v>
      </c>
      <c r="C369" s="437">
        <f>B369*MechanicalData!$B$22/360</f>
        <v>55.305555555555557</v>
      </c>
      <c r="D369" s="437">
        <f>MechanicalData!$B$22</f>
        <v>55</v>
      </c>
      <c r="E369" s="248">
        <v>362</v>
      </c>
      <c r="F369" s="453">
        <v>68.382000000000005</v>
      </c>
      <c r="G369" s="437">
        <v>69.998000000000005</v>
      </c>
      <c r="H369" s="339">
        <f t="shared" si="73"/>
        <v>362</v>
      </c>
      <c r="I369" s="451">
        <f t="shared" si="74"/>
        <v>55</v>
      </c>
      <c r="J369" s="340">
        <f t="shared" si="75"/>
        <v>0.15277777777777779</v>
      </c>
      <c r="K369" s="341">
        <f t="shared" si="76"/>
        <v>55.305555555555557</v>
      </c>
      <c r="L369" s="333">
        <f t="shared" si="77"/>
        <v>8106.2142857142862</v>
      </c>
      <c r="M369" s="342">
        <f t="shared" si="78"/>
        <v>8106</v>
      </c>
      <c r="N369" s="343">
        <f t="shared" si="79"/>
        <v>55.305555555555557</v>
      </c>
      <c r="O369" s="343"/>
      <c r="P369" s="343">
        <f t="shared" si="80"/>
        <v>0</v>
      </c>
      <c r="Q369" s="344"/>
      <c r="R369" s="343">
        <f t="shared" si="81"/>
        <v>362.00000000000051</v>
      </c>
      <c r="S369" s="343">
        <f t="shared" si="82"/>
        <v>-5.1159076974727213E-13</v>
      </c>
      <c r="T369" s="343"/>
      <c r="U369" s="343">
        <f t="shared" ca="1" si="71"/>
        <v>1.0000000000000002</v>
      </c>
      <c r="V369" s="345">
        <f t="shared" si="72"/>
        <v>22.392857142857142</v>
      </c>
    </row>
    <row r="370" spans="2:22" x14ac:dyDescent="0.3">
      <c r="B370" s="246">
        <v>363</v>
      </c>
      <c r="C370" s="437">
        <f>B370*MechanicalData!$B$22/360</f>
        <v>55.458333333333336</v>
      </c>
      <c r="D370" s="437">
        <f>MechanicalData!$B$22</f>
        <v>55</v>
      </c>
      <c r="E370" s="248">
        <v>363</v>
      </c>
      <c r="F370" s="453">
        <v>68.576999999999998</v>
      </c>
      <c r="G370" s="437">
        <v>69.998000000000005</v>
      </c>
      <c r="H370" s="339">
        <f t="shared" si="73"/>
        <v>363</v>
      </c>
      <c r="I370" s="451">
        <f t="shared" si="74"/>
        <v>55</v>
      </c>
      <c r="J370" s="340">
        <f t="shared" si="75"/>
        <v>0.15277777777777779</v>
      </c>
      <c r="K370" s="341">
        <f t="shared" si="76"/>
        <v>55.458333333333336</v>
      </c>
      <c r="L370" s="333">
        <f t="shared" si="77"/>
        <v>8128.6071428571431</v>
      </c>
      <c r="M370" s="342">
        <f t="shared" si="78"/>
        <v>8129</v>
      </c>
      <c r="N370" s="343">
        <f t="shared" si="79"/>
        <v>55.458333333333329</v>
      </c>
      <c r="O370" s="343"/>
      <c r="P370" s="343">
        <f t="shared" si="80"/>
        <v>0</v>
      </c>
      <c r="Q370" s="344"/>
      <c r="R370" s="343">
        <f t="shared" si="81"/>
        <v>363.00000000000045</v>
      </c>
      <c r="S370" s="343">
        <f t="shared" si="82"/>
        <v>-4.5474735088646412E-13</v>
      </c>
      <c r="T370" s="343"/>
      <c r="U370" s="343">
        <f t="shared" ca="1" si="71"/>
        <v>1.0000000000000002</v>
      </c>
      <c r="V370" s="345">
        <f t="shared" si="72"/>
        <v>22.392857142857142</v>
      </c>
    </row>
    <row r="371" spans="2:22" x14ac:dyDescent="0.3">
      <c r="B371" s="246">
        <v>364</v>
      </c>
      <c r="C371" s="437">
        <f>B371*MechanicalData!$B$22/360</f>
        <v>55.611111111111114</v>
      </c>
      <c r="D371" s="437">
        <f>MechanicalData!$B$22</f>
        <v>55</v>
      </c>
      <c r="E371" s="248">
        <v>364</v>
      </c>
      <c r="F371" s="453">
        <v>68.771000000000001</v>
      </c>
      <c r="G371" s="437">
        <v>69.998000000000005</v>
      </c>
      <c r="H371" s="339">
        <f t="shared" si="73"/>
        <v>364</v>
      </c>
      <c r="I371" s="451">
        <f t="shared" si="74"/>
        <v>55</v>
      </c>
      <c r="J371" s="340">
        <f t="shared" si="75"/>
        <v>0.15277777777777779</v>
      </c>
      <c r="K371" s="341">
        <f t="shared" si="76"/>
        <v>55.611111111111114</v>
      </c>
      <c r="L371" s="333">
        <f t="shared" si="77"/>
        <v>8151</v>
      </c>
      <c r="M371" s="342">
        <f t="shared" si="78"/>
        <v>8151</v>
      </c>
      <c r="N371" s="343">
        <f t="shared" si="79"/>
        <v>55.611111111111107</v>
      </c>
      <c r="O371" s="343"/>
      <c r="P371" s="343">
        <f t="shared" si="80"/>
        <v>0</v>
      </c>
      <c r="Q371" s="344"/>
      <c r="R371" s="343">
        <f t="shared" si="81"/>
        <v>364.00000000000045</v>
      </c>
      <c r="S371" s="343">
        <f t="shared" si="82"/>
        <v>-4.5474735088646412E-13</v>
      </c>
      <c r="T371" s="343"/>
      <c r="U371" s="343">
        <f t="shared" ca="1" si="71"/>
        <v>1.0000000000000002</v>
      </c>
      <c r="V371" s="345">
        <f t="shared" si="72"/>
        <v>22.392857142857142</v>
      </c>
    </row>
    <row r="372" spans="2:22" x14ac:dyDescent="0.3">
      <c r="B372" s="246">
        <v>365</v>
      </c>
      <c r="C372" s="437">
        <f>B372*MechanicalData!$B$22/360</f>
        <v>55.763888888888886</v>
      </c>
      <c r="D372" s="437">
        <f>MechanicalData!$B$22</f>
        <v>55</v>
      </c>
      <c r="E372" s="248">
        <v>365</v>
      </c>
      <c r="F372" s="453">
        <v>68.965000000000003</v>
      </c>
      <c r="G372" s="437">
        <v>69.998000000000005</v>
      </c>
      <c r="H372" s="339">
        <f t="shared" si="73"/>
        <v>365</v>
      </c>
      <c r="I372" s="451">
        <f t="shared" si="74"/>
        <v>55</v>
      </c>
      <c r="J372" s="340">
        <f t="shared" si="75"/>
        <v>0.15277777777777779</v>
      </c>
      <c r="K372" s="341">
        <f t="shared" si="76"/>
        <v>55.763888888888886</v>
      </c>
      <c r="L372" s="333">
        <f t="shared" si="77"/>
        <v>8173.392857142856</v>
      </c>
      <c r="M372" s="342">
        <f t="shared" si="78"/>
        <v>8173</v>
      </c>
      <c r="N372" s="343">
        <f t="shared" si="79"/>
        <v>55.763888888888879</v>
      </c>
      <c r="O372" s="343"/>
      <c r="P372" s="343">
        <f t="shared" si="80"/>
        <v>0</v>
      </c>
      <c r="Q372" s="344"/>
      <c r="R372" s="343">
        <f t="shared" si="81"/>
        <v>365.00000000000045</v>
      </c>
      <c r="S372" s="343">
        <f t="shared" si="82"/>
        <v>-4.5474735088646412E-13</v>
      </c>
      <c r="T372" s="343"/>
      <c r="U372" s="343">
        <f t="shared" ca="1" si="71"/>
        <v>1.0000000000000002</v>
      </c>
      <c r="V372" s="345">
        <f t="shared" si="72"/>
        <v>22.392857142857142</v>
      </c>
    </row>
    <row r="373" spans="2:22" x14ac:dyDescent="0.3">
      <c r="B373" s="246">
        <v>366</v>
      </c>
      <c r="C373" s="437">
        <f>B373*MechanicalData!$B$22/360</f>
        <v>55.916666666666664</v>
      </c>
      <c r="D373" s="437">
        <f>MechanicalData!$B$22</f>
        <v>55</v>
      </c>
      <c r="E373" s="248">
        <v>366</v>
      </c>
      <c r="F373" s="453">
        <v>69.16</v>
      </c>
      <c r="G373" s="437">
        <v>69.998000000000005</v>
      </c>
      <c r="H373" s="339">
        <f t="shared" si="73"/>
        <v>366</v>
      </c>
      <c r="I373" s="451">
        <f t="shared" si="74"/>
        <v>55</v>
      </c>
      <c r="J373" s="340">
        <f t="shared" si="75"/>
        <v>0.15277777777777779</v>
      </c>
      <c r="K373" s="341">
        <f t="shared" si="76"/>
        <v>55.916666666666664</v>
      </c>
      <c r="L373" s="333">
        <f t="shared" si="77"/>
        <v>8195.7857142857138</v>
      </c>
      <c r="M373" s="342">
        <f t="shared" si="78"/>
        <v>8196</v>
      </c>
      <c r="N373" s="343">
        <f t="shared" si="79"/>
        <v>55.916666666666657</v>
      </c>
      <c r="O373" s="343"/>
      <c r="P373" s="343">
        <f t="shared" si="80"/>
        <v>0</v>
      </c>
      <c r="Q373" s="344"/>
      <c r="R373" s="343">
        <f t="shared" si="81"/>
        <v>366.0000000000004</v>
      </c>
      <c r="S373" s="343">
        <f t="shared" si="82"/>
        <v>0</v>
      </c>
      <c r="T373" s="343"/>
      <c r="U373" s="343">
        <f t="shared" ca="1" si="71"/>
        <v>1.0000000000000002</v>
      </c>
      <c r="V373" s="345">
        <f t="shared" si="72"/>
        <v>22.392857142857142</v>
      </c>
    </row>
    <row r="374" spans="2:22" x14ac:dyDescent="0.3">
      <c r="B374" s="246">
        <v>367</v>
      </c>
      <c r="C374" s="437">
        <f>B374*MechanicalData!$B$22/360</f>
        <v>56.069444444444443</v>
      </c>
      <c r="D374" s="437">
        <f>MechanicalData!$B$22</f>
        <v>55</v>
      </c>
      <c r="E374" s="248">
        <v>367</v>
      </c>
      <c r="F374" s="453">
        <v>69.353999999999999</v>
      </c>
      <c r="G374" s="437">
        <v>69.998000000000005</v>
      </c>
      <c r="H374" s="339">
        <f t="shared" si="73"/>
        <v>367</v>
      </c>
      <c r="I374" s="451">
        <f t="shared" si="74"/>
        <v>55</v>
      </c>
      <c r="J374" s="340">
        <f t="shared" si="75"/>
        <v>0.15277777777777779</v>
      </c>
      <c r="K374" s="341">
        <f t="shared" si="76"/>
        <v>56.069444444444443</v>
      </c>
      <c r="L374" s="333">
        <f t="shared" si="77"/>
        <v>8218.1785714285706</v>
      </c>
      <c r="M374" s="342">
        <f t="shared" si="78"/>
        <v>8218</v>
      </c>
      <c r="N374" s="343">
        <f t="shared" si="79"/>
        <v>56.069444444444436</v>
      </c>
      <c r="O374" s="343"/>
      <c r="P374" s="343">
        <f t="shared" si="80"/>
        <v>0</v>
      </c>
      <c r="Q374" s="344"/>
      <c r="R374" s="343">
        <f t="shared" si="81"/>
        <v>367.0000000000004</v>
      </c>
      <c r="S374" s="343">
        <f t="shared" si="82"/>
        <v>0</v>
      </c>
      <c r="T374" s="343"/>
      <c r="U374" s="343">
        <f t="shared" ca="1" si="71"/>
        <v>1.0000000000000002</v>
      </c>
      <c r="V374" s="345">
        <f t="shared" si="72"/>
        <v>22.392857142857142</v>
      </c>
    </row>
    <row r="375" spans="2:22" x14ac:dyDescent="0.3">
      <c r="B375" s="246">
        <v>368</v>
      </c>
      <c r="C375" s="437">
        <f>B375*MechanicalData!$B$22/360</f>
        <v>56.222222222222221</v>
      </c>
      <c r="D375" s="437">
        <f>MechanicalData!$B$22</f>
        <v>55</v>
      </c>
      <c r="E375" s="248">
        <v>368</v>
      </c>
      <c r="F375" s="453">
        <v>69.549000000000007</v>
      </c>
      <c r="G375" s="437">
        <v>69.998000000000005</v>
      </c>
      <c r="H375" s="339">
        <f t="shared" si="73"/>
        <v>368</v>
      </c>
      <c r="I375" s="451">
        <f t="shared" si="74"/>
        <v>55</v>
      </c>
      <c r="J375" s="340">
        <f t="shared" si="75"/>
        <v>0.15277777777777779</v>
      </c>
      <c r="K375" s="341">
        <f t="shared" si="76"/>
        <v>56.222222222222221</v>
      </c>
      <c r="L375" s="333">
        <f t="shared" si="77"/>
        <v>8240.5714285714275</v>
      </c>
      <c r="M375" s="342">
        <f t="shared" si="78"/>
        <v>8241</v>
      </c>
      <c r="N375" s="343">
        <f t="shared" si="79"/>
        <v>56.222222222222214</v>
      </c>
      <c r="O375" s="343"/>
      <c r="P375" s="343">
        <f t="shared" si="80"/>
        <v>0</v>
      </c>
      <c r="Q375" s="344"/>
      <c r="R375" s="343">
        <f t="shared" si="81"/>
        <v>368.0000000000004</v>
      </c>
      <c r="S375" s="343">
        <f t="shared" si="82"/>
        <v>0</v>
      </c>
      <c r="T375" s="343"/>
      <c r="U375" s="343">
        <f t="shared" ca="1" si="71"/>
        <v>1.0000000000000002</v>
      </c>
      <c r="V375" s="345">
        <f t="shared" si="72"/>
        <v>22.392857142857142</v>
      </c>
    </row>
    <row r="376" spans="2:22" x14ac:dyDescent="0.3">
      <c r="B376" s="246">
        <v>369</v>
      </c>
      <c r="C376" s="437">
        <f>B376*MechanicalData!$B$22/360</f>
        <v>56.375</v>
      </c>
      <c r="D376" s="437">
        <f>MechanicalData!$B$22</f>
        <v>55</v>
      </c>
      <c r="E376" s="248">
        <v>369</v>
      </c>
      <c r="F376" s="453">
        <v>69.742999999999995</v>
      </c>
      <c r="G376" s="437">
        <v>69.998000000000005</v>
      </c>
      <c r="H376" s="339">
        <f t="shared" si="73"/>
        <v>369</v>
      </c>
      <c r="I376" s="451">
        <f t="shared" si="74"/>
        <v>55</v>
      </c>
      <c r="J376" s="340">
        <f t="shared" si="75"/>
        <v>0.15277777777777779</v>
      </c>
      <c r="K376" s="341">
        <f t="shared" si="76"/>
        <v>56.375</v>
      </c>
      <c r="L376" s="333">
        <f t="shared" si="77"/>
        <v>8262.9642857142862</v>
      </c>
      <c r="M376" s="342">
        <f t="shared" si="78"/>
        <v>8263</v>
      </c>
      <c r="N376" s="343">
        <f t="shared" si="79"/>
        <v>56.375</v>
      </c>
      <c r="O376" s="343"/>
      <c r="P376" s="343">
        <f t="shared" si="80"/>
        <v>0</v>
      </c>
      <c r="Q376" s="344"/>
      <c r="R376" s="343">
        <f t="shared" si="81"/>
        <v>369.00000000000051</v>
      </c>
      <c r="S376" s="343">
        <f t="shared" si="82"/>
        <v>-5.1159076974727213E-13</v>
      </c>
      <c r="T376" s="343"/>
      <c r="U376" s="343">
        <f t="shared" ca="1" si="71"/>
        <v>1.0000000000000002</v>
      </c>
      <c r="V376" s="345">
        <f t="shared" si="72"/>
        <v>22.392857142857142</v>
      </c>
    </row>
    <row r="377" spans="2:22" x14ac:dyDescent="0.3">
      <c r="B377" s="246">
        <v>370</v>
      </c>
      <c r="C377" s="437">
        <f>B377*MechanicalData!$B$22/360</f>
        <v>56.527777777777779</v>
      </c>
      <c r="D377" s="437">
        <f>MechanicalData!$B$22</f>
        <v>55</v>
      </c>
      <c r="E377" s="248">
        <v>370</v>
      </c>
      <c r="F377" s="453">
        <v>69.938000000000002</v>
      </c>
      <c r="G377" s="437">
        <v>69.998000000000005</v>
      </c>
      <c r="H377" s="339">
        <f t="shared" si="73"/>
        <v>370</v>
      </c>
      <c r="I377" s="451">
        <f t="shared" si="74"/>
        <v>55</v>
      </c>
      <c r="J377" s="340">
        <f t="shared" si="75"/>
        <v>0.15277777777777779</v>
      </c>
      <c r="K377" s="341">
        <f t="shared" si="76"/>
        <v>56.527777777777779</v>
      </c>
      <c r="L377" s="333">
        <f t="shared" si="77"/>
        <v>8285.3571428571431</v>
      </c>
      <c r="M377" s="342">
        <f t="shared" si="78"/>
        <v>8285</v>
      </c>
      <c r="N377" s="343">
        <f t="shared" si="79"/>
        <v>56.527777777777771</v>
      </c>
      <c r="O377" s="343"/>
      <c r="P377" s="343">
        <f t="shared" si="80"/>
        <v>0</v>
      </c>
      <c r="Q377" s="344"/>
      <c r="R377" s="343">
        <f t="shared" si="81"/>
        <v>370.00000000000045</v>
      </c>
      <c r="S377" s="343">
        <f t="shared" si="82"/>
        <v>-4.5474735088646412E-13</v>
      </c>
      <c r="T377" s="343"/>
      <c r="U377" s="343">
        <f t="shared" ca="1" si="71"/>
        <v>1.0000000000000002</v>
      </c>
      <c r="V377" s="345">
        <f t="shared" si="72"/>
        <v>22.392857142857142</v>
      </c>
    </row>
    <row r="378" spans="2:22" x14ac:dyDescent="0.3">
      <c r="B378" s="246">
        <v>371</v>
      </c>
      <c r="C378" s="437">
        <f>B378*MechanicalData!$B$22/360</f>
        <v>56.680555555555557</v>
      </c>
      <c r="D378" s="437">
        <f>MechanicalData!$B$22</f>
        <v>55</v>
      </c>
      <c r="E378" s="248">
        <v>371</v>
      </c>
      <c r="F378" s="453">
        <v>70.132000000000005</v>
      </c>
      <c r="G378" s="437">
        <v>69.998000000000005</v>
      </c>
      <c r="H378" s="339">
        <f t="shared" si="73"/>
        <v>371</v>
      </c>
      <c r="I378" s="451">
        <f t="shared" si="74"/>
        <v>55</v>
      </c>
      <c r="J378" s="340">
        <f t="shared" si="75"/>
        <v>0.15277777777777779</v>
      </c>
      <c r="K378" s="341">
        <f t="shared" si="76"/>
        <v>56.680555555555557</v>
      </c>
      <c r="L378" s="333">
        <f t="shared" si="77"/>
        <v>8307.75</v>
      </c>
      <c r="M378" s="342">
        <f t="shared" si="78"/>
        <v>8308</v>
      </c>
      <c r="N378" s="343">
        <f t="shared" si="79"/>
        <v>56.68055555555555</v>
      </c>
      <c r="O378" s="343"/>
      <c r="P378" s="343">
        <f t="shared" si="80"/>
        <v>0</v>
      </c>
      <c r="Q378" s="344"/>
      <c r="R378" s="343">
        <f t="shared" si="81"/>
        <v>371.00000000000045</v>
      </c>
      <c r="S378" s="343">
        <f t="shared" si="82"/>
        <v>-4.5474735088646412E-13</v>
      </c>
      <c r="T378" s="343"/>
      <c r="U378" s="343">
        <f t="shared" ca="1" si="71"/>
        <v>1.0000000000000002</v>
      </c>
      <c r="V378" s="345">
        <f t="shared" si="72"/>
        <v>22.392857142857142</v>
      </c>
    </row>
    <row r="379" spans="2:22" x14ac:dyDescent="0.3">
      <c r="B379" s="246">
        <v>372</v>
      </c>
      <c r="C379" s="437">
        <f>B379*MechanicalData!$B$22/360</f>
        <v>56.833333333333336</v>
      </c>
      <c r="D379" s="437">
        <f>MechanicalData!$B$22</f>
        <v>55</v>
      </c>
      <c r="E379" s="248">
        <v>372</v>
      </c>
      <c r="F379" s="453">
        <v>70.326999999999998</v>
      </c>
      <c r="G379" s="437">
        <v>69.998000000000005</v>
      </c>
      <c r="H379" s="339">
        <f t="shared" si="73"/>
        <v>372</v>
      </c>
      <c r="I379" s="451">
        <f t="shared" si="74"/>
        <v>55</v>
      </c>
      <c r="J379" s="340">
        <f t="shared" si="75"/>
        <v>0.15277777777777779</v>
      </c>
      <c r="K379" s="341">
        <f t="shared" si="76"/>
        <v>56.833333333333336</v>
      </c>
      <c r="L379" s="333">
        <f t="shared" si="77"/>
        <v>8330.1428571428569</v>
      </c>
      <c r="M379" s="342">
        <f t="shared" si="78"/>
        <v>8330</v>
      </c>
      <c r="N379" s="343">
        <f t="shared" si="79"/>
        <v>56.833333333333329</v>
      </c>
      <c r="O379" s="343"/>
      <c r="P379" s="343">
        <f t="shared" si="80"/>
        <v>0</v>
      </c>
      <c r="Q379" s="344"/>
      <c r="R379" s="343">
        <f t="shared" si="81"/>
        <v>372.00000000000045</v>
      </c>
      <c r="S379" s="343">
        <f t="shared" si="82"/>
        <v>-4.5474735088646412E-13</v>
      </c>
      <c r="T379" s="343"/>
      <c r="U379" s="343">
        <f t="shared" ca="1" si="71"/>
        <v>1.0000000000000002</v>
      </c>
      <c r="V379" s="345">
        <f t="shared" si="72"/>
        <v>22.392857142857142</v>
      </c>
    </row>
    <row r="380" spans="2:22" x14ac:dyDescent="0.3">
      <c r="B380" s="246">
        <v>373</v>
      </c>
      <c r="C380" s="437">
        <f>B380*MechanicalData!$B$22/360</f>
        <v>56.986111111111114</v>
      </c>
      <c r="D380" s="437">
        <f>MechanicalData!$B$22</f>
        <v>55</v>
      </c>
      <c r="E380" s="248">
        <v>373</v>
      </c>
      <c r="F380" s="453">
        <v>70.521000000000001</v>
      </c>
      <c r="G380" s="437">
        <v>69.998000000000005</v>
      </c>
      <c r="H380" s="339">
        <f t="shared" si="73"/>
        <v>373</v>
      </c>
      <c r="I380" s="451">
        <f t="shared" si="74"/>
        <v>55</v>
      </c>
      <c r="J380" s="340">
        <f t="shared" si="75"/>
        <v>0.15277777777777779</v>
      </c>
      <c r="K380" s="341">
        <f t="shared" si="76"/>
        <v>56.986111111111114</v>
      </c>
      <c r="L380" s="333">
        <f t="shared" si="77"/>
        <v>8352.5357142857138</v>
      </c>
      <c r="M380" s="342">
        <f t="shared" si="78"/>
        <v>8353</v>
      </c>
      <c r="N380" s="343">
        <f t="shared" si="79"/>
        <v>56.9861111111111</v>
      </c>
      <c r="O380" s="343"/>
      <c r="P380" s="343">
        <f t="shared" si="80"/>
        <v>0</v>
      </c>
      <c r="Q380" s="344"/>
      <c r="R380" s="343">
        <f t="shared" si="81"/>
        <v>373.00000000000045</v>
      </c>
      <c r="S380" s="343">
        <f t="shared" si="82"/>
        <v>-4.5474735088646412E-13</v>
      </c>
      <c r="T380" s="343"/>
      <c r="U380" s="343">
        <f t="shared" ca="1" si="71"/>
        <v>1.0000000000000002</v>
      </c>
      <c r="V380" s="345">
        <f t="shared" si="72"/>
        <v>22.392857142857142</v>
      </c>
    </row>
    <row r="381" spans="2:22" x14ac:dyDescent="0.3">
      <c r="B381" s="246">
        <v>374</v>
      </c>
      <c r="C381" s="437">
        <f>B381*MechanicalData!$B$22/360</f>
        <v>57.138888888888886</v>
      </c>
      <c r="D381" s="437">
        <f>MechanicalData!$B$22</f>
        <v>55</v>
      </c>
      <c r="E381" s="248">
        <v>374</v>
      </c>
      <c r="F381" s="453">
        <v>70.715000000000003</v>
      </c>
      <c r="G381" s="437">
        <v>69.998000000000005</v>
      </c>
      <c r="H381" s="339">
        <f t="shared" si="73"/>
        <v>374</v>
      </c>
      <c r="I381" s="451">
        <f t="shared" si="74"/>
        <v>55</v>
      </c>
      <c r="J381" s="340">
        <f t="shared" si="75"/>
        <v>0.15277777777777779</v>
      </c>
      <c r="K381" s="341">
        <f t="shared" si="76"/>
        <v>57.138888888888886</v>
      </c>
      <c r="L381" s="333">
        <f t="shared" si="77"/>
        <v>8374.9285714285706</v>
      </c>
      <c r="M381" s="342">
        <f t="shared" si="78"/>
        <v>8375</v>
      </c>
      <c r="N381" s="343">
        <f t="shared" si="79"/>
        <v>57.138888888888879</v>
      </c>
      <c r="O381" s="343"/>
      <c r="P381" s="343">
        <f t="shared" si="80"/>
        <v>0</v>
      </c>
      <c r="Q381" s="344"/>
      <c r="R381" s="343">
        <f t="shared" si="81"/>
        <v>374.0000000000004</v>
      </c>
      <c r="S381" s="343">
        <f t="shared" si="82"/>
        <v>0</v>
      </c>
      <c r="T381" s="343"/>
      <c r="U381" s="343">
        <f t="shared" ca="1" si="71"/>
        <v>1.0000000000000002</v>
      </c>
      <c r="V381" s="345">
        <f t="shared" si="72"/>
        <v>22.392857142857142</v>
      </c>
    </row>
    <row r="382" spans="2:22" x14ac:dyDescent="0.3">
      <c r="B382" s="246">
        <v>375</v>
      </c>
      <c r="C382" s="437">
        <f>B382*MechanicalData!$B$22/360</f>
        <v>57.291666666666664</v>
      </c>
      <c r="D382" s="437">
        <f>MechanicalData!$B$22</f>
        <v>55</v>
      </c>
      <c r="E382" s="248">
        <v>375</v>
      </c>
      <c r="F382" s="453">
        <v>70.91</v>
      </c>
      <c r="G382" s="437">
        <v>69.998000000000005</v>
      </c>
      <c r="H382" s="339">
        <f t="shared" si="73"/>
        <v>375</v>
      </c>
      <c r="I382" s="451">
        <f t="shared" si="74"/>
        <v>55</v>
      </c>
      <c r="J382" s="340">
        <f t="shared" si="75"/>
        <v>0.15277777777777779</v>
      </c>
      <c r="K382" s="341">
        <f t="shared" si="76"/>
        <v>57.291666666666664</v>
      </c>
      <c r="L382" s="333">
        <f t="shared" si="77"/>
        <v>8397.3214285714275</v>
      </c>
      <c r="M382" s="342">
        <f t="shared" si="78"/>
        <v>8397</v>
      </c>
      <c r="N382" s="343">
        <f t="shared" si="79"/>
        <v>57.291666666666657</v>
      </c>
      <c r="O382" s="343"/>
      <c r="P382" s="343">
        <f t="shared" si="80"/>
        <v>0</v>
      </c>
      <c r="Q382" s="344"/>
      <c r="R382" s="343">
        <f t="shared" si="81"/>
        <v>375.0000000000004</v>
      </c>
      <c r="S382" s="343">
        <f t="shared" si="82"/>
        <v>0</v>
      </c>
      <c r="T382" s="343"/>
      <c r="U382" s="343">
        <f t="shared" ca="1" si="71"/>
        <v>1.0000000000000002</v>
      </c>
      <c r="V382" s="345">
        <f t="shared" si="72"/>
        <v>22.392857142857142</v>
      </c>
    </row>
    <row r="383" spans="2:22" x14ac:dyDescent="0.3">
      <c r="B383" s="246">
        <v>376</v>
      </c>
      <c r="C383" s="437">
        <f>B383*MechanicalData!$B$22/360</f>
        <v>57.444444444444443</v>
      </c>
      <c r="D383" s="437">
        <f>MechanicalData!$B$22</f>
        <v>55</v>
      </c>
      <c r="E383" s="248">
        <v>376</v>
      </c>
      <c r="F383" s="453">
        <v>71.103999999999999</v>
      </c>
      <c r="G383" s="437">
        <v>69.998000000000005</v>
      </c>
      <c r="H383" s="339">
        <f t="shared" si="73"/>
        <v>376</v>
      </c>
      <c r="I383" s="451">
        <f t="shared" si="74"/>
        <v>55</v>
      </c>
      <c r="J383" s="340">
        <f t="shared" si="75"/>
        <v>0.15277777777777779</v>
      </c>
      <c r="K383" s="341">
        <f t="shared" si="76"/>
        <v>57.444444444444443</v>
      </c>
      <c r="L383" s="333">
        <f t="shared" si="77"/>
        <v>8419.7142857142844</v>
      </c>
      <c r="M383" s="342">
        <f t="shared" si="78"/>
        <v>8420</v>
      </c>
      <c r="N383" s="343">
        <f t="shared" si="79"/>
        <v>57.444444444444429</v>
      </c>
      <c r="O383" s="343"/>
      <c r="P383" s="343">
        <f t="shared" si="80"/>
        <v>0</v>
      </c>
      <c r="Q383" s="344"/>
      <c r="R383" s="343">
        <f t="shared" si="81"/>
        <v>376.00000000000045</v>
      </c>
      <c r="S383" s="343">
        <f t="shared" si="82"/>
        <v>-4.5474735088646412E-13</v>
      </c>
      <c r="T383" s="343"/>
      <c r="U383" s="343">
        <f t="shared" ca="1" si="71"/>
        <v>1.0000000000000002</v>
      </c>
      <c r="V383" s="345">
        <f t="shared" si="72"/>
        <v>22.392857142857142</v>
      </c>
    </row>
    <row r="384" spans="2:22" x14ac:dyDescent="0.3">
      <c r="B384" s="246">
        <v>377</v>
      </c>
      <c r="C384" s="437">
        <f>B384*MechanicalData!$B$22/360</f>
        <v>57.597222222222221</v>
      </c>
      <c r="D384" s="437">
        <f>MechanicalData!$B$22</f>
        <v>55</v>
      </c>
      <c r="E384" s="248">
        <v>377</v>
      </c>
      <c r="F384" s="453">
        <v>71.299000000000007</v>
      </c>
      <c r="G384" s="437">
        <v>69.998000000000005</v>
      </c>
      <c r="H384" s="339">
        <f t="shared" si="73"/>
        <v>377</v>
      </c>
      <c r="I384" s="451">
        <f t="shared" si="74"/>
        <v>55</v>
      </c>
      <c r="J384" s="340">
        <f t="shared" si="75"/>
        <v>0.15277777777777779</v>
      </c>
      <c r="K384" s="341">
        <f t="shared" si="76"/>
        <v>57.597222222222221</v>
      </c>
      <c r="L384" s="333">
        <f t="shared" si="77"/>
        <v>8442.1071428571431</v>
      </c>
      <c r="M384" s="342">
        <f t="shared" si="78"/>
        <v>8442</v>
      </c>
      <c r="N384" s="343">
        <f t="shared" si="79"/>
        <v>57.597222222222221</v>
      </c>
      <c r="O384" s="343"/>
      <c r="P384" s="343">
        <f t="shared" si="80"/>
        <v>0</v>
      </c>
      <c r="Q384" s="344"/>
      <c r="R384" s="343">
        <f t="shared" si="81"/>
        <v>377.00000000000051</v>
      </c>
      <c r="S384" s="343">
        <f t="shared" si="82"/>
        <v>-5.1159076974727213E-13</v>
      </c>
      <c r="T384" s="343"/>
      <c r="U384" s="343">
        <f t="shared" ca="1" si="71"/>
        <v>1.0000000000000002</v>
      </c>
      <c r="V384" s="345">
        <f t="shared" si="72"/>
        <v>22.392857142857142</v>
      </c>
    </row>
    <row r="385" spans="2:22" x14ac:dyDescent="0.3">
      <c r="B385" s="246">
        <v>378</v>
      </c>
      <c r="C385" s="437">
        <f>B385*MechanicalData!$B$22/360</f>
        <v>57.75</v>
      </c>
      <c r="D385" s="437">
        <f>MechanicalData!$B$22</f>
        <v>55</v>
      </c>
      <c r="E385" s="248">
        <v>378</v>
      </c>
      <c r="F385" s="453">
        <v>71.492999999999995</v>
      </c>
      <c r="G385" s="437">
        <v>69.998000000000005</v>
      </c>
      <c r="H385" s="339">
        <f t="shared" si="73"/>
        <v>378</v>
      </c>
      <c r="I385" s="451">
        <f t="shared" si="74"/>
        <v>55</v>
      </c>
      <c r="J385" s="340">
        <f t="shared" si="75"/>
        <v>0.15277777777777779</v>
      </c>
      <c r="K385" s="341">
        <f t="shared" si="76"/>
        <v>57.75</v>
      </c>
      <c r="L385" s="333">
        <f t="shared" si="77"/>
        <v>8464.5</v>
      </c>
      <c r="M385" s="342">
        <f t="shared" si="78"/>
        <v>8465</v>
      </c>
      <c r="N385" s="343">
        <f t="shared" si="79"/>
        <v>57.749999999999993</v>
      </c>
      <c r="O385" s="343"/>
      <c r="P385" s="343">
        <f t="shared" si="80"/>
        <v>0</v>
      </c>
      <c r="Q385" s="344"/>
      <c r="R385" s="343">
        <f t="shared" si="81"/>
        <v>378.00000000000045</v>
      </c>
      <c r="S385" s="343">
        <f t="shared" si="82"/>
        <v>-4.5474735088646412E-13</v>
      </c>
      <c r="T385" s="343"/>
      <c r="U385" s="343">
        <f t="shared" ca="1" si="71"/>
        <v>1.0000000000000002</v>
      </c>
      <c r="V385" s="345">
        <f t="shared" si="72"/>
        <v>22.392857142857142</v>
      </c>
    </row>
    <row r="386" spans="2:22" x14ac:dyDescent="0.3">
      <c r="B386" s="246">
        <v>379</v>
      </c>
      <c r="C386" s="437">
        <f>B386*MechanicalData!$B$22/360</f>
        <v>57.902777777777779</v>
      </c>
      <c r="D386" s="437">
        <f>MechanicalData!$B$22</f>
        <v>55</v>
      </c>
      <c r="E386" s="248">
        <v>379</v>
      </c>
      <c r="F386" s="453">
        <v>71.688000000000002</v>
      </c>
      <c r="G386" s="437">
        <v>69.998000000000005</v>
      </c>
      <c r="H386" s="339">
        <f t="shared" si="73"/>
        <v>379</v>
      </c>
      <c r="I386" s="451">
        <f t="shared" si="74"/>
        <v>55</v>
      </c>
      <c r="J386" s="340">
        <f t="shared" si="75"/>
        <v>0.15277777777777779</v>
      </c>
      <c r="K386" s="341">
        <f t="shared" si="76"/>
        <v>57.902777777777779</v>
      </c>
      <c r="L386" s="333">
        <f t="shared" si="77"/>
        <v>8486.8928571428569</v>
      </c>
      <c r="M386" s="342">
        <f t="shared" si="78"/>
        <v>8487</v>
      </c>
      <c r="N386" s="343">
        <f t="shared" si="79"/>
        <v>57.902777777777771</v>
      </c>
      <c r="O386" s="343"/>
      <c r="P386" s="343">
        <f t="shared" si="80"/>
        <v>0</v>
      </c>
      <c r="Q386" s="344"/>
      <c r="R386" s="343">
        <f t="shared" si="81"/>
        <v>379.00000000000045</v>
      </c>
      <c r="S386" s="343">
        <f t="shared" si="82"/>
        <v>-4.5474735088646412E-13</v>
      </c>
      <c r="T386" s="343"/>
      <c r="U386" s="343">
        <f t="shared" ca="1" si="71"/>
        <v>1.0000000000000002</v>
      </c>
      <c r="V386" s="345">
        <f t="shared" si="72"/>
        <v>22.392857142857142</v>
      </c>
    </row>
    <row r="387" spans="2:22" x14ac:dyDescent="0.3">
      <c r="B387" s="246">
        <v>380</v>
      </c>
      <c r="C387" s="437">
        <f>B387*MechanicalData!$B$22/360</f>
        <v>58.055555555555557</v>
      </c>
      <c r="D387" s="437">
        <f>MechanicalData!$B$22</f>
        <v>55</v>
      </c>
      <c r="E387" s="248">
        <v>380</v>
      </c>
      <c r="F387" s="453">
        <v>71.882000000000005</v>
      </c>
      <c r="G387" s="437">
        <v>69.998000000000005</v>
      </c>
      <c r="H387" s="339">
        <f t="shared" si="73"/>
        <v>380</v>
      </c>
      <c r="I387" s="451">
        <f t="shared" si="74"/>
        <v>55</v>
      </c>
      <c r="J387" s="340">
        <f t="shared" si="75"/>
        <v>0.15277777777777779</v>
      </c>
      <c r="K387" s="341">
        <f t="shared" si="76"/>
        <v>58.055555555555557</v>
      </c>
      <c r="L387" s="333">
        <f t="shared" si="77"/>
        <v>8509.2857142857138</v>
      </c>
      <c r="M387" s="342">
        <f t="shared" si="78"/>
        <v>8509</v>
      </c>
      <c r="N387" s="343">
        <f t="shared" si="79"/>
        <v>58.05555555555555</v>
      </c>
      <c r="O387" s="343"/>
      <c r="P387" s="343">
        <f t="shared" si="80"/>
        <v>0</v>
      </c>
      <c r="Q387" s="344"/>
      <c r="R387" s="343">
        <f t="shared" si="81"/>
        <v>380.00000000000045</v>
      </c>
      <c r="S387" s="343">
        <f t="shared" si="82"/>
        <v>-4.5474735088646412E-13</v>
      </c>
      <c r="T387" s="343"/>
      <c r="U387" s="343">
        <f t="shared" ca="1" si="71"/>
        <v>1.0000000000000002</v>
      </c>
      <c r="V387" s="345">
        <f t="shared" si="72"/>
        <v>22.392857142857142</v>
      </c>
    </row>
    <row r="388" spans="2:22" x14ac:dyDescent="0.3">
      <c r="B388" s="246">
        <v>381</v>
      </c>
      <c r="C388" s="437">
        <f>B388*MechanicalData!$B$22/360</f>
        <v>58.208333333333336</v>
      </c>
      <c r="D388" s="437">
        <f>MechanicalData!$B$22</f>
        <v>55</v>
      </c>
      <c r="E388" s="248">
        <v>381</v>
      </c>
      <c r="F388" s="453">
        <v>72.075999999999993</v>
      </c>
      <c r="G388" s="437">
        <v>69.998000000000005</v>
      </c>
      <c r="H388" s="339">
        <f t="shared" si="73"/>
        <v>381</v>
      </c>
      <c r="I388" s="451">
        <f t="shared" si="74"/>
        <v>55</v>
      </c>
      <c r="J388" s="340">
        <f t="shared" si="75"/>
        <v>0.15277777777777779</v>
      </c>
      <c r="K388" s="341">
        <f t="shared" si="76"/>
        <v>58.208333333333336</v>
      </c>
      <c r="L388" s="333">
        <f t="shared" si="77"/>
        <v>8531.6785714285725</v>
      </c>
      <c r="M388" s="342">
        <f t="shared" si="78"/>
        <v>8532</v>
      </c>
      <c r="N388" s="343">
        <f t="shared" si="79"/>
        <v>58.208333333333343</v>
      </c>
      <c r="O388" s="343"/>
      <c r="P388" s="343">
        <f t="shared" si="80"/>
        <v>0</v>
      </c>
      <c r="Q388" s="344"/>
      <c r="R388" s="343">
        <f t="shared" si="81"/>
        <v>381.00000000000057</v>
      </c>
      <c r="S388" s="343">
        <f t="shared" si="82"/>
        <v>-5.6843418860808015E-13</v>
      </c>
      <c r="T388" s="343"/>
      <c r="U388" s="343">
        <f t="shared" ca="1" si="71"/>
        <v>1.0000000000000002</v>
      </c>
      <c r="V388" s="345">
        <f t="shared" si="72"/>
        <v>22.392857142857142</v>
      </c>
    </row>
    <row r="389" spans="2:22" x14ac:dyDescent="0.3">
      <c r="B389" s="246">
        <v>382</v>
      </c>
      <c r="C389" s="437">
        <f>B389*MechanicalData!$B$22/360</f>
        <v>58.361111111111114</v>
      </c>
      <c r="D389" s="437">
        <f>MechanicalData!$B$22</f>
        <v>55</v>
      </c>
      <c r="E389" s="248">
        <v>382</v>
      </c>
      <c r="F389" s="453">
        <v>72.271000000000001</v>
      </c>
      <c r="G389" s="437">
        <v>69.998000000000005</v>
      </c>
      <c r="H389" s="339">
        <f t="shared" si="73"/>
        <v>382</v>
      </c>
      <c r="I389" s="451">
        <f t="shared" si="74"/>
        <v>55</v>
      </c>
      <c r="J389" s="340">
        <f t="shared" si="75"/>
        <v>0.15277777777777779</v>
      </c>
      <c r="K389" s="341">
        <f t="shared" si="76"/>
        <v>58.361111111111114</v>
      </c>
      <c r="L389" s="333">
        <f t="shared" si="77"/>
        <v>8554.0714285714275</v>
      </c>
      <c r="M389" s="342">
        <f t="shared" si="78"/>
        <v>8554</v>
      </c>
      <c r="N389" s="343">
        <f t="shared" si="79"/>
        <v>58.3611111111111</v>
      </c>
      <c r="O389" s="343"/>
      <c r="P389" s="343">
        <f t="shared" si="80"/>
        <v>0</v>
      </c>
      <c r="Q389" s="344"/>
      <c r="R389" s="343">
        <f t="shared" si="81"/>
        <v>382.0000000000004</v>
      </c>
      <c r="S389" s="343">
        <f t="shared" si="82"/>
        <v>0</v>
      </c>
      <c r="T389" s="343"/>
      <c r="U389" s="343">
        <f t="shared" ca="1" si="71"/>
        <v>1.0000000000000002</v>
      </c>
      <c r="V389" s="345">
        <f t="shared" si="72"/>
        <v>22.392857142857142</v>
      </c>
    </row>
    <row r="390" spans="2:22" x14ac:dyDescent="0.3">
      <c r="B390" s="246">
        <v>383</v>
      </c>
      <c r="C390" s="437">
        <f>B390*MechanicalData!$B$22/360</f>
        <v>58.513888888888886</v>
      </c>
      <c r="D390" s="437">
        <f>MechanicalData!$B$22</f>
        <v>55</v>
      </c>
      <c r="E390" s="248">
        <v>383</v>
      </c>
      <c r="F390" s="453">
        <v>72.465000000000003</v>
      </c>
      <c r="G390" s="437">
        <v>69.998000000000005</v>
      </c>
      <c r="H390" s="339">
        <f t="shared" si="73"/>
        <v>383</v>
      </c>
      <c r="I390" s="451">
        <f t="shared" si="74"/>
        <v>55</v>
      </c>
      <c r="J390" s="340">
        <f t="shared" si="75"/>
        <v>0.15277777777777779</v>
      </c>
      <c r="K390" s="341">
        <f t="shared" si="76"/>
        <v>58.513888888888886</v>
      </c>
      <c r="L390" s="333">
        <f t="shared" si="77"/>
        <v>8576.4642857142862</v>
      </c>
      <c r="M390" s="342">
        <f t="shared" si="78"/>
        <v>8576</v>
      </c>
      <c r="N390" s="343">
        <f t="shared" si="79"/>
        <v>58.513888888888886</v>
      </c>
      <c r="O390" s="343"/>
      <c r="P390" s="343">
        <f t="shared" si="80"/>
        <v>0</v>
      </c>
      <c r="Q390" s="344"/>
      <c r="R390" s="343">
        <f t="shared" si="81"/>
        <v>383.00000000000051</v>
      </c>
      <c r="S390" s="343">
        <f t="shared" si="82"/>
        <v>-5.1159076974727213E-13</v>
      </c>
      <c r="T390" s="343"/>
      <c r="U390" s="343">
        <f t="shared" ca="1" si="71"/>
        <v>1.0000000000000002</v>
      </c>
      <c r="V390" s="345">
        <f t="shared" si="72"/>
        <v>22.392857142857142</v>
      </c>
    </row>
    <row r="391" spans="2:22" x14ac:dyDescent="0.3">
      <c r="B391" s="246">
        <v>384</v>
      </c>
      <c r="C391" s="437">
        <f>B391*MechanicalData!$B$22/360</f>
        <v>58.666666666666664</v>
      </c>
      <c r="D391" s="437">
        <f>MechanicalData!$B$22</f>
        <v>55</v>
      </c>
      <c r="E391" s="248">
        <v>384</v>
      </c>
      <c r="F391" s="453">
        <v>72.66</v>
      </c>
      <c r="G391" s="437">
        <v>69.998000000000005</v>
      </c>
      <c r="H391" s="339">
        <f t="shared" si="73"/>
        <v>384</v>
      </c>
      <c r="I391" s="451">
        <f t="shared" si="74"/>
        <v>55</v>
      </c>
      <c r="J391" s="340">
        <f t="shared" si="75"/>
        <v>0.15277777777777779</v>
      </c>
      <c r="K391" s="341">
        <f t="shared" si="76"/>
        <v>58.666666666666664</v>
      </c>
      <c r="L391" s="333">
        <f t="shared" si="77"/>
        <v>8598.8571428571413</v>
      </c>
      <c r="M391" s="342">
        <f t="shared" si="78"/>
        <v>8599</v>
      </c>
      <c r="N391" s="343">
        <f t="shared" si="79"/>
        <v>58.66666666666665</v>
      </c>
      <c r="O391" s="343"/>
      <c r="P391" s="343">
        <f t="shared" si="80"/>
        <v>0</v>
      </c>
      <c r="Q391" s="344"/>
      <c r="R391" s="343">
        <f t="shared" si="81"/>
        <v>384.00000000000045</v>
      </c>
      <c r="S391" s="343">
        <f t="shared" si="82"/>
        <v>-4.5474735088646412E-13</v>
      </c>
      <c r="T391" s="343"/>
      <c r="U391" s="343">
        <f t="shared" ca="1" si="71"/>
        <v>1.0000000000000002</v>
      </c>
      <c r="V391" s="345">
        <f t="shared" si="72"/>
        <v>22.392857142857142</v>
      </c>
    </row>
    <row r="392" spans="2:22" x14ac:dyDescent="0.3">
      <c r="B392" s="246">
        <v>385</v>
      </c>
      <c r="C392" s="437">
        <f>B392*MechanicalData!$B$22/360</f>
        <v>58.819444444444443</v>
      </c>
      <c r="D392" s="437">
        <f>MechanicalData!$B$22</f>
        <v>55</v>
      </c>
      <c r="E392" s="248">
        <v>385</v>
      </c>
      <c r="F392" s="453">
        <v>72.853999999999999</v>
      </c>
      <c r="G392" s="437">
        <v>69.998000000000005</v>
      </c>
      <c r="H392" s="339">
        <f t="shared" si="73"/>
        <v>385</v>
      </c>
      <c r="I392" s="451">
        <f t="shared" si="74"/>
        <v>55</v>
      </c>
      <c r="J392" s="340">
        <f t="shared" si="75"/>
        <v>0.15277777777777779</v>
      </c>
      <c r="K392" s="341">
        <f t="shared" si="76"/>
        <v>58.819444444444443</v>
      </c>
      <c r="L392" s="333">
        <f t="shared" si="77"/>
        <v>8621.25</v>
      </c>
      <c r="M392" s="342">
        <f t="shared" si="78"/>
        <v>8621</v>
      </c>
      <c r="N392" s="343">
        <f t="shared" si="79"/>
        <v>58.819444444444436</v>
      </c>
      <c r="O392" s="343"/>
      <c r="P392" s="343">
        <f t="shared" si="80"/>
        <v>0</v>
      </c>
      <c r="Q392" s="344"/>
      <c r="R392" s="343">
        <f t="shared" si="81"/>
        <v>385.00000000000045</v>
      </c>
      <c r="S392" s="343">
        <f t="shared" si="82"/>
        <v>-4.5474735088646412E-13</v>
      </c>
      <c r="T392" s="343"/>
      <c r="U392" s="343">
        <f t="shared" ref="U392:U455" ca="1" si="83">$V392/$Z$9</f>
        <v>1.0000000000000002</v>
      </c>
      <c r="V392" s="345">
        <f t="shared" si="72"/>
        <v>22.392857142857142</v>
      </c>
    </row>
    <row r="393" spans="2:22" x14ac:dyDescent="0.3">
      <c r="B393" s="246">
        <v>386</v>
      </c>
      <c r="C393" s="437">
        <f>B393*MechanicalData!$B$22/360</f>
        <v>58.972222222222221</v>
      </c>
      <c r="D393" s="437">
        <f>MechanicalData!$B$22</f>
        <v>55</v>
      </c>
      <c r="E393" s="248">
        <v>386</v>
      </c>
      <c r="F393" s="453">
        <v>73.049000000000007</v>
      </c>
      <c r="G393" s="437">
        <v>69.998000000000005</v>
      </c>
      <c r="H393" s="339">
        <f t="shared" si="73"/>
        <v>386</v>
      </c>
      <c r="I393" s="451">
        <f t="shared" si="74"/>
        <v>55</v>
      </c>
      <c r="J393" s="340">
        <f t="shared" si="75"/>
        <v>0.15277777777777779</v>
      </c>
      <c r="K393" s="341">
        <f t="shared" si="76"/>
        <v>58.972222222222221</v>
      </c>
      <c r="L393" s="333">
        <f t="shared" si="77"/>
        <v>8643.6428571428569</v>
      </c>
      <c r="M393" s="342">
        <f t="shared" si="78"/>
        <v>8644</v>
      </c>
      <c r="N393" s="343">
        <f t="shared" si="79"/>
        <v>58.972222222222214</v>
      </c>
      <c r="O393" s="343"/>
      <c r="P393" s="343">
        <f t="shared" si="80"/>
        <v>0</v>
      </c>
      <c r="Q393" s="344"/>
      <c r="R393" s="343">
        <f t="shared" si="81"/>
        <v>386.00000000000045</v>
      </c>
      <c r="S393" s="343">
        <f t="shared" si="82"/>
        <v>-4.5474735088646412E-13</v>
      </c>
      <c r="T393" s="343"/>
      <c r="U393" s="343">
        <f t="shared" ca="1" si="83"/>
        <v>1.0000000000000002</v>
      </c>
      <c r="V393" s="345">
        <f t="shared" ref="V393:V456" si="84">$I393/$Z$7</f>
        <v>22.392857142857142</v>
      </c>
    </row>
    <row r="394" spans="2:22" x14ac:dyDescent="0.3">
      <c r="B394" s="246">
        <v>387</v>
      </c>
      <c r="C394" s="437">
        <f>B394*MechanicalData!$B$22/360</f>
        <v>59.125</v>
      </c>
      <c r="D394" s="437">
        <f>MechanicalData!$B$22</f>
        <v>55</v>
      </c>
      <c r="E394" s="248">
        <v>387</v>
      </c>
      <c r="F394" s="453">
        <v>73.242999999999995</v>
      </c>
      <c r="G394" s="437">
        <v>69.998000000000005</v>
      </c>
      <c r="H394" s="339">
        <f t="shared" si="73"/>
        <v>387</v>
      </c>
      <c r="I394" s="451">
        <f t="shared" si="74"/>
        <v>55</v>
      </c>
      <c r="J394" s="340">
        <f t="shared" si="75"/>
        <v>0.15277777777777779</v>
      </c>
      <c r="K394" s="341">
        <f t="shared" si="76"/>
        <v>59.125</v>
      </c>
      <c r="L394" s="333">
        <f t="shared" si="77"/>
        <v>8666.0357142857138</v>
      </c>
      <c r="M394" s="342">
        <f t="shared" si="78"/>
        <v>8666</v>
      </c>
      <c r="N394" s="343">
        <f t="shared" si="79"/>
        <v>59.124999999999993</v>
      </c>
      <c r="O394" s="343"/>
      <c r="P394" s="343">
        <f t="shared" si="80"/>
        <v>0</v>
      </c>
      <c r="Q394" s="344"/>
      <c r="R394" s="343">
        <f t="shared" si="81"/>
        <v>387.00000000000045</v>
      </c>
      <c r="S394" s="343">
        <f t="shared" si="82"/>
        <v>-4.5474735088646412E-13</v>
      </c>
      <c r="T394" s="343"/>
      <c r="U394" s="343">
        <f t="shared" ca="1" si="83"/>
        <v>1.0000000000000002</v>
      </c>
      <c r="V394" s="345">
        <f t="shared" si="84"/>
        <v>22.392857142857142</v>
      </c>
    </row>
    <row r="395" spans="2:22" x14ac:dyDescent="0.3">
      <c r="B395" s="246">
        <v>388</v>
      </c>
      <c r="C395" s="437">
        <f>B395*MechanicalData!$B$22/360</f>
        <v>59.277777777777779</v>
      </c>
      <c r="D395" s="437">
        <f>MechanicalData!$B$22</f>
        <v>55</v>
      </c>
      <c r="E395" s="248">
        <v>388</v>
      </c>
      <c r="F395" s="453">
        <v>73.438000000000002</v>
      </c>
      <c r="G395" s="437">
        <v>69.998000000000005</v>
      </c>
      <c r="H395" s="339">
        <f t="shared" si="73"/>
        <v>388</v>
      </c>
      <c r="I395" s="451">
        <f t="shared" si="74"/>
        <v>55</v>
      </c>
      <c r="J395" s="340">
        <f t="shared" si="75"/>
        <v>0.15277777777777779</v>
      </c>
      <c r="K395" s="341">
        <f t="shared" si="76"/>
        <v>59.277777777777779</v>
      </c>
      <c r="L395" s="333">
        <f t="shared" si="77"/>
        <v>8688.4285714285706</v>
      </c>
      <c r="M395" s="342">
        <f t="shared" si="78"/>
        <v>8688</v>
      </c>
      <c r="N395" s="343">
        <f t="shared" si="79"/>
        <v>59.277777777777764</v>
      </c>
      <c r="O395" s="343"/>
      <c r="P395" s="343">
        <f t="shared" si="80"/>
        <v>0</v>
      </c>
      <c r="Q395" s="344"/>
      <c r="R395" s="343">
        <f t="shared" si="81"/>
        <v>388.0000000000004</v>
      </c>
      <c r="S395" s="343">
        <f t="shared" si="82"/>
        <v>0</v>
      </c>
      <c r="T395" s="343"/>
      <c r="U395" s="343">
        <f t="shared" ca="1" si="83"/>
        <v>1.0000000000000002</v>
      </c>
      <c r="V395" s="345">
        <f t="shared" si="84"/>
        <v>22.392857142857142</v>
      </c>
    </row>
    <row r="396" spans="2:22" x14ac:dyDescent="0.3">
      <c r="B396" s="246">
        <v>389</v>
      </c>
      <c r="C396" s="437">
        <f>B396*MechanicalData!$B$22/360</f>
        <v>59.430555555555557</v>
      </c>
      <c r="D396" s="437">
        <f>MechanicalData!$B$22</f>
        <v>55</v>
      </c>
      <c r="E396" s="248">
        <v>389</v>
      </c>
      <c r="F396" s="453">
        <v>73.632000000000005</v>
      </c>
      <c r="G396" s="437">
        <v>69.998000000000005</v>
      </c>
      <c r="H396" s="339">
        <f t="shared" si="73"/>
        <v>389</v>
      </c>
      <c r="I396" s="451">
        <f t="shared" si="74"/>
        <v>55</v>
      </c>
      <c r="J396" s="340">
        <f t="shared" si="75"/>
        <v>0.15277777777777779</v>
      </c>
      <c r="K396" s="341">
        <f t="shared" si="76"/>
        <v>59.430555555555557</v>
      </c>
      <c r="L396" s="333">
        <f t="shared" si="77"/>
        <v>8710.8214285714294</v>
      </c>
      <c r="M396" s="342">
        <f t="shared" si="78"/>
        <v>8711</v>
      </c>
      <c r="N396" s="343">
        <f t="shared" si="79"/>
        <v>59.430555555555564</v>
      </c>
      <c r="O396" s="343"/>
      <c r="P396" s="343">
        <f t="shared" si="80"/>
        <v>0</v>
      </c>
      <c r="Q396" s="344"/>
      <c r="R396" s="343">
        <f t="shared" si="81"/>
        <v>389.00000000000057</v>
      </c>
      <c r="S396" s="343">
        <f t="shared" si="82"/>
        <v>-5.6843418860808015E-13</v>
      </c>
      <c r="T396" s="343"/>
      <c r="U396" s="343">
        <f t="shared" ca="1" si="83"/>
        <v>1.0000000000000002</v>
      </c>
      <c r="V396" s="345">
        <f t="shared" si="84"/>
        <v>22.392857142857142</v>
      </c>
    </row>
    <row r="397" spans="2:22" x14ac:dyDescent="0.3">
      <c r="B397" s="246">
        <v>390</v>
      </c>
      <c r="C397" s="437">
        <f>B397*MechanicalData!$B$22/360</f>
        <v>59.583333333333336</v>
      </c>
      <c r="D397" s="437">
        <f>MechanicalData!$B$22</f>
        <v>55</v>
      </c>
      <c r="E397" s="248">
        <v>390</v>
      </c>
      <c r="F397" s="453">
        <v>73.825999999999993</v>
      </c>
      <c r="G397" s="437">
        <v>69.998000000000005</v>
      </c>
      <c r="H397" s="339">
        <f t="shared" si="73"/>
        <v>390</v>
      </c>
      <c r="I397" s="451">
        <f t="shared" si="74"/>
        <v>55</v>
      </c>
      <c r="J397" s="340">
        <f t="shared" si="75"/>
        <v>0.15277777777777779</v>
      </c>
      <c r="K397" s="341">
        <f t="shared" si="76"/>
        <v>59.583333333333336</v>
      </c>
      <c r="L397" s="333">
        <f t="shared" si="77"/>
        <v>8733.2142857142862</v>
      </c>
      <c r="M397" s="342">
        <f t="shared" si="78"/>
        <v>8733</v>
      </c>
      <c r="N397" s="343">
        <f t="shared" si="79"/>
        <v>59.583333333333329</v>
      </c>
      <c r="O397" s="343"/>
      <c r="P397" s="343">
        <f t="shared" si="80"/>
        <v>0</v>
      </c>
      <c r="Q397" s="344"/>
      <c r="R397" s="343">
        <f t="shared" si="81"/>
        <v>390.00000000000051</v>
      </c>
      <c r="S397" s="343">
        <f t="shared" si="82"/>
        <v>-5.1159076974727213E-13</v>
      </c>
      <c r="T397" s="343"/>
      <c r="U397" s="343">
        <f t="shared" ca="1" si="83"/>
        <v>1.0000000000000002</v>
      </c>
      <c r="V397" s="345">
        <f t="shared" si="84"/>
        <v>22.392857142857142</v>
      </c>
    </row>
    <row r="398" spans="2:22" x14ac:dyDescent="0.3">
      <c r="B398" s="246">
        <v>391</v>
      </c>
      <c r="C398" s="437">
        <f>B398*MechanicalData!$B$22/360</f>
        <v>59.736111111111114</v>
      </c>
      <c r="D398" s="437">
        <f>MechanicalData!$B$22</f>
        <v>55</v>
      </c>
      <c r="E398" s="248">
        <v>391</v>
      </c>
      <c r="F398" s="453">
        <v>74.021000000000001</v>
      </c>
      <c r="G398" s="437">
        <v>69.998000000000005</v>
      </c>
      <c r="H398" s="339">
        <f t="shared" si="73"/>
        <v>391</v>
      </c>
      <c r="I398" s="451">
        <f t="shared" si="74"/>
        <v>55</v>
      </c>
      <c r="J398" s="340">
        <f t="shared" si="75"/>
        <v>0.15277777777777779</v>
      </c>
      <c r="K398" s="341">
        <f t="shared" si="76"/>
        <v>59.736111111111114</v>
      </c>
      <c r="L398" s="333">
        <f t="shared" si="77"/>
        <v>8755.6071428571431</v>
      </c>
      <c r="M398" s="342">
        <f t="shared" si="78"/>
        <v>8756</v>
      </c>
      <c r="N398" s="343">
        <f t="shared" si="79"/>
        <v>59.736111111111107</v>
      </c>
      <c r="O398" s="343"/>
      <c r="P398" s="343">
        <f t="shared" si="80"/>
        <v>0</v>
      </c>
      <c r="Q398" s="344"/>
      <c r="R398" s="343">
        <f t="shared" si="81"/>
        <v>391.00000000000051</v>
      </c>
      <c r="S398" s="343">
        <f t="shared" si="82"/>
        <v>-5.1159076974727213E-13</v>
      </c>
      <c r="T398" s="343"/>
      <c r="U398" s="343">
        <f t="shared" ca="1" si="83"/>
        <v>1.0000000000000002</v>
      </c>
      <c r="V398" s="345">
        <f t="shared" si="84"/>
        <v>22.392857142857142</v>
      </c>
    </row>
    <row r="399" spans="2:22" x14ac:dyDescent="0.3">
      <c r="B399" s="246">
        <v>392</v>
      </c>
      <c r="C399" s="437">
        <f>B399*MechanicalData!$B$22/360</f>
        <v>59.888888888888886</v>
      </c>
      <c r="D399" s="437">
        <f>MechanicalData!$B$22</f>
        <v>55</v>
      </c>
      <c r="E399" s="248">
        <v>392</v>
      </c>
      <c r="F399" s="453">
        <v>74.215000000000003</v>
      </c>
      <c r="G399" s="437">
        <v>69.998000000000005</v>
      </c>
      <c r="H399" s="339">
        <f t="shared" si="73"/>
        <v>392</v>
      </c>
      <c r="I399" s="451">
        <f t="shared" si="74"/>
        <v>55</v>
      </c>
      <c r="J399" s="340">
        <f t="shared" si="75"/>
        <v>0.15277777777777779</v>
      </c>
      <c r="K399" s="341">
        <f t="shared" si="76"/>
        <v>59.888888888888886</v>
      </c>
      <c r="L399" s="333">
        <f t="shared" si="77"/>
        <v>8778</v>
      </c>
      <c r="M399" s="342">
        <f t="shared" si="78"/>
        <v>8778</v>
      </c>
      <c r="N399" s="343">
        <f t="shared" si="79"/>
        <v>59.888888888888886</v>
      </c>
      <c r="O399" s="343"/>
      <c r="P399" s="343">
        <f t="shared" si="80"/>
        <v>0</v>
      </c>
      <c r="Q399" s="344"/>
      <c r="R399" s="343">
        <f t="shared" si="81"/>
        <v>392.00000000000051</v>
      </c>
      <c r="S399" s="343">
        <f t="shared" si="82"/>
        <v>-5.1159076974727213E-13</v>
      </c>
      <c r="T399" s="343"/>
      <c r="U399" s="343">
        <f t="shared" ca="1" si="83"/>
        <v>1.0000000000000002</v>
      </c>
      <c r="V399" s="345">
        <f t="shared" si="84"/>
        <v>22.392857142857142</v>
      </c>
    </row>
    <row r="400" spans="2:22" x14ac:dyDescent="0.3">
      <c r="B400" s="246">
        <v>393</v>
      </c>
      <c r="C400" s="437">
        <f>B400*MechanicalData!$B$22/360</f>
        <v>60.041666666666664</v>
      </c>
      <c r="D400" s="437">
        <f>MechanicalData!$B$22</f>
        <v>55</v>
      </c>
      <c r="E400" s="248">
        <v>393</v>
      </c>
      <c r="F400" s="453">
        <v>74.41</v>
      </c>
      <c r="G400" s="437">
        <v>69.998000000000005</v>
      </c>
      <c r="H400" s="339">
        <f t="shared" si="73"/>
        <v>393</v>
      </c>
      <c r="I400" s="451">
        <f t="shared" si="74"/>
        <v>55</v>
      </c>
      <c r="J400" s="340">
        <f t="shared" si="75"/>
        <v>0.15277777777777779</v>
      </c>
      <c r="K400" s="341">
        <f t="shared" si="76"/>
        <v>60.041666666666664</v>
      </c>
      <c r="L400" s="333">
        <f t="shared" si="77"/>
        <v>8800.3928571428551</v>
      </c>
      <c r="M400" s="342">
        <f t="shared" si="78"/>
        <v>8800</v>
      </c>
      <c r="N400" s="343">
        <f t="shared" si="79"/>
        <v>60.04166666666665</v>
      </c>
      <c r="O400" s="343"/>
      <c r="P400" s="343">
        <f t="shared" si="80"/>
        <v>0</v>
      </c>
      <c r="Q400" s="344"/>
      <c r="R400" s="343">
        <f t="shared" si="81"/>
        <v>393.0000000000004</v>
      </c>
      <c r="S400" s="343">
        <f t="shared" si="82"/>
        <v>0</v>
      </c>
      <c r="T400" s="343"/>
      <c r="U400" s="343">
        <f t="shared" ca="1" si="83"/>
        <v>1.0000000000000002</v>
      </c>
      <c r="V400" s="345">
        <f t="shared" si="84"/>
        <v>22.392857142857142</v>
      </c>
    </row>
    <row r="401" spans="2:22" x14ac:dyDescent="0.3">
      <c r="B401" s="246">
        <v>394</v>
      </c>
      <c r="C401" s="437">
        <f>B401*MechanicalData!$B$22/360</f>
        <v>60.194444444444443</v>
      </c>
      <c r="D401" s="437">
        <f>MechanicalData!$B$22</f>
        <v>55</v>
      </c>
      <c r="E401" s="248">
        <v>394</v>
      </c>
      <c r="F401" s="453">
        <v>74.603999999999999</v>
      </c>
      <c r="G401" s="437">
        <v>69.998000000000005</v>
      </c>
      <c r="H401" s="339">
        <f t="shared" si="73"/>
        <v>394</v>
      </c>
      <c r="I401" s="451">
        <f t="shared" si="74"/>
        <v>55</v>
      </c>
      <c r="J401" s="340">
        <f t="shared" si="75"/>
        <v>0.15277777777777779</v>
      </c>
      <c r="K401" s="341">
        <f t="shared" si="76"/>
        <v>60.194444444444443</v>
      </c>
      <c r="L401" s="333">
        <f t="shared" si="77"/>
        <v>8822.7857142857138</v>
      </c>
      <c r="M401" s="342">
        <f t="shared" si="78"/>
        <v>8823</v>
      </c>
      <c r="N401" s="343">
        <f t="shared" si="79"/>
        <v>60.194444444444436</v>
      </c>
      <c r="O401" s="343"/>
      <c r="P401" s="343">
        <f t="shared" si="80"/>
        <v>0</v>
      </c>
      <c r="Q401" s="344"/>
      <c r="R401" s="343">
        <f t="shared" si="81"/>
        <v>394.00000000000045</v>
      </c>
      <c r="S401" s="343">
        <f t="shared" si="82"/>
        <v>-4.5474735088646412E-13</v>
      </c>
      <c r="T401" s="343"/>
      <c r="U401" s="343">
        <f t="shared" ca="1" si="83"/>
        <v>1.0000000000000002</v>
      </c>
      <c r="V401" s="345">
        <f t="shared" si="84"/>
        <v>22.392857142857142</v>
      </c>
    </row>
    <row r="402" spans="2:22" x14ac:dyDescent="0.3">
      <c r="B402" s="246">
        <v>395</v>
      </c>
      <c r="C402" s="437">
        <f>B402*MechanicalData!$B$22/360</f>
        <v>60.347222222222221</v>
      </c>
      <c r="D402" s="437">
        <f>MechanicalData!$B$22</f>
        <v>55</v>
      </c>
      <c r="E402" s="248">
        <v>395</v>
      </c>
      <c r="F402" s="453">
        <v>74.799000000000007</v>
      </c>
      <c r="G402" s="437">
        <v>69.998000000000005</v>
      </c>
      <c r="H402" s="339">
        <f t="shared" si="73"/>
        <v>395</v>
      </c>
      <c r="I402" s="451">
        <f t="shared" si="74"/>
        <v>55</v>
      </c>
      <c r="J402" s="340">
        <f t="shared" si="75"/>
        <v>0.15277777777777779</v>
      </c>
      <c r="K402" s="341">
        <f t="shared" si="76"/>
        <v>60.347222222222221</v>
      </c>
      <c r="L402" s="333">
        <f t="shared" si="77"/>
        <v>8845.1785714285706</v>
      </c>
      <c r="M402" s="342">
        <f t="shared" si="78"/>
        <v>8845</v>
      </c>
      <c r="N402" s="343">
        <f t="shared" si="79"/>
        <v>60.347222222222214</v>
      </c>
      <c r="O402" s="343"/>
      <c r="P402" s="343">
        <f t="shared" si="80"/>
        <v>0</v>
      </c>
      <c r="Q402" s="344"/>
      <c r="R402" s="343">
        <f t="shared" si="81"/>
        <v>395.00000000000045</v>
      </c>
      <c r="S402" s="343">
        <f t="shared" si="82"/>
        <v>-4.5474735088646412E-13</v>
      </c>
      <c r="T402" s="343"/>
      <c r="U402" s="343">
        <f t="shared" ca="1" si="83"/>
        <v>1.0000000000000002</v>
      </c>
      <c r="V402" s="345">
        <f t="shared" si="84"/>
        <v>22.392857142857142</v>
      </c>
    </row>
    <row r="403" spans="2:22" x14ac:dyDescent="0.3">
      <c r="B403" s="246">
        <v>396</v>
      </c>
      <c r="C403" s="437">
        <f>B403*MechanicalData!$B$22/360</f>
        <v>60.5</v>
      </c>
      <c r="D403" s="437">
        <f>MechanicalData!$B$22</f>
        <v>55</v>
      </c>
      <c r="E403" s="248">
        <v>396</v>
      </c>
      <c r="F403" s="453">
        <v>74.992999999999995</v>
      </c>
      <c r="G403" s="437">
        <v>69.998000000000005</v>
      </c>
      <c r="H403" s="339">
        <f t="shared" si="73"/>
        <v>396</v>
      </c>
      <c r="I403" s="451">
        <f t="shared" si="74"/>
        <v>55</v>
      </c>
      <c r="J403" s="340">
        <f t="shared" si="75"/>
        <v>0.15277777777777779</v>
      </c>
      <c r="K403" s="341">
        <f t="shared" si="76"/>
        <v>60.5</v>
      </c>
      <c r="L403" s="333">
        <f t="shared" si="77"/>
        <v>8867.5714285714275</v>
      </c>
      <c r="M403" s="342">
        <f t="shared" si="78"/>
        <v>8868</v>
      </c>
      <c r="N403" s="343">
        <f t="shared" si="79"/>
        <v>60.499999999999986</v>
      </c>
      <c r="O403" s="343"/>
      <c r="P403" s="343">
        <f t="shared" si="80"/>
        <v>0</v>
      </c>
      <c r="Q403" s="344"/>
      <c r="R403" s="343">
        <f t="shared" si="81"/>
        <v>396.0000000000004</v>
      </c>
      <c r="S403" s="343">
        <f t="shared" si="82"/>
        <v>0</v>
      </c>
      <c r="T403" s="343"/>
      <c r="U403" s="343">
        <f t="shared" ca="1" si="83"/>
        <v>1.0000000000000002</v>
      </c>
      <c r="V403" s="345">
        <f t="shared" si="84"/>
        <v>22.392857142857142</v>
      </c>
    </row>
    <row r="404" spans="2:22" x14ac:dyDescent="0.3">
      <c r="B404" s="246">
        <v>397</v>
      </c>
      <c r="C404" s="437">
        <f>B404*MechanicalData!$B$22/360</f>
        <v>60.652777777777779</v>
      </c>
      <c r="D404" s="437">
        <f>MechanicalData!$B$22</f>
        <v>55</v>
      </c>
      <c r="E404" s="248">
        <v>397</v>
      </c>
      <c r="F404" s="453">
        <v>75.186999999999998</v>
      </c>
      <c r="G404" s="437">
        <v>69.998000000000005</v>
      </c>
      <c r="H404" s="339">
        <f t="shared" si="73"/>
        <v>397</v>
      </c>
      <c r="I404" s="451">
        <f t="shared" si="74"/>
        <v>55</v>
      </c>
      <c r="J404" s="340">
        <f t="shared" si="75"/>
        <v>0.15277777777777779</v>
      </c>
      <c r="K404" s="341">
        <f t="shared" si="76"/>
        <v>60.652777777777779</v>
      </c>
      <c r="L404" s="333">
        <f t="shared" si="77"/>
        <v>8889.9642857142862</v>
      </c>
      <c r="M404" s="342">
        <f t="shared" si="78"/>
        <v>8890</v>
      </c>
      <c r="N404" s="343">
        <f t="shared" si="79"/>
        <v>60.652777777777771</v>
      </c>
      <c r="O404" s="343"/>
      <c r="P404" s="343">
        <f t="shared" si="80"/>
        <v>0</v>
      </c>
      <c r="Q404" s="344"/>
      <c r="R404" s="343">
        <f t="shared" si="81"/>
        <v>397.00000000000051</v>
      </c>
      <c r="S404" s="343">
        <f t="shared" si="82"/>
        <v>-5.1159076974727213E-13</v>
      </c>
      <c r="T404" s="343"/>
      <c r="U404" s="343">
        <f t="shared" ca="1" si="83"/>
        <v>1.0000000000000002</v>
      </c>
      <c r="V404" s="345">
        <f t="shared" si="84"/>
        <v>22.392857142857142</v>
      </c>
    </row>
    <row r="405" spans="2:22" x14ac:dyDescent="0.3">
      <c r="B405" s="246">
        <v>398</v>
      </c>
      <c r="C405" s="437">
        <f>B405*MechanicalData!$B$22/360</f>
        <v>60.805555555555557</v>
      </c>
      <c r="D405" s="437">
        <f>MechanicalData!$B$22</f>
        <v>55</v>
      </c>
      <c r="E405" s="248">
        <v>398</v>
      </c>
      <c r="F405" s="453">
        <v>75.382000000000005</v>
      </c>
      <c r="G405" s="437">
        <v>69.998000000000005</v>
      </c>
      <c r="H405" s="339">
        <f t="shared" si="73"/>
        <v>398</v>
      </c>
      <c r="I405" s="451">
        <f t="shared" si="74"/>
        <v>55</v>
      </c>
      <c r="J405" s="340">
        <f t="shared" si="75"/>
        <v>0.15277777777777779</v>
      </c>
      <c r="K405" s="341">
        <f t="shared" si="76"/>
        <v>60.805555555555557</v>
      </c>
      <c r="L405" s="333">
        <f t="shared" si="77"/>
        <v>8912.3571428571431</v>
      </c>
      <c r="M405" s="342">
        <f t="shared" si="78"/>
        <v>8912</v>
      </c>
      <c r="N405" s="343">
        <f t="shared" si="79"/>
        <v>60.80555555555555</v>
      </c>
      <c r="O405" s="343"/>
      <c r="P405" s="343">
        <f t="shared" si="80"/>
        <v>0</v>
      </c>
      <c r="Q405" s="344"/>
      <c r="R405" s="343">
        <f t="shared" si="81"/>
        <v>398.00000000000051</v>
      </c>
      <c r="S405" s="343">
        <f t="shared" si="82"/>
        <v>-5.1159076974727213E-13</v>
      </c>
      <c r="T405" s="343"/>
      <c r="U405" s="343">
        <f t="shared" ca="1" si="83"/>
        <v>1.0000000000000002</v>
      </c>
      <c r="V405" s="345">
        <f t="shared" si="84"/>
        <v>22.392857142857142</v>
      </c>
    </row>
    <row r="406" spans="2:22" x14ac:dyDescent="0.3">
      <c r="B406" s="246">
        <v>399</v>
      </c>
      <c r="C406" s="437">
        <f>B406*MechanicalData!$B$22/360</f>
        <v>60.958333333333336</v>
      </c>
      <c r="D406" s="437">
        <f>MechanicalData!$B$22</f>
        <v>55</v>
      </c>
      <c r="E406" s="248">
        <v>399</v>
      </c>
      <c r="F406" s="453">
        <v>75.575999999999993</v>
      </c>
      <c r="G406" s="437">
        <v>69.998000000000005</v>
      </c>
      <c r="H406" s="339">
        <f t="shared" si="73"/>
        <v>399</v>
      </c>
      <c r="I406" s="451">
        <f t="shared" si="74"/>
        <v>55</v>
      </c>
      <c r="J406" s="340">
        <f t="shared" si="75"/>
        <v>0.15277777777777779</v>
      </c>
      <c r="K406" s="341">
        <f t="shared" si="76"/>
        <v>60.958333333333336</v>
      </c>
      <c r="L406" s="333">
        <f t="shared" si="77"/>
        <v>8934.75</v>
      </c>
      <c r="M406" s="342">
        <f t="shared" si="78"/>
        <v>8935</v>
      </c>
      <c r="N406" s="343">
        <f t="shared" si="79"/>
        <v>60.958333333333329</v>
      </c>
      <c r="O406" s="343"/>
      <c r="P406" s="343">
        <f t="shared" si="80"/>
        <v>0</v>
      </c>
      <c r="Q406" s="344"/>
      <c r="R406" s="343">
        <f t="shared" si="81"/>
        <v>399.00000000000051</v>
      </c>
      <c r="S406" s="343">
        <f t="shared" si="82"/>
        <v>-5.1159076974727213E-13</v>
      </c>
      <c r="T406" s="343"/>
      <c r="U406" s="343">
        <f t="shared" ca="1" si="83"/>
        <v>1.0000000000000002</v>
      </c>
      <c r="V406" s="345">
        <f t="shared" si="84"/>
        <v>22.392857142857142</v>
      </c>
    </row>
    <row r="407" spans="2:22" x14ac:dyDescent="0.3">
      <c r="B407" s="246">
        <v>400</v>
      </c>
      <c r="C407" s="437">
        <f>B407*MechanicalData!$B$22/360</f>
        <v>61.111111111111114</v>
      </c>
      <c r="D407" s="437">
        <f>MechanicalData!$B$22</f>
        <v>55</v>
      </c>
      <c r="E407" s="248">
        <v>400</v>
      </c>
      <c r="F407" s="453">
        <v>75.771000000000001</v>
      </c>
      <c r="G407" s="437">
        <v>69.998000000000005</v>
      </c>
      <c r="H407" s="339">
        <f t="shared" si="73"/>
        <v>400</v>
      </c>
      <c r="I407" s="451">
        <f t="shared" si="74"/>
        <v>55</v>
      </c>
      <c r="J407" s="340">
        <f t="shared" si="75"/>
        <v>0.15277777777777779</v>
      </c>
      <c r="K407" s="341">
        <f t="shared" si="76"/>
        <v>61.111111111111114</v>
      </c>
      <c r="L407" s="333">
        <f t="shared" si="77"/>
        <v>8957.1428571428569</v>
      </c>
      <c r="M407" s="342">
        <f t="shared" si="78"/>
        <v>8957</v>
      </c>
      <c r="N407" s="343">
        <f t="shared" si="79"/>
        <v>61.1111111111111</v>
      </c>
      <c r="O407" s="343"/>
      <c r="P407" s="343">
        <f t="shared" si="80"/>
        <v>0</v>
      </c>
      <c r="Q407" s="344"/>
      <c r="R407" s="343">
        <f t="shared" si="81"/>
        <v>400.00000000000045</v>
      </c>
      <c r="S407" s="343">
        <f t="shared" si="82"/>
        <v>-4.5474735088646412E-13</v>
      </c>
      <c r="T407" s="343"/>
      <c r="U407" s="343">
        <f t="shared" ca="1" si="83"/>
        <v>1.0000000000000002</v>
      </c>
      <c r="V407" s="345">
        <f t="shared" si="84"/>
        <v>22.392857142857142</v>
      </c>
    </row>
    <row r="408" spans="2:22" x14ac:dyDescent="0.3">
      <c r="B408" s="246">
        <v>401</v>
      </c>
      <c r="C408" s="437">
        <f>B408*MechanicalData!$B$22/360</f>
        <v>61.263888888888886</v>
      </c>
      <c r="D408" s="437">
        <f>MechanicalData!$B$22</f>
        <v>55</v>
      </c>
      <c r="E408" s="248">
        <v>401</v>
      </c>
      <c r="F408" s="453">
        <v>75.965000000000003</v>
      </c>
      <c r="G408" s="437">
        <v>69.998000000000005</v>
      </c>
      <c r="H408" s="339">
        <f t="shared" si="73"/>
        <v>401</v>
      </c>
      <c r="I408" s="451">
        <f t="shared" si="74"/>
        <v>55</v>
      </c>
      <c r="J408" s="340">
        <f t="shared" si="75"/>
        <v>0.15277777777777779</v>
      </c>
      <c r="K408" s="341">
        <f t="shared" si="76"/>
        <v>61.263888888888886</v>
      </c>
      <c r="L408" s="333">
        <f t="shared" si="77"/>
        <v>8979.5357142857138</v>
      </c>
      <c r="M408" s="342">
        <f t="shared" si="78"/>
        <v>8980</v>
      </c>
      <c r="N408" s="343">
        <f t="shared" si="79"/>
        <v>61.263888888888879</v>
      </c>
      <c r="O408" s="343"/>
      <c r="P408" s="343">
        <f t="shared" si="80"/>
        <v>0</v>
      </c>
      <c r="Q408" s="344"/>
      <c r="R408" s="343">
        <f t="shared" si="81"/>
        <v>401.00000000000045</v>
      </c>
      <c r="S408" s="343">
        <f t="shared" si="82"/>
        <v>-4.5474735088646412E-13</v>
      </c>
      <c r="T408" s="343"/>
      <c r="U408" s="343">
        <f t="shared" ca="1" si="83"/>
        <v>1.0000000000000002</v>
      </c>
      <c r="V408" s="345">
        <f t="shared" si="84"/>
        <v>22.392857142857142</v>
      </c>
    </row>
    <row r="409" spans="2:22" x14ac:dyDescent="0.3">
      <c r="B409" s="246">
        <v>402</v>
      </c>
      <c r="C409" s="437">
        <f>B409*MechanicalData!$B$22/360</f>
        <v>61.416666666666664</v>
      </c>
      <c r="D409" s="437">
        <f>MechanicalData!$B$22</f>
        <v>55</v>
      </c>
      <c r="E409" s="248">
        <v>402</v>
      </c>
      <c r="F409" s="453">
        <v>76.16</v>
      </c>
      <c r="G409" s="437">
        <v>69.998000000000005</v>
      </c>
      <c r="H409" s="339">
        <f t="shared" si="73"/>
        <v>402</v>
      </c>
      <c r="I409" s="451">
        <f t="shared" si="74"/>
        <v>55</v>
      </c>
      <c r="J409" s="340">
        <f t="shared" si="75"/>
        <v>0.15277777777777779</v>
      </c>
      <c r="K409" s="341">
        <f t="shared" si="76"/>
        <v>61.416666666666664</v>
      </c>
      <c r="L409" s="333">
        <f t="shared" si="77"/>
        <v>9001.9285714285706</v>
      </c>
      <c r="M409" s="342">
        <f t="shared" si="78"/>
        <v>9002</v>
      </c>
      <c r="N409" s="343">
        <f t="shared" si="79"/>
        <v>61.416666666666657</v>
      </c>
      <c r="O409" s="343"/>
      <c r="P409" s="343">
        <f t="shared" si="80"/>
        <v>0</v>
      </c>
      <c r="Q409" s="344"/>
      <c r="R409" s="343">
        <f t="shared" si="81"/>
        <v>402.00000000000045</v>
      </c>
      <c r="S409" s="343">
        <f t="shared" si="82"/>
        <v>-4.5474735088646412E-13</v>
      </c>
      <c r="T409" s="343"/>
      <c r="U409" s="343">
        <f t="shared" ca="1" si="83"/>
        <v>1.0000000000000002</v>
      </c>
      <c r="V409" s="345">
        <f t="shared" si="84"/>
        <v>22.392857142857142</v>
      </c>
    </row>
    <row r="410" spans="2:22" x14ac:dyDescent="0.3">
      <c r="B410" s="246">
        <v>403</v>
      </c>
      <c r="C410" s="437">
        <f>B410*MechanicalData!$B$22/360</f>
        <v>61.569444444444443</v>
      </c>
      <c r="D410" s="437">
        <f>MechanicalData!$B$22</f>
        <v>55</v>
      </c>
      <c r="E410" s="248">
        <v>403</v>
      </c>
      <c r="F410" s="453">
        <v>76.353999999999999</v>
      </c>
      <c r="G410" s="437">
        <v>69.998000000000005</v>
      </c>
      <c r="H410" s="339">
        <f t="shared" si="73"/>
        <v>403</v>
      </c>
      <c r="I410" s="451">
        <f t="shared" si="74"/>
        <v>55</v>
      </c>
      <c r="J410" s="340">
        <f t="shared" si="75"/>
        <v>0.15277777777777779</v>
      </c>
      <c r="K410" s="341">
        <f t="shared" si="76"/>
        <v>61.569444444444443</v>
      </c>
      <c r="L410" s="333">
        <f t="shared" si="77"/>
        <v>9024.3214285714275</v>
      </c>
      <c r="M410" s="342">
        <f t="shared" si="78"/>
        <v>9024</v>
      </c>
      <c r="N410" s="343">
        <f t="shared" si="79"/>
        <v>61.569444444444429</v>
      </c>
      <c r="O410" s="343"/>
      <c r="P410" s="343">
        <f t="shared" si="80"/>
        <v>0</v>
      </c>
      <c r="Q410" s="344"/>
      <c r="R410" s="343">
        <f t="shared" si="81"/>
        <v>403.0000000000004</v>
      </c>
      <c r="S410" s="343">
        <f t="shared" si="82"/>
        <v>0</v>
      </c>
      <c r="T410" s="343"/>
      <c r="U410" s="343">
        <f t="shared" ca="1" si="83"/>
        <v>1.0000000000000002</v>
      </c>
      <c r="V410" s="345">
        <f t="shared" si="84"/>
        <v>22.392857142857142</v>
      </c>
    </row>
    <row r="411" spans="2:22" x14ac:dyDescent="0.3">
      <c r="B411" s="246">
        <v>404</v>
      </c>
      <c r="C411" s="437">
        <f>B411*MechanicalData!$B$22/360</f>
        <v>61.722222222222221</v>
      </c>
      <c r="D411" s="437">
        <f>MechanicalData!$B$22</f>
        <v>55</v>
      </c>
      <c r="E411" s="248">
        <v>404</v>
      </c>
      <c r="F411" s="453">
        <v>76.549000000000007</v>
      </c>
      <c r="G411" s="437">
        <v>69.998000000000005</v>
      </c>
      <c r="H411" s="339">
        <f t="shared" si="73"/>
        <v>404</v>
      </c>
      <c r="I411" s="451">
        <f t="shared" si="74"/>
        <v>55</v>
      </c>
      <c r="J411" s="340">
        <f t="shared" si="75"/>
        <v>0.15277777777777779</v>
      </c>
      <c r="K411" s="341">
        <f t="shared" si="76"/>
        <v>61.722222222222221</v>
      </c>
      <c r="L411" s="333">
        <f t="shared" si="77"/>
        <v>9046.7142857142844</v>
      </c>
      <c r="M411" s="342">
        <f t="shared" si="78"/>
        <v>9047</v>
      </c>
      <c r="N411" s="343">
        <f t="shared" si="79"/>
        <v>61.722222222222207</v>
      </c>
      <c r="O411" s="343"/>
      <c r="P411" s="343">
        <f t="shared" si="80"/>
        <v>0</v>
      </c>
      <c r="Q411" s="344"/>
      <c r="R411" s="343">
        <f t="shared" si="81"/>
        <v>404.00000000000045</v>
      </c>
      <c r="S411" s="343">
        <f t="shared" si="82"/>
        <v>-4.5474735088646412E-13</v>
      </c>
      <c r="T411" s="343"/>
      <c r="U411" s="343">
        <f t="shared" ca="1" si="83"/>
        <v>1.0000000000000002</v>
      </c>
      <c r="V411" s="345">
        <f t="shared" si="84"/>
        <v>22.392857142857142</v>
      </c>
    </row>
    <row r="412" spans="2:22" x14ac:dyDescent="0.3">
      <c r="B412" s="246">
        <v>405</v>
      </c>
      <c r="C412" s="437">
        <f>B412*MechanicalData!$B$22/360</f>
        <v>61.875</v>
      </c>
      <c r="D412" s="437">
        <f>MechanicalData!$B$22</f>
        <v>55</v>
      </c>
      <c r="E412" s="248">
        <v>405</v>
      </c>
      <c r="F412" s="453">
        <v>76.742999999999995</v>
      </c>
      <c r="G412" s="437">
        <v>69.998000000000005</v>
      </c>
      <c r="H412" s="339">
        <f t="shared" si="73"/>
        <v>405</v>
      </c>
      <c r="I412" s="451">
        <f t="shared" si="74"/>
        <v>55</v>
      </c>
      <c r="J412" s="340">
        <f t="shared" si="75"/>
        <v>0.15277777777777779</v>
      </c>
      <c r="K412" s="341">
        <f t="shared" si="76"/>
        <v>61.875</v>
      </c>
      <c r="L412" s="333">
        <f t="shared" si="77"/>
        <v>9069.1071428571431</v>
      </c>
      <c r="M412" s="342">
        <f t="shared" si="78"/>
        <v>9069</v>
      </c>
      <c r="N412" s="343">
        <f t="shared" si="79"/>
        <v>61.874999999999993</v>
      </c>
      <c r="O412" s="343"/>
      <c r="P412" s="343">
        <f t="shared" si="80"/>
        <v>0</v>
      </c>
      <c r="Q412" s="344"/>
      <c r="R412" s="343">
        <f t="shared" si="81"/>
        <v>405.00000000000051</v>
      </c>
      <c r="S412" s="343">
        <f t="shared" si="82"/>
        <v>-5.1159076974727213E-13</v>
      </c>
      <c r="T412" s="343"/>
      <c r="U412" s="343">
        <f t="shared" ca="1" si="83"/>
        <v>1.0000000000000002</v>
      </c>
      <c r="V412" s="345">
        <f t="shared" si="84"/>
        <v>22.392857142857142</v>
      </c>
    </row>
    <row r="413" spans="2:22" x14ac:dyDescent="0.3">
      <c r="B413" s="246">
        <v>406</v>
      </c>
      <c r="C413" s="437">
        <f>B413*MechanicalData!$B$22/360</f>
        <v>62.027777777777779</v>
      </c>
      <c r="D413" s="437">
        <f>MechanicalData!$B$22</f>
        <v>55</v>
      </c>
      <c r="E413" s="248">
        <v>406</v>
      </c>
      <c r="F413" s="453">
        <v>76.936999999999998</v>
      </c>
      <c r="G413" s="437">
        <v>69.998000000000005</v>
      </c>
      <c r="H413" s="339">
        <f t="shared" si="73"/>
        <v>406</v>
      </c>
      <c r="I413" s="451">
        <f t="shared" si="74"/>
        <v>55</v>
      </c>
      <c r="J413" s="340">
        <f t="shared" si="75"/>
        <v>0.15277777777777779</v>
      </c>
      <c r="K413" s="341">
        <f t="shared" si="76"/>
        <v>62.027777777777779</v>
      </c>
      <c r="L413" s="333">
        <f t="shared" si="77"/>
        <v>9091.5</v>
      </c>
      <c r="M413" s="342">
        <f t="shared" si="78"/>
        <v>9092</v>
      </c>
      <c r="N413" s="343">
        <f t="shared" si="79"/>
        <v>62.027777777777771</v>
      </c>
      <c r="O413" s="343"/>
      <c r="P413" s="343">
        <f t="shared" si="80"/>
        <v>0</v>
      </c>
      <c r="Q413" s="344"/>
      <c r="R413" s="343">
        <f t="shared" si="81"/>
        <v>406.00000000000051</v>
      </c>
      <c r="S413" s="343">
        <f t="shared" si="82"/>
        <v>-5.1159076974727213E-13</v>
      </c>
      <c r="T413" s="343"/>
      <c r="U413" s="343">
        <f t="shared" ca="1" si="83"/>
        <v>1.0000000000000002</v>
      </c>
      <c r="V413" s="345">
        <f t="shared" si="84"/>
        <v>22.392857142857142</v>
      </c>
    </row>
    <row r="414" spans="2:22" x14ac:dyDescent="0.3">
      <c r="B414" s="246">
        <v>407</v>
      </c>
      <c r="C414" s="437">
        <f>B414*MechanicalData!$B$22/360</f>
        <v>62.180555555555557</v>
      </c>
      <c r="D414" s="437">
        <f>MechanicalData!$B$22</f>
        <v>55</v>
      </c>
      <c r="E414" s="248">
        <v>407</v>
      </c>
      <c r="F414" s="453">
        <v>77.132000000000005</v>
      </c>
      <c r="G414" s="437">
        <v>69.998000000000005</v>
      </c>
      <c r="H414" s="339">
        <f t="shared" si="73"/>
        <v>407</v>
      </c>
      <c r="I414" s="451">
        <f t="shared" si="74"/>
        <v>55</v>
      </c>
      <c r="J414" s="340">
        <f t="shared" si="75"/>
        <v>0.15277777777777779</v>
      </c>
      <c r="K414" s="341">
        <f t="shared" si="76"/>
        <v>62.180555555555557</v>
      </c>
      <c r="L414" s="333">
        <f t="shared" si="77"/>
        <v>9113.8928571428569</v>
      </c>
      <c r="M414" s="342">
        <f t="shared" si="78"/>
        <v>9114</v>
      </c>
      <c r="N414" s="343">
        <f t="shared" si="79"/>
        <v>62.180555555555557</v>
      </c>
      <c r="O414" s="343"/>
      <c r="P414" s="343">
        <f t="shared" si="80"/>
        <v>0</v>
      </c>
      <c r="Q414" s="344"/>
      <c r="R414" s="343">
        <f t="shared" si="81"/>
        <v>407.00000000000051</v>
      </c>
      <c r="S414" s="343">
        <f t="shared" si="82"/>
        <v>-5.1159076974727213E-13</v>
      </c>
      <c r="T414" s="343"/>
      <c r="U414" s="343">
        <f t="shared" ca="1" si="83"/>
        <v>1.0000000000000002</v>
      </c>
      <c r="V414" s="345">
        <f t="shared" si="84"/>
        <v>22.392857142857142</v>
      </c>
    </row>
    <row r="415" spans="2:22" x14ac:dyDescent="0.3">
      <c r="B415" s="246">
        <v>408</v>
      </c>
      <c r="C415" s="437">
        <f>B415*MechanicalData!$B$22/360</f>
        <v>62.333333333333336</v>
      </c>
      <c r="D415" s="437">
        <f>MechanicalData!$B$22</f>
        <v>55</v>
      </c>
      <c r="E415" s="248">
        <v>408</v>
      </c>
      <c r="F415" s="453">
        <v>77.325999999999993</v>
      </c>
      <c r="G415" s="437">
        <v>69.998000000000005</v>
      </c>
      <c r="H415" s="339">
        <f t="shared" si="73"/>
        <v>408</v>
      </c>
      <c r="I415" s="451">
        <f t="shared" si="74"/>
        <v>55</v>
      </c>
      <c r="J415" s="340">
        <f t="shared" si="75"/>
        <v>0.15277777777777779</v>
      </c>
      <c r="K415" s="341">
        <f t="shared" si="76"/>
        <v>62.333333333333336</v>
      </c>
      <c r="L415" s="333">
        <f t="shared" si="77"/>
        <v>9136.2857142857156</v>
      </c>
      <c r="M415" s="342">
        <f t="shared" si="78"/>
        <v>9136</v>
      </c>
      <c r="N415" s="343">
        <f t="shared" si="79"/>
        <v>62.333333333333343</v>
      </c>
      <c r="O415" s="343"/>
      <c r="P415" s="343">
        <f t="shared" si="80"/>
        <v>0</v>
      </c>
      <c r="Q415" s="344"/>
      <c r="R415" s="343">
        <f t="shared" si="81"/>
        <v>408.00000000000051</v>
      </c>
      <c r="S415" s="343">
        <f t="shared" si="82"/>
        <v>-5.1159076974727213E-13</v>
      </c>
      <c r="T415" s="343"/>
      <c r="U415" s="343">
        <f t="shared" ca="1" si="83"/>
        <v>1.0000000000000002</v>
      </c>
      <c r="V415" s="345">
        <f t="shared" si="84"/>
        <v>22.392857142857142</v>
      </c>
    </row>
    <row r="416" spans="2:22" x14ac:dyDescent="0.3">
      <c r="B416" s="246">
        <v>409</v>
      </c>
      <c r="C416" s="437">
        <f>B416*MechanicalData!$B$22/360</f>
        <v>62.486111111111114</v>
      </c>
      <c r="D416" s="437">
        <f>MechanicalData!$B$22</f>
        <v>55</v>
      </c>
      <c r="E416" s="248">
        <v>409</v>
      </c>
      <c r="F416" s="453">
        <v>77.521000000000001</v>
      </c>
      <c r="G416" s="437">
        <v>69.998000000000005</v>
      </c>
      <c r="H416" s="339">
        <f t="shared" si="73"/>
        <v>409</v>
      </c>
      <c r="I416" s="451">
        <f t="shared" si="74"/>
        <v>55</v>
      </c>
      <c r="J416" s="340">
        <f t="shared" si="75"/>
        <v>0.15277777777777779</v>
      </c>
      <c r="K416" s="341">
        <f t="shared" si="76"/>
        <v>62.486111111111114</v>
      </c>
      <c r="L416" s="333">
        <f t="shared" si="77"/>
        <v>9158.6785714285725</v>
      </c>
      <c r="M416" s="342">
        <f t="shared" si="78"/>
        <v>9159</v>
      </c>
      <c r="N416" s="343">
        <f t="shared" si="79"/>
        <v>62.486111111111114</v>
      </c>
      <c r="O416" s="343"/>
      <c r="P416" s="343">
        <f t="shared" si="80"/>
        <v>0</v>
      </c>
      <c r="Q416" s="344"/>
      <c r="R416" s="343">
        <f t="shared" si="81"/>
        <v>409.00000000000057</v>
      </c>
      <c r="S416" s="343">
        <f t="shared" si="82"/>
        <v>-5.6843418860808015E-13</v>
      </c>
      <c r="T416" s="343"/>
      <c r="U416" s="343">
        <f t="shared" ca="1" si="83"/>
        <v>1.0000000000000002</v>
      </c>
      <c r="V416" s="345">
        <f t="shared" si="84"/>
        <v>22.392857142857142</v>
      </c>
    </row>
    <row r="417" spans="2:22" x14ac:dyDescent="0.3">
      <c r="B417" s="246">
        <v>410</v>
      </c>
      <c r="C417" s="437">
        <f>B417*MechanicalData!$B$22/360</f>
        <v>62.638888888888886</v>
      </c>
      <c r="D417" s="437">
        <f>MechanicalData!$B$22</f>
        <v>55</v>
      </c>
      <c r="E417" s="248">
        <v>410</v>
      </c>
      <c r="F417" s="453">
        <v>77.715000000000003</v>
      </c>
      <c r="G417" s="437">
        <v>69.998000000000005</v>
      </c>
      <c r="H417" s="339">
        <f t="shared" si="73"/>
        <v>410</v>
      </c>
      <c r="I417" s="451">
        <f t="shared" si="74"/>
        <v>55</v>
      </c>
      <c r="J417" s="340">
        <f t="shared" si="75"/>
        <v>0.15277777777777779</v>
      </c>
      <c r="K417" s="341">
        <f t="shared" si="76"/>
        <v>62.638888888888886</v>
      </c>
      <c r="L417" s="333">
        <f t="shared" si="77"/>
        <v>9181.0714285714275</v>
      </c>
      <c r="M417" s="342">
        <f t="shared" si="78"/>
        <v>9181</v>
      </c>
      <c r="N417" s="343">
        <f t="shared" si="79"/>
        <v>62.638888888888879</v>
      </c>
      <c r="O417" s="343"/>
      <c r="P417" s="343">
        <f t="shared" si="80"/>
        <v>0</v>
      </c>
      <c r="Q417" s="344"/>
      <c r="R417" s="343">
        <f t="shared" si="81"/>
        <v>410.00000000000045</v>
      </c>
      <c r="S417" s="343">
        <f t="shared" si="82"/>
        <v>-4.5474735088646412E-13</v>
      </c>
      <c r="T417" s="343"/>
      <c r="U417" s="343">
        <f t="shared" ca="1" si="83"/>
        <v>1.0000000000000002</v>
      </c>
      <c r="V417" s="345">
        <f t="shared" si="84"/>
        <v>22.392857142857142</v>
      </c>
    </row>
    <row r="418" spans="2:22" x14ac:dyDescent="0.3">
      <c r="B418" s="246">
        <v>411</v>
      </c>
      <c r="C418" s="437">
        <f>B418*MechanicalData!$B$22/360</f>
        <v>62.791666666666664</v>
      </c>
      <c r="D418" s="437">
        <f>MechanicalData!$B$22</f>
        <v>55</v>
      </c>
      <c r="E418" s="248">
        <v>411</v>
      </c>
      <c r="F418" s="453">
        <v>77.91</v>
      </c>
      <c r="G418" s="437">
        <v>69.998000000000005</v>
      </c>
      <c r="H418" s="339">
        <f t="shared" si="73"/>
        <v>411</v>
      </c>
      <c r="I418" s="451">
        <f t="shared" si="74"/>
        <v>55</v>
      </c>
      <c r="J418" s="340">
        <f t="shared" si="75"/>
        <v>0.15277777777777779</v>
      </c>
      <c r="K418" s="341">
        <f t="shared" si="76"/>
        <v>62.791666666666664</v>
      </c>
      <c r="L418" s="333">
        <f t="shared" si="77"/>
        <v>9203.4642857142844</v>
      </c>
      <c r="M418" s="342">
        <f t="shared" si="78"/>
        <v>9203</v>
      </c>
      <c r="N418" s="343">
        <f t="shared" si="79"/>
        <v>62.79166666666665</v>
      </c>
      <c r="O418" s="343"/>
      <c r="P418" s="343">
        <f t="shared" si="80"/>
        <v>0</v>
      </c>
      <c r="Q418" s="344"/>
      <c r="R418" s="343">
        <f t="shared" si="81"/>
        <v>411.00000000000051</v>
      </c>
      <c r="S418" s="343">
        <f t="shared" si="82"/>
        <v>-5.1159076974727213E-13</v>
      </c>
      <c r="T418" s="343"/>
      <c r="U418" s="343">
        <f t="shared" ca="1" si="83"/>
        <v>1.0000000000000002</v>
      </c>
      <c r="V418" s="345">
        <f t="shared" si="84"/>
        <v>22.392857142857142</v>
      </c>
    </row>
    <row r="419" spans="2:22" x14ac:dyDescent="0.3">
      <c r="B419" s="246">
        <v>412</v>
      </c>
      <c r="C419" s="437">
        <f>B419*MechanicalData!$B$22/360</f>
        <v>62.944444444444443</v>
      </c>
      <c r="D419" s="437">
        <f>MechanicalData!$B$22</f>
        <v>55</v>
      </c>
      <c r="E419" s="248">
        <v>412</v>
      </c>
      <c r="F419" s="453">
        <v>78.103999999999999</v>
      </c>
      <c r="G419" s="437">
        <v>69.998000000000005</v>
      </c>
      <c r="H419" s="339">
        <f t="shared" si="73"/>
        <v>412</v>
      </c>
      <c r="I419" s="451">
        <f t="shared" si="74"/>
        <v>55</v>
      </c>
      <c r="J419" s="340">
        <f t="shared" si="75"/>
        <v>0.15277777777777779</v>
      </c>
      <c r="K419" s="341">
        <f t="shared" si="76"/>
        <v>62.944444444444443</v>
      </c>
      <c r="L419" s="333">
        <f t="shared" si="77"/>
        <v>9225.8571428571413</v>
      </c>
      <c r="M419" s="342">
        <f t="shared" si="78"/>
        <v>9226</v>
      </c>
      <c r="N419" s="343">
        <f t="shared" si="79"/>
        <v>62.944444444444429</v>
      </c>
      <c r="O419" s="343"/>
      <c r="P419" s="343">
        <f t="shared" si="80"/>
        <v>0</v>
      </c>
      <c r="Q419" s="344"/>
      <c r="R419" s="343">
        <f t="shared" si="81"/>
        <v>412.00000000000045</v>
      </c>
      <c r="S419" s="343">
        <f t="shared" si="82"/>
        <v>-4.5474735088646412E-13</v>
      </c>
      <c r="T419" s="343"/>
      <c r="U419" s="343">
        <f t="shared" ca="1" si="83"/>
        <v>1.0000000000000002</v>
      </c>
      <c r="V419" s="345">
        <f t="shared" si="84"/>
        <v>22.392857142857142</v>
      </c>
    </row>
    <row r="420" spans="2:22" x14ac:dyDescent="0.3">
      <c r="B420" s="246">
        <v>413</v>
      </c>
      <c r="C420" s="437">
        <f>B420*MechanicalData!$B$22/360</f>
        <v>63.097222222222221</v>
      </c>
      <c r="D420" s="437">
        <f>MechanicalData!$B$22</f>
        <v>55</v>
      </c>
      <c r="E420" s="248">
        <v>413</v>
      </c>
      <c r="F420" s="453">
        <v>78.298000000000002</v>
      </c>
      <c r="G420" s="437">
        <v>69.998000000000005</v>
      </c>
      <c r="H420" s="339">
        <f t="shared" si="73"/>
        <v>413</v>
      </c>
      <c r="I420" s="451">
        <f t="shared" si="74"/>
        <v>55</v>
      </c>
      <c r="J420" s="340">
        <f t="shared" si="75"/>
        <v>0.15277777777777779</v>
      </c>
      <c r="K420" s="341">
        <f t="shared" si="76"/>
        <v>63.097222222222221</v>
      </c>
      <c r="L420" s="333">
        <f t="shared" si="77"/>
        <v>9248.25</v>
      </c>
      <c r="M420" s="342">
        <f t="shared" si="78"/>
        <v>9248</v>
      </c>
      <c r="N420" s="343">
        <f t="shared" si="79"/>
        <v>63.097222222222214</v>
      </c>
      <c r="O420" s="343"/>
      <c r="P420" s="343">
        <f t="shared" si="80"/>
        <v>0</v>
      </c>
      <c r="Q420" s="344"/>
      <c r="R420" s="343">
        <f t="shared" si="81"/>
        <v>413.00000000000051</v>
      </c>
      <c r="S420" s="343">
        <f t="shared" si="82"/>
        <v>-5.1159076974727213E-13</v>
      </c>
      <c r="T420" s="343"/>
      <c r="U420" s="343">
        <f t="shared" ca="1" si="83"/>
        <v>1.0000000000000002</v>
      </c>
      <c r="V420" s="345">
        <f t="shared" si="84"/>
        <v>22.392857142857142</v>
      </c>
    </row>
    <row r="421" spans="2:22" x14ac:dyDescent="0.3">
      <c r="B421" s="246">
        <v>414</v>
      </c>
      <c r="C421" s="437">
        <f>B421*MechanicalData!$B$22/360</f>
        <v>63.25</v>
      </c>
      <c r="D421" s="437">
        <f>MechanicalData!$B$22</f>
        <v>55</v>
      </c>
      <c r="E421" s="248">
        <v>414</v>
      </c>
      <c r="F421" s="453">
        <v>78.492999999999995</v>
      </c>
      <c r="G421" s="437">
        <v>69.998000000000005</v>
      </c>
      <c r="H421" s="339">
        <f t="shared" si="73"/>
        <v>414</v>
      </c>
      <c r="I421" s="451">
        <f t="shared" si="74"/>
        <v>55</v>
      </c>
      <c r="J421" s="340">
        <f t="shared" si="75"/>
        <v>0.15277777777777779</v>
      </c>
      <c r="K421" s="341">
        <f t="shared" si="76"/>
        <v>63.25</v>
      </c>
      <c r="L421" s="333">
        <f t="shared" si="77"/>
        <v>9270.6428571428569</v>
      </c>
      <c r="M421" s="342">
        <f t="shared" si="78"/>
        <v>9271</v>
      </c>
      <c r="N421" s="343">
        <f t="shared" si="79"/>
        <v>63.25</v>
      </c>
      <c r="O421" s="343"/>
      <c r="P421" s="343">
        <f t="shared" si="80"/>
        <v>0</v>
      </c>
      <c r="Q421" s="344"/>
      <c r="R421" s="343">
        <f t="shared" si="81"/>
        <v>414.00000000000051</v>
      </c>
      <c r="S421" s="343">
        <f t="shared" si="82"/>
        <v>-5.1159076974727213E-13</v>
      </c>
      <c r="T421" s="343"/>
      <c r="U421" s="343">
        <f t="shared" ca="1" si="83"/>
        <v>1.0000000000000002</v>
      </c>
      <c r="V421" s="345">
        <f t="shared" si="84"/>
        <v>22.392857142857142</v>
      </c>
    </row>
    <row r="422" spans="2:22" x14ac:dyDescent="0.3">
      <c r="B422" s="246">
        <v>415</v>
      </c>
      <c r="C422" s="437">
        <f>B422*MechanicalData!$B$22/360</f>
        <v>63.402777777777779</v>
      </c>
      <c r="D422" s="437">
        <f>MechanicalData!$B$22</f>
        <v>55</v>
      </c>
      <c r="E422" s="248">
        <v>415</v>
      </c>
      <c r="F422" s="453">
        <v>78.686999999999998</v>
      </c>
      <c r="G422" s="437">
        <v>69.998000000000005</v>
      </c>
      <c r="H422" s="339">
        <f t="shared" si="73"/>
        <v>415</v>
      </c>
      <c r="I422" s="451">
        <f t="shared" si="74"/>
        <v>55</v>
      </c>
      <c r="J422" s="340">
        <f t="shared" si="75"/>
        <v>0.15277777777777779</v>
      </c>
      <c r="K422" s="341">
        <f t="shared" si="76"/>
        <v>63.402777777777779</v>
      </c>
      <c r="L422" s="333">
        <f t="shared" si="77"/>
        <v>9293.0357142857138</v>
      </c>
      <c r="M422" s="342">
        <f t="shared" si="78"/>
        <v>9293</v>
      </c>
      <c r="N422" s="343">
        <f t="shared" si="79"/>
        <v>63.402777777777764</v>
      </c>
      <c r="O422" s="343"/>
      <c r="P422" s="343">
        <f t="shared" si="80"/>
        <v>0</v>
      </c>
      <c r="Q422" s="344"/>
      <c r="R422" s="343">
        <f t="shared" si="81"/>
        <v>415.00000000000045</v>
      </c>
      <c r="S422" s="343">
        <f t="shared" si="82"/>
        <v>-4.5474735088646412E-13</v>
      </c>
      <c r="T422" s="343"/>
      <c r="U422" s="343">
        <f t="shared" ca="1" si="83"/>
        <v>1.0000000000000002</v>
      </c>
      <c r="V422" s="345">
        <f t="shared" si="84"/>
        <v>22.392857142857142</v>
      </c>
    </row>
    <row r="423" spans="2:22" x14ac:dyDescent="0.3">
      <c r="B423" s="246">
        <v>416</v>
      </c>
      <c r="C423" s="437">
        <f>B423*MechanicalData!$B$22/360</f>
        <v>63.555555555555557</v>
      </c>
      <c r="D423" s="437">
        <f>MechanicalData!$B$22</f>
        <v>55</v>
      </c>
      <c r="E423" s="248">
        <v>416</v>
      </c>
      <c r="F423" s="453">
        <v>78.882000000000005</v>
      </c>
      <c r="G423" s="437">
        <v>69.998000000000005</v>
      </c>
      <c r="H423" s="339">
        <f t="shared" si="73"/>
        <v>416</v>
      </c>
      <c r="I423" s="451">
        <f t="shared" si="74"/>
        <v>55</v>
      </c>
      <c r="J423" s="340">
        <f t="shared" si="75"/>
        <v>0.15277777777777779</v>
      </c>
      <c r="K423" s="341">
        <f t="shared" si="76"/>
        <v>63.555555555555557</v>
      </c>
      <c r="L423" s="333">
        <f t="shared" si="77"/>
        <v>9315.4285714285725</v>
      </c>
      <c r="M423" s="342">
        <f t="shared" si="78"/>
        <v>9315</v>
      </c>
      <c r="N423" s="343">
        <f t="shared" si="79"/>
        <v>63.555555555555564</v>
      </c>
      <c r="O423" s="343"/>
      <c r="P423" s="343">
        <f t="shared" si="80"/>
        <v>0</v>
      </c>
      <c r="Q423" s="344"/>
      <c r="R423" s="343">
        <f t="shared" si="81"/>
        <v>416.00000000000063</v>
      </c>
      <c r="S423" s="343">
        <f t="shared" si="82"/>
        <v>-6.2527760746888816E-13</v>
      </c>
      <c r="T423" s="343"/>
      <c r="U423" s="343">
        <f t="shared" ca="1" si="83"/>
        <v>1.0000000000000002</v>
      </c>
      <c r="V423" s="345">
        <f t="shared" si="84"/>
        <v>22.392857142857142</v>
      </c>
    </row>
    <row r="424" spans="2:22" x14ac:dyDescent="0.3">
      <c r="B424" s="246">
        <v>417</v>
      </c>
      <c r="C424" s="437">
        <f>B424*MechanicalData!$B$22/360</f>
        <v>63.708333333333336</v>
      </c>
      <c r="D424" s="437">
        <f>MechanicalData!$B$22</f>
        <v>55</v>
      </c>
      <c r="E424" s="248">
        <v>417</v>
      </c>
      <c r="F424" s="453">
        <v>79.075999999999993</v>
      </c>
      <c r="G424" s="437">
        <v>69.998000000000005</v>
      </c>
      <c r="H424" s="339">
        <f t="shared" si="73"/>
        <v>417</v>
      </c>
      <c r="I424" s="451">
        <f t="shared" si="74"/>
        <v>55</v>
      </c>
      <c r="J424" s="340">
        <f t="shared" si="75"/>
        <v>0.15277777777777779</v>
      </c>
      <c r="K424" s="341">
        <f t="shared" si="76"/>
        <v>63.708333333333336</v>
      </c>
      <c r="L424" s="333">
        <f t="shared" si="77"/>
        <v>9337.8214285714294</v>
      </c>
      <c r="M424" s="342">
        <f t="shared" si="78"/>
        <v>9338</v>
      </c>
      <c r="N424" s="343">
        <f t="shared" si="79"/>
        <v>63.708333333333336</v>
      </c>
      <c r="O424" s="343"/>
      <c r="P424" s="343">
        <f t="shared" si="80"/>
        <v>0</v>
      </c>
      <c r="Q424" s="344"/>
      <c r="R424" s="343">
        <f t="shared" si="81"/>
        <v>417.00000000000057</v>
      </c>
      <c r="S424" s="343">
        <f t="shared" si="82"/>
        <v>-5.6843418860808015E-13</v>
      </c>
      <c r="T424" s="343"/>
      <c r="U424" s="343">
        <f t="shared" ca="1" si="83"/>
        <v>1.0000000000000002</v>
      </c>
      <c r="V424" s="345">
        <f t="shared" si="84"/>
        <v>22.392857142857142</v>
      </c>
    </row>
    <row r="425" spans="2:22" x14ac:dyDescent="0.3">
      <c r="B425" s="246">
        <v>418</v>
      </c>
      <c r="C425" s="437">
        <f>B425*MechanicalData!$B$22/360</f>
        <v>63.861111111111114</v>
      </c>
      <c r="D425" s="437">
        <f>MechanicalData!$B$22</f>
        <v>55</v>
      </c>
      <c r="E425" s="248">
        <v>418</v>
      </c>
      <c r="F425" s="453">
        <v>79.271000000000001</v>
      </c>
      <c r="G425" s="437">
        <v>69.998000000000005</v>
      </c>
      <c r="H425" s="339">
        <f t="shared" si="73"/>
        <v>418</v>
      </c>
      <c r="I425" s="451">
        <f t="shared" si="74"/>
        <v>55</v>
      </c>
      <c r="J425" s="340">
        <f t="shared" si="75"/>
        <v>0.15277777777777779</v>
      </c>
      <c r="K425" s="341">
        <f t="shared" si="76"/>
        <v>63.861111111111114</v>
      </c>
      <c r="L425" s="333">
        <f t="shared" si="77"/>
        <v>9360.2142857142862</v>
      </c>
      <c r="M425" s="342">
        <f t="shared" si="78"/>
        <v>9360</v>
      </c>
      <c r="N425" s="343">
        <f t="shared" si="79"/>
        <v>63.861111111111114</v>
      </c>
      <c r="O425" s="343"/>
      <c r="P425" s="343">
        <f t="shared" si="80"/>
        <v>0</v>
      </c>
      <c r="Q425" s="344"/>
      <c r="R425" s="343">
        <f t="shared" si="81"/>
        <v>418.00000000000057</v>
      </c>
      <c r="S425" s="343">
        <f t="shared" si="82"/>
        <v>-5.6843418860808015E-13</v>
      </c>
      <c r="T425" s="343"/>
      <c r="U425" s="343">
        <f t="shared" ca="1" si="83"/>
        <v>1.0000000000000002</v>
      </c>
      <c r="V425" s="345">
        <f t="shared" si="84"/>
        <v>22.392857142857142</v>
      </c>
    </row>
    <row r="426" spans="2:22" x14ac:dyDescent="0.3">
      <c r="B426" s="246">
        <v>419</v>
      </c>
      <c r="C426" s="437">
        <f>B426*MechanicalData!$B$22/360</f>
        <v>64.013888888888886</v>
      </c>
      <c r="D426" s="437">
        <f>MechanicalData!$B$22</f>
        <v>55</v>
      </c>
      <c r="E426" s="248">
        <v>419</v>
      </c>
      <c r="F426" s="453">
        <v>79.465000000000003</v>
      </c>
      <c r="G426" s="437">
        <v>69.998000000000005</v>
      </c>
      <c r="H426" s="339">
        <f t="shared" si="73"/>
        <v>419</v>
      </c>
      <c r="I426" s="451">
        <f t="shared" si="74"/>
        <v>55</v>
      </c>
      <c r="J426" s="340">
        <f t="shared" si="75"/>
        <v>0.15277777777777779</v>
      </c>
      <c r="K426" s="341">
        <f t="shared" si="76"/>
        <v>64.013888888888886</v>
      </c>
      <c r="L426" s="333">
        <f t="shared" si="77"/>
        <v>9382.6071428571431</v>
      </c>
      <c r="M426" s="342">
        <f t="shared" si="78"/>
        <v>9383</v>
      </c>
      <c r="N426" s="343">
        <f t="shared" si="79"/>
        <v>64.013888888888886</v>
      </c>
      <c r="O426" s="343"/>
      <c r="P426" s="343">
        <f t="shared" si="80"/>
        <v>0</v>
      </c>
      <c r="Q426" s="344"/>
      <c r="R426" s="343">
        <f t="shared" si="81"/>
        <v>419.00000000000057</v>
      </c>
      <c r="S426" s="343">
        <f t="shared" si="82"/>
        <v>-5.6843418860808015E-13</v>
      </c>
      <c r="T426" s="343"/>
      <c r="U426" s="343">
        <f t="shared" ca="1" si="83"/>
        <v>1.0000000000000002</v>
      </c>
      <c r="V426" s="345">
        <f t="shared" si="84"/>
        <v>22.392857142857142</v>
      </c>
    </row>
    <row r="427" spans="2:22" x14ac:dyDescent="0.3">
      <c r="B427" s="246">
        <v>420</v>
      </c>
      <c r="C427" s="437">
        <f>B427*MechanicalData!$B$22/360</f>
        <v>64.166666666666671</v>
      </c>
      <c r="D427" s="437">
        <f>MechanicalData!$B$22</f>
        <v>55</v>
      </c>
      <c r="E427" s="248">
        <v>420</v>
      </c>
      <c r="F427" s="453">
        <v>79.66</v>
      </c>
      <c r="G427" s="437">
        <v>69.998000000000005</v>
      </c>
      <c r="H427" s="339">
        <f t="shared" si="73"/>
        <v>420</v>
      </c>
      <c r="I427" s="451">
        <f t="shared" si="74"/>
        <v>55</v>
      </c>
      <c r="J427" s="340">
        <f t="shared" si="75"/>
        <v>0.15277777777777779</v>
      </c>
      <c r="K427" s="341">
        <f t="shared" si="76"/>
        <v>64.166666666666671</v>
      </c>
      <c r="L427" s="333">
        <f t="shared" si="77"/>
        <v>9405</v>
      </c>
      <c r="M427" s="342">
        <f t="shared" si="78"/>
        <v>9405</v>
      </c>
      <c r="N427" s="343">
        <f t="shared" si="79"/>
        <v>64.166666666666657</v>
      </c>
      <c r="O427" s="343"/>
      <c r="P427" s="343">
        <f t="shared" si="80"/>
        <v>0</v>
      </c>
      <c r="Q427" s="344"/>
      <c r="R427" s="343">
        <f t="shared" si="81"/>
        <v>420.00000000000051</v>
      </c>
      <c r="S427" s="343">
        <f t="shared" si="82"/>
        <v>-5.1159076974727213E-13</v>
      </c>
      <c r="T427" s="343"/>
      <c r="U427" s="343">
        <f t="shared" ca="1" si="83"/>
        <v>1.0000000000000002</v>
      </c>
      <c r="V427" s="345">
        <f t="shared" si="84"/>
        <v>22.392857142857142</v>
      </c>
    </row>
    <row r="428" spans="2:22" x14ac:dyDescent="0.3">
      <c r="B428" s="246">
        <v>421</v>
      </c>
      <c r="C428" s="437">
        <f>B428*MechanicalData!$B$22/360</f>
        <v>64.319444444444443</v>
      </c>
      <c r="D428" s="437">
        <f>MechanicalData!$B$22</f>
        <v>55</v>
      </c>
      <c r="E428" s="248">
        <v>421</v>
      </c>
      <c r="F428" s="453">
        <v>79.853999999999999</v>
      </c>
      <c r="G428" s="437">
        <v>69.998000000000005</v>
      </c>
      <c r="H428" s="339">
        <f t="shared" ref="H428:H491" si="85">B428</f>
        <v>421</v>
      </c>
      <c r="I428" s="451">
        <f t="shared" ref="I428:I491" si="86">D428</f>
        <v>55</v>
      </c>
      <c r="J428" s="340">
        <f t="shared" ref="J428:J491" si="87">I428/360</f>
        <v>0.15277777777777779</v>
      </c>
      <c r="K428" s="341">
        <f t="shared" ref="K428:K491" si="88">C428</f>
        <v>64.319444444444443</v>
      </c>
      <c r="L428" s="333">
        <f t="shared" ref="L428:L491" si="89">K428/$Z$7*360</f>
        <v>9427.3928571428569</v>
      </c>
      <c r="M428" s="342">
        <f t="shared" ref="M428:M491" si="90">ROUND(L428, 0)</f>
        <v>9427</v>
      </c>
      <c r="N428" s="343">
        <f t="shared" ref="N428:N491" si="91">InterpolXY(L428,$Y$22:$Y$31,$X$22:$X$31)</f>
        <v>64.319444444444443</v>
      </c>
      <c r="O428" s="343"/>
      <c r="P428" s="343">
        <f t="shared" ref="P428:P491" si="92">K428-N428</f>
        <v>0</v>
      </c>
      <c r="Q428" s="344"/>
      <c r="R428" s="343">
        <f t="shared" ref="R428:R491" si="93">InterpolXY(L428,$Y$22:$Y$31,$AC$22:$AC$31)</f>
        <v>421.00000000000051</v>
      </c>
      <c r="S428" s="343">
        <f t="shared" ref="S428:S491" si="94">H428-R428</f>
        <v>-5.1159076974727213E-13</v>
      </c>
      <c r="T428" s="343"/>
      <c r="U428" s="343">
        <f t="shared" ca="1" si="83"/>
        <v>1.0000000000000002</v>
      </c>
      <c r="V428" s="345">
        <f t="shared" si="84"/>
        <v>22.392857142857142</v>
      </c>
    </row>
    <row r="429" spans="2:22" x14ac:dyDescent="0.3">
      <c r="B429" s="246">
        <v>422</v>
      </c>
      <c r="C429" s="437">
        <f>B429*MechanicalData!$B$22/360</f>
        <v>64.472222222222229</v>
      </c>
      <c r="D429" s="437">
        <f>MechanicalData!$B$22</f>
        <v>55</v>
      </c>
      <c r="E429" s="248">
        <v>422</v>
      </c>
      <c r="F429" s="453">
        <v>80.048000000000002</v>
      </c>
      <c r="G429" s="437">
        <v>69.998000000000005</v>
      </c>
      <c r="H429" s="339">
        <f t="shared" si="85"/>
        <v>422</v>
      </c>
      <c r="I429" s="451">
        <f t="shared" si="86"/>
        <v>55</v>
      </c>
      <c r="J429" s="340">
        <f t="shared" si="87"/>
        <v>0.15277777777777779</v>
      </c>
      <c r="K429" s="341">
        <f t="shared" si="88"/>
        <v>64.472222222222229</v>
      </c>
      <c r="L429" s="333">
        <f t="shared" si="89"/>
        <v>9449.7857142857156</v>
      </c>
      <c r="M429" s="342">
        <f t="shared" si="90"/>
        <v>9450</v>
      </c>
      <c r="N429" s="343">
        <f t="shared" si="91"/>
        <v>64.472222222222229</v>
      </c>
      <c r="O429" s="343"/>
      <c r="P429" s="343">
        <f t="shared" si="92"/>
        <v>0</v>
      </c>
      <c r="Q429" s="344"/>
      <c r="R429" s="343">
        <f t="shared" si="93"/>
        <v>422.00000000000057</v>
      </c>
      <c r="S429" s="343">
        <f t="shared" si="94"/>
        <v>-5.6843418860808015E-13</v>
      </c>
      <c r="T429" s="343"/>
      <c r="U429" s="343">
        <f t="shared" ca="1" si="83"/>
        <v>1.0000000000000002</v>
      </c>
      <c r="V429" s="345">
        <f t="shared" si="84"/>
        <v>22.392857142857142</v>
      </c>
    </row>
    <row r="430" spans="2:22" x14ac:dyDescent="0.3">
      <c r="B430" s="246">
        <v>423</v>
      </c>
      <c r="C430" s="437">
        <f>B430*MechanicalData!$B$22/360</f>
        <v>64.625</v>
      </c>
      <c r="D430" s="437">
        <f>MechanicalData!$B$22</f>
        <v>55</v>
      </c>
      <c r="E430" s="248">
        <v>423</v>
      </c>
      <c r="F430" s="453">
        <v>80.242999999999995</v>
      </c>
      <c r="G430" s="437">
        <v>69.998000000000005</v>
      </c>
      <c r="H430" s="339">
        <f t="shared" si="85"/>
        <v>423</v>
      </c>
      <c r="I430" s="451">
        <f t="shared" si="86"/>
        <v>55</v>
      </c>
      <c r="J430" s="340">
        <f t="shared" si="87"/>
        <v>0.15277777777777779</v>
      </c>
      <c r="K430" s="341">
        <f t="shared" si="88"/>
        <v>64.625</v>
      </c>
      <c r="L430" s="333">
        <f t="shared" si="89"/>
        <v>9472.1785714285706</v>
      </c>
      <c r="M430" s="342">
        <f t="shared" si="90"/>
        <v>9472</v>
      </c>
      <c r="N430" s="343">
        <f t="shared" si="91"/>
        <v>64.624999999999986</v>
      </c>
      <c r="O430" s="343"/>
      <c r="P430" s="343">
        <f t="shared" si="92"/>
        <v>0</v>
      </c>
      <c r="Q430" s="344"/>
      <c r="R430" s="343">
        <f t="shared" si="93"/>
        <v>423.00000000000045</v>
      </c>
      <c r="S430" s="343">
        <f t="shared" si="94"/>
        <v>-4.5474735088646412E-13</v>
      </c>
      <c r="T430" s="343"/>
      <c r="U430" s="343">
        <f t="shared" ca="1" si="83"/>
        <v>1.0000000000000002</v>
      </c>
      <c r="V430" s="345">
        <f t="shared" si="84"/>
        <v>22.392857142857142</v>
      </c>
    </row>
    <row r="431" spans="2:22" x14ac:dyDescent="0.3">
      <c r="B431" s="246">
        <v>424</v>
      </c>
      <c r="C431" s="437">
        <f>B431*MechanicalData!$B$22/360</f>
        <v>64.777777777777771</v>
      </c>
      <c r="D431" s="437">
        <f>MechanicalData!$B$22</f>
        <v>55</v>
      </c>
      <c r="E431" s="248">
        <v>424</v>
      </c>
      <c r="F431" s="453">
        <v>80.436999999999998</v>
      </c>
      <c r="G431" s="437">
        <v>69.998000000000005</v>
      </c>
      <c r="H431" s="339">
        <f t="shared" si="85"/>
        <v>424</v>
      </c>
      <c r="I431" s="451">
        <f t="shared" si="86"/>
        <v>55</v>
      </c>
      <c r="J431" s="340">
        <f t="shared" si="87"/>
        <v>0.15277777777777779</v>
      </c>
      <c r="K431" s="341">
        <f t="shared" si="88"/>
        <v>64.777777777777771</v>
      </c>
      <c r="L431" s="333">
        <f t="shared" si="89"/>
        <v>9494.5714285714275</v>
      </c>
      <c r="M431" s="342">
        <f t="shared" si="90"/>
        <v>9495</v>
      </c>
      <c r="N431" s="343">
        <f t="shared" si="91"/>
        <v>64.777777777777771</v>
      </c>
      <c r="O431" s="343"/>
      <c r="P431" s="343">
        <f t="shared" si="92"/>
        <v>0</v>
      </c>
      <c r="Q431" s="344"/>
      <c r="R431" s="343">
        <f t="shared" si="93"/>
        <v>424.00000000000045</v>
      </c>
      <c r="S431" s="343">
        <f t="shared" si="94"/>
        <v>-4.5474735088646412E-13</v>
      </c>
      <c r="T431" s="343"/>
      <c r="U431" s="343">
        <f t="shared" ca="1" si="83"/>
        <v>1.0000000000000002</v>
      </c>
      <c r="V431" s="345">
        <f t="shared" si="84"/>
        <v>22.392857142857142</v>
      </c>
    </row>
    <row r="432" spans="2:22" x14ac:dyDescent="0.3">
      <c r="B432" s="246">
        <v>425</v>
      </c>
      <c r="C432" s="437">
        <f>B432*MechanicalData!$B$22/360</f>
        <v>64.930555555555557</v>
      </c>
      <c r="D432" s="437">
        <f>MechanicalData!$B$22</f>
        <v>55</v>
      </c>
      <c r="E432" s="248">
        <v>494</v>
      </c>
      <c r="F432" s="453">
        <v>94.040333333333294</v>
      </c>
      <c r="G432" s="437">
        <v>69.998000000000005</v>
      </c>
      <c r="H432" s="339">
        <f t="shared" si="85"/>
        <v>425</v>
      </c>
      <c r="I432" s="451">
        <f t="shared" si="86"/>
        <v>55</v>
      </c>
      <c r="J432" s="340">
        <f t="shared" si="87"/>
        <v>0.15277777777777779</v>
      </c>
      <c r="K432" s="341">
        <f t="shared" si="88"/>
        <v>64.930555555555557</v>
      </c>
      <c r="L432" s="333">
        <f t="shared" si="89"/>
        <v>9516.9642857142862</v>
      </c>
      <c r="M432" s="342">
        <f t="shared" si="90"/>
        <v>9517</v>
      </c>
      <c r="N432" s="343">
        <f t="shared" si="91"/>
        <v>64.930555555555557</v>
      </c>
      <c r="O432" s="343"/>
      <c r="P432" s="343">
        <f t="shared" si="92"/>
        <v>0</v>
      </c>
      <c r="Q432" s="344"/>
      <c r="R432" s="343">
        <f t="shared" si="93"/>
        <v>425.00000000000057</v>
      </c>
      <c r="S432" s="343">
        <f t="shared" si="94"/>
        <v>-5.6843418860808015E-13</v>
      </c>
      <c r="T432" s="343"/>
      <c r="U432" s="343">
        <f t="shared" ca="1" si="83"/>
        <v>1.0000000000000002</v>
      </c>
      <c r="V432" s="345">
        <f t="shared" si="84"/>
        <v>22.392857142857142</v>
      </c>
    </row>
    <row r="433" spans="2:22" x14ac:dyDescent="0.3">
      <c r="B433" s="246">
        <v>426</v>
      </c>
      <c r="C433" s="437">
        <f>B433*MechanicalData!$B$22/360</f>
        <v>65.083333333333329</v>
      </c>
      <c r="D433" s="437">
        <f>MechanicalData!$B$22</f>
        <v>55</v>
      </c>
      <c r="E433" s="248"/>
      <c r="F433" s="248"/>
      <c r="G433" s="437"/>
      <c r="H433" s="339">
        <f t="shared" si="85"/>
        <v>426</v>
      </c>
      <c r="I433" s="451">
        <f t="shared" si="86"/>
        <v>55</v>
      </c>
      <c r="J433" s="340">
        <f t="shared" si="87"/>
        <v>0.15277777777777779</v>
      </c>
      <c r="K433" s="341">
        <f t="shared" si="88"/>
        <v>65.083333333333329</v>
      </c>
      <c r="L433" s="333">
        <f t="shared" si="89"/>
        <v>9539.3571428571413</v>
      </c>
      <c r="M433" s="342">
        <f t="shared" si="90"/>
        <v>9539</v>
      </c>
      <c r="N433" s="343">
        <f t="shared" si="91"/>
        <v>65.083333333333314</v>
      </c>
      <c r="O433" s="343"/>
      <c r="P433" s="343">
        <f t="shared" si="92"/>
        <v>0</v>
      </c>
      <c r="Q433" s="344"/>
      <c r="R433" s="343">
        <f t="shared" si="93"/>
        <v>426.00000000000045</v>
      </c>
      <c r="S433" s="343">
        <f t="shared" si="94"/>
        <v>-4.5474735088646412E-13</v>
      </c>
      <c r="T433" s="343"/>
      <c r="U433" s="343">
        <f t="shared" ca="1" si="83"/>
        <v>1.0000000000000002</v>
      </c>
      <c r="V433" s="345">
        <f t="shared" si="84"/>
        <v>22.392857142857142</v>
      </c>
    </row>
    <row r="434" spans="2:22" x14ac:dyDescent="0.3">
      <c r="B434" s="246">
        <v>427</v>
      </c>
      <c r="C434" s="437">
        <f>B434*MechanicalData!$B$22/360</f>
        <v>65.236111111111114</v>
      </c>
      <c r="D434" s="437">
        <f>MechanicalData!$B$22</f>
        <v>55</v>
      </c>
      <c r="E434" s="248"/>
      <c r="F434" s="248"/>
      <c r="G434" s="437"/>
      <c r="H434" s="339">
        <f t="shared" si="85"/>
        <v>427</v>
      </c>
      <c r="I434" s="451">
        <f t="shared" si="86"/>
        <v>55</v>
      </c>
      <c r="J434" s="340">
        <f t="shared" si="87"/>
        <v>0.15277777777777779</v>
      </c>
      <c r="K434" s="341">
        <f t="shared" si="88"/>
        <v>65.236111111111114</v>
      </c>
      <c r="L434" s="333">
        <f t="shared" si="89"/>
        <v>9561.75</v>
      </c>
      <c r="M434" s="342">
        <f t="shared" si="90"/>
        <v>9562</v>
      </c>
      <c r="N434" s="343">
        <f t="shared" si="91"/>
        <v>65.2361111111111</v>
      </c>
      <c r="O434" s="343"/>
      <c r="P434" s="343">
        <f t="shared" si="92"/>
        <v>0</v>
      </c>
      <c r="Q434" s="344"/>
      <c r="R434" s="343">
        <f t="shared" si="93"/>
        <v>427.00000000000051</v>
      </c>
      <c r="S434" s="343">
        <f t="shared" si="94"/>
        <v>-5.1159076974727213E-13</v>
      </c>
      <c r="T434" s="343"/>
      <c r="U434" s="343">
        <f t="shared" ca="1" si="83"/>
        <v>1.0000000000000002</v>
      </c>
      <c r="V434" s="345">
        <f t="shared" si="84"/>
        <v>22.392857142857142</v>
      </c>
    </row>
    <row r="435" spans="2:22" x14ac:dyDescent="0.3">
      <c r="B435" s="246">
        <v>428</v>
      </c>
      <c r="C435" s="437">
        <f>B435*MechanicalData!$B$22/360</f>
        <v>65.388888888888886</v>
      </c>
      <c r="D435" s="437">
        <f>MechanicalData!$B$22</f>
        <v>55</v>
      </c>
      <c r="E435" s="248"/>
      <c r="F435" s="248"/>
      <c r="G435" s="437"/>
      <c r="H435" s="339">
        <f t="shared" si="85"/>
        <v>428</v>
      </c>
      <c r="I435" s="451">
        <f t="shared" si="86"/>
        <v>55</v>
      </c>
      <c r="J435" s="340">
        <f t="shared" si="87"/>
        <v>0.15277777777777779</v>
      </c>
      <c r="K435" s="341">
        <f t="shared" si="88"/>
        <v>65.388888888888886</v>
      </c>
      <c r="L435" s="333">
        <f t="shared" si="89"/>
        <v>9584.1428571428569</v>
      </c>
      <c r="M435" s="342">
        <f t="shared" si="90"/>
        <v>9584</v>
      </c>
      <c r="N435" s="343">
        <f t="shared" si="91"/>
        <v>65.388888888888886</v>
      </c>
      <c r="O435" s="343"/>
      <c r="P435" s="343">
        <f t="shared" si="92"/>
        <v>0</v>
      </c>
      <c r="Q435" s="344"/>
      <c r="R435" s="343">
        <f t="shared" si="93"/>
        <v>428.00000000000051</v>
      </c>
      <c r="S435" s="343">
        <f t="shared" si="94"/>
        <v>-5.1159076974727213E-13</v>
      </c>
      <c r="T435" s="343"/>
      <c r="U435" s="343">
        <f t="shared" ca="1" si="83"/>
        <v>1.0000000000000002</v>
      </c>
      <c r="V435" s="345">
        <f t="shared" si="84"/>
        <v>22.392857142857142</v>
      </c>
    </row>
    <row r="436" spans="2:22" x14ac:dyDescent="0.3">
      <c r="B436" s="246">
        <v>429</v>
      </c>
      <c r="C436" s="437">
        <f>B436*MechanicalData!$B$22/360</f>
        <v>65.541666666666671</v>
      </c>
      <c r="D436" s="437">
        <f>MechanicalData!$B$22</f>
        <v>55</v>
      </c>
      <c r="E436" s="248"/>
      <c r="F436" s="248"/>
      <c r="G436" s="437"/>
      <c r="H436" s="339">
        <f t="shared" si="85"/>
        <v>429</v>
      </c>
      <c r="I436" s="451">
        <f t="shared" si="86"/>
        <v>55</v>
      </c>
      <c r="J436" s="340">
        <f t="shared" si="87"/>
        <v>0.15277777777777779</v>
      </c>
      <c r="K436" s="341">
        <f t="shared" si="88"/>
        <v>65.541666666666671</v>
      </c>
      <c r="L436" s="333">
        <f t="shared" si="89"/>
        <v>9606.5357142857138</v>
      </c>
      <c r="M436" s="342">
        <f t="shared" si="90"/>
        <v>9607</v>
      </c>
      <c r="N436" s="343">
        <f t="shared" si="91"/>
        <v>65.541666666666657</v>
      </c>
      <c r="O436" s="343"/>
      <c r="P436" s="343">
        <f t="shared" si="92"/>
        <v>0</v>
      </c>
      <c r="Q436" s="344"/>
      <c r="R436" s="343">
        <f t="shared" si="93"/>
        <v>429.00000000000051</v>
      </c>
      <c r="S436" s="343">
        <f t="shared" si="94"/>
        <v>-5.1159076974727213E-13</v>
      </c>
      <c r="T436" s="343"/>
      <c r="U436" s="343">
        <f t="shared" ca="1" si="83"/>
        <v>1.0000000000000002</v>
      </c>
      <c r="V436" s="345">
        <f t="shared" si="84"/>
        <v>22.392857142857142</v>
      </c>
    </row>
    <row r="437" spans="2:22" x14ac:dyDescent="0.3">
      <c r="B437" s="246">
        <v>430</v>
      </c>
      <c r="C437" s="437">
        <f>B437*MechanicalData!$B$22/360</f>
        <v>65.694444444444443</v>
      </c>
      <c r="D437" s="437">
        <f>MechanicalData!$B$22</f>
        <v>55</v>
      </c>
      <c r="E437" s="248"/>
      <c r="F437" s="248"/>
      <c r="G437" s="437"/>
      <c r="H437" s="339">
        <f t="shared" si="85"/>
        <v>430</v>
      </c>
      <c r="I437" s="451">
        <f t="shared" si="86"/>
        <v>55</v>
      </c>
      <c r="J437" s="340">
        <f t="shared" si="87"/>
        <v>0.15277777777777779</v>
      </c>
      <c r="K437" s="341">
        <f t="shared" si="88"/>
        <v>65.694444444444443</v>
      </c>
      <c r="L437" s="333">
        <f t="shared" si="89"/>
        <v>9628.9285714285706</v>
      </c>
      <c r="M437" s="342">
        <f t="shared" si="90"/>
        <v>9629</v>
      </c>
      <c r="N437" s="343">
        <f t="shared" si="91"/>
        <v>65.694444444444443</v>
      </c>
      <c r="O437" s="343"/>
      <c r="P437" s="343">
        <f t="shared" si="92"/>
        <v>0</v>
      </c>
      <c r="Q437" s="344"/>
      <c r="R437" s="343">
        <f t="shared" si="93"/>
        <v>430.00000000000045</v>
      </c>
      <c r="S437" s="343">
        <f t="shared" si="94"/>
        <v>-4.5474735088646412E-13</v>
      </c>
      <c r="T437" s="343"/>
      <c r="U437" s="343">
        <f t="shared" ca="1" si="83"/>
        <v>1.0000000000000002</v>
      </c>
      <c r="V437" s="345">
        <f t="shared" si="84"/>
        <v>22.392857142857142</v>
      </c>
    </row>
    <row r="438" spans="2:22" x14ac:dyDescent="0.3">
      <c r="B438" s="246">
        <v>431</v>
      </c>
      <c r="C438" s="437">
        <f>B438*MechanicalData!$B$22/360</f>
        <v>65.847222222222229</v>
      </c>
      <c r="D438" s="437">
        <f>MechanicalData!$B$22</f>
        <v>55</v>
      </c>
      <c r="E438" s="248"/>
      <c r="F438" s="248"/>
      <c r="G438" s="437"/>
      <c r="H438" s="339">
        <f t="shared" si="85"/>
        <v>431</v>
      </c>
      <c r="I438" s="451">
        <f t="shared" si="86"/>
        <v>55</v>
      </c>
      <c r="J438" s="340">
        <f t="shared" si="87"/>
        <v>0.15277777777777779</v>
      </c>
      <c r="K438" s="341">
        <f t="shared" si="88"/>
        <v>65.847222222222229</v>
      </c>
      <c r="L438" s="333">
        <f t="shared" si="89"/>
        <v>9651.3214285714294</v>
      </c>
      <c r="M438" s="342">
        <f t="shared" si="90"/>
        <v>9651</v>
      </c>
      <c r="N438" s="343">
        <f t="shared" si="91"/>
        <v>65.847222222222229</v>
      </c>
      <c r="O438" s="343"/>
      <c r="P438" s="343">
        <f t="shared" si="92"/>
        <v>0</v>
      </c>
      <c r="Q438" s="344"/>
      <c r="R438" s="343">
        <f t="shared" si="93"/>
        <v>431.00000000000063</v>
      </c>
      <c r="S438" s="343">
        <f t="shared" si="94"/>
        <v>-6.2527760746888816E-13</v>
      </c>
      <c r="T438" s="343"/>
      <c r="U438" s="343">
        <f t="shared" ca="1" si="83"/>
        <v>1.0000000000000002</v>
      </c>
      <c r="V438" s="345">
        <f t="shared" si="84"/>
        <v>22.392857142857142</v>
      </c>
    </row>
    <row r="439" spans="2:22" x14ac:dyDescent="0.3">
      <c r="B439" s="246">
        <v>432</v>
      </c>
      <c r="C439" s="437">
        <f>B439*MechanicalData!$B$22/360</f>
        <v>66</v>
      </c>
      <c r="D439" s="437">
        <f>MechanicalData!$B$22</f>
        <v>55</v>
      </c>
      <c r="E439" s="248"/>
      <c r="F439" s="248"/>
      <c r="G439" s="437"/>
      <c r="H439" s="339">
        <f t="shared" si="85"/>
        <v>432</v>
      </c>
      <c r="I439" s="451">
        <f t="shared" si="86"/>
        <v>55</v>
      </c>
      <c r="J439" s="340">
        <f t="shared" si="87"/>
        <v>0.15277777777777779</v>
      </c>
      <c r="K439" s="341">
        <f t="shared" si="88"/>
        <v>66</v>
      </c>
      <c r="L439" s="333">
        <f t="shared" si="89"/>
        <v>9673.7142857142844</v>
      </c>
      <c r="M439" s="342">
        <f t="shared" si="90"/>
        <v>9674</v>
      </c>
      <c r="N439" s="343">
        <f t="shared" si="91"/>
        <v>65.999999999999986</v>
      </c>
      <c r="O439" s="343"/>
      <c r="P439" s="343">
        <f t="shared" si="92"/>
        <v>0</v>
      </c>
      <c r="Q439" s="344"/>
      <c r="R439" s="343">
        <f t="shared" si="93"/>
        <v>432.00000000000051</v>
      </c>
      <c r="S439" s="343">
        <f t="shared" si="94"/>
        <v>-5.1159076974727213E-13</v>
      </c>
      <c r="T439" s="343"/>
      <c r="U439" s="343">
        <f t="shared" ca="1" si="83"/>
        <v>1.0000000000000002</v>
      </c>
      <c r="V439" s="345">
        <f t="shared" si="84"/>
        <v>22.392857142857142</v>
      </c>
    </row>
    <row r="440" spans="2:22" x14ac:dyDescent="0.3">
      <c r="B440" s="246">
        <v>433</v>
      </c>
      <c r="C440" s="437">
        <f>B440*MechanicalData!$B$22/360</f>
        <v>66.152777777777771</v>
      </c>
      <c r="D440" s="437">
        <f>MechanicalData!$B$22</f>
        <v>55</v>
      </c>
      <c r="E440" s="248"/>
      <c r="F440" s="248"/>
      <c r="G440" s="437"/>
      <c r="H440" s="339">
        <f t="shared" si="85"/>
        <v>433</v>
      </c>
      <c r="I440" s="451">
        <f t="shared" si="86"/>
        <v>55</v>
      </c>
      <c r="J440" s="340">
        <f t="shared" si="87"/>
        <v>0.15277777777777779</v>
      </c>
      <c r="K440" s="341">
        <f t="shared" si="88"/>
        <v>66.152777777777771</v>
      </c>
      <c r="L440" s="333">
        <f t="shared" si="89"/>
        <v>9696.1071428571413</v>
      </c>
      <c r="M440" s="342">
        <f t="shared" si="90"/>
        <v>9696</v>
      </c>
      <c r="N440" s="343">
        <f t="shared" si="91"/>
        <v>66.152777777777771</v>
      </c>
      <c r="O440" s="343"/>
      <c r="P440" s="343">
        <f t="shared" si="92"/>
        <v>0</v>
      </c>
      <c r="Q440" s="344"/>
      <c r="R440" s="343">
        <f t="shared" si="93"/>
        <v>433.00000000000051</v>
      </c>
      <c r="S440" s="343">
        <f t="shared" si="94"/>
        <v>-5.1159076974727213E-13</v>
      </c>
      <c r="T440" s="343"/>
      <c r="U440" s="343">
        <f t="shared" ca="1" si="83"/>
        <v>1.0000000000000002</v>
      </c>
      <c r="V440" s="345">
        <f t="shared" si="84"/>
        <v>22.392857142857142</v>
      </c>
    </row>
    <row r="441" spans="2:22" x14ac:dyDescent="0.3">
      <c r="B441" s="246">
        <v>434</v>
      </c>
      <c r="C441" s="437">
        <f>B441*MechanicalData!$B$22/360</f>
        <v>66.305555555555557</v>
      </c>
      <c r="D441" s="437">
        <f>MechanicalData!$B$22</f>
        <v>55</v>
      </c>
      <c r="E441" s="248"/>
      <c r="F441" s="248"/>
      <c r="G441" s="437"/>
      <c r="H441" s="339">
        <f t="shared" si="85"/>
        <v>434</v>
      </c>
      <c r="I441" s="451">
        <f t="shared" si="86"/>
        <v>55</v>
      </c>
      <c r="J441" s="340">
        <f t="shared" si="87"/>
        <v>0.15277777777777779</v>
      </c>
      <c r="K441" s="341">
        <f t="shared" si="88"/>
        <v>66.305555555555557</v>
      </c>
      <c r="L441" s="333">
        <f t="shared" si="89"/>
        <v>9718.5</v>
      </c>
      <c r="M441" s="342">
        <f t="shared" si="90"/>
        <v>9719</v>
      </c>
      <c r="N441" s="343">
        <f t="shared" si="91"/>
        <v>66.305555555555557</v>
      </c>
      <c r="O441" s="343"/>
      <c r="P441" s="343">
        <f t="shared" si="92"/>
        <v>0</v>
      </c>
      <c r="Q441" s="344"/>
      <c r="R441" s="343">
        <f t="shared" si="93"/>
        <v>434.00000000000057</v>
      </c>
      <c r="S441" s="343">
        <f t="shared" si="94"/>
        <v>-5.6843418860808015E-13</v>
      </c>
      <c r="T441" s="343"/>
      <c r="U441" s="343">
        <f t="shared" ca="1" si="83"/>
        <v>1.0000000000000002</v>
      </c>
      <c r="V441" s="345">
        <f t="shared" si="84"/>
        <v>22.392857142857142</v>
      </c>
    </row>
    <row r="442" spans="2:22" x14ac:dyDescent="0.3">
      <c r="B442" s="246">
        <v>435</v>
      </c>
      <c r="C442" s="437">
        <f>B442*MechanicalData!$B$22/360</f>
        <v>66.458333333333329</v>
      </c>
      <c r="D442" s="437">
        <f>MechanicalData!$B$22</f>
        <v>55</v>
      </c>
      <c r="E442" s="248"/>
      <c r="F442" s="248"/>
      <c r="G442" s="437"/>
      <c r="H442" s="339">
        <f t="shared" si="85"/>
        <v>435</v>
      </c>
      <c r="I442" s="451">
        <f t="shared" si="86"/>
        <v>55</v>
      </c>
      <c r="J442" s="340">
        <f t="shared" si="87"/>
        <v>0.15277777777777779</v>
      </c>
      <c r="K442" s="341">
        <f t="shared" si="88"/>
        <v>66.458333333333329</v>
      </c>
      <c r="L442" s="333">
        <f t="shared" si="89"/>
        <v>9740.8928571428569</v>
      </c>
      <c r="M442" s="342">
        <f t="shared" si="90"/>
        <v>9741</v>
      </c>
      <c r="N442" s="343">
        <f t="shared" si="91"/>
        <v>66.458333333333329</v>
      </c>
      <c r="O442" s="343"/>
      <c r="P442" s="343">
        <f t="shared" si="92"/>
        <v>0</v>
      </c>
      <c r="Q442" s="344"/>
      <c r="R442" s="343">
        <f t="shared" si="93"/>
        <v>435.00000000000051</v>
      </c>
      <c r="S442" s="343">
        <f t="shared" si="94"/>
        <v>-5.1159076974727213E-13</v>
      </c>
      <c r="T442" s="343"/>
      <c r="U442" s="343">
        <f t="shared" ca="1" si="83"/>
        <v>1.0000000000000002</v>
      </c>
      <c r="V442" s="345">
        <f t="shared" si="84"/>
        <v>22.392857142857142</v>
      </c>
    </row>
    <row r="443" spans="2:22" x14ac:dyDescent="0.3">
      <c r="B443" s="246">
        <v>436</v>
      </c>
      <c r="C443" s="437">
        <f>B443*MechanicalData!$B$22/360</f>
        <v>66.611111111111114</v>
      </c>
      <c r="D443" s="437">
        <f>MechanicalData!$B$22</f>
        <v>55</v>
      </c>
      <c r="E443" s="248"/>
      <c r="F443" s="248"/>
      <c r="G443" s="437"/>
      <c r="H443" s="339">
        <f t="shared" si="85"/>
        <v>436</v>
      </c>
      <c r="I443" s="451">
        <f t="shared" si="86"/>
        <v>55</v>
      </c>
      <c r="J443" s="340">
        <f t="shared" si="87"/>
        <v>0.15277777777777779</v>
      </c>
      <c r="K443" s="341">
        <f t="shared" si="88"/>
        <v>66.611111111111114</v>
      </c>
      <c r="L443" s="333">
        <f t="shared" si="89"/>
        <v>9763.2857142857156</v>
      </c>
      <c r="M443" s="342">
        <f t="shared" si="90"/>
        <v>9763</v>
      </c>
      <c r="N443" s="343">
        <f t="shared" si="91"/>
        <v>66.611111111111114</v>
      </c>
      <c r="O443" s="343"/>
      <c r="P443" s="343">
        <f t="shared" si="92"/>
        <v>0</v>
      </c>
      <c r="Q443" s="344"/>
      <c r="R443" s="343">
        <f t="shared" si="93"/>
        <v>436.00000000000057</v>
      </c>
      <c r="S443" s="343">
        <f t="shared" si="94"/>
        <v>-5.6843418860808015E-13</v>
      </c>
      <c r="T443" s="343"/>
      <c r="U443" s="343">
        <f t="shared" ca="1" si="83"/>
        <v>1.0000000000000002</v>
      </c>
      <c r="V443" s="345">
        <f t="shared" si="84"/>
        <v>22.392857142857142</v>
      </c>
    </row>
    <row r="444" spans="2:22" x14ac:dyDescent="0.3">
      <c r="B444" s="246">
        <v>437</v>
      </c>
      <c r="C444" s="437">
        <f>B444*MechanicalData!$B$22/360</f>
        <v>66.763888888888886</v>
      </c>
      <c r="D444" s="437">
        <f>MechanicalData!$B$22</f>
        <v>55</v>
      </c>
      <c r="E444" s="248"/>
      <c r="F444" s="248"/>
      <c r="G444" s="437"/>
      <c r="H444" s="339">
        <f t="shared" si="85"/>
        <v>437</v>
      </c>
      <c r="I444" s="451">
        <f t="shared" si="86"/>
        <v>55</v>
      </c>
      <c r="J444" s="340">
        <f t="shared" si="87"/>
        <v>0.15277777777777779</v>
      </c>
      <c r="K444" s="341">
        <f t="shared" si="88"/>
        <v>66.763888888888886</v>
      </c>
      <c r="L444" s="333">
        <f t="shared" si="89"/>
        <v>9785.6785714285706</v>
      </c>
      <c r="M444" s="342">
        <f t="shared" si="90"/>
        <v>9786</v>
      </c>
      <c r="N444" s="343">
        <f t="shared" si="91"/>
        <v>66.763888888888886</v>
      </c>
      <c r="O444" s="343"/>
      <c r="P444" s="343">
        <f t="shared" si="92"/>
        <v>0</v>
      </c>
      <c r="Q444" s="344"/>
      <c r="R444" s="343">
        <f t="shared" si="93"/>
        <v>437.00000000000051</v>
      </c>
      <c r="S444" s="343">
        <f t="shared" si="94"/>
        <v>-5.1159076974727213E-13</v>
      </c>
      <c r="T444" s="343"/>
      <c r="U444" s="343">
        <f t="shared" ca="1" si="83"/>
        <v>1.0000000000000002</v>
      </c>
      <c r="V444" s="345">
        <f t="shared" si="84"/>
        <v>22.392857142857142</v>
      </c>
    </row>
    <row r="445" spans="2:22" x14ac:dyDescent="0.3">
      <c r="B445" s="246">
        <v>438</v>
      </c>
      <c r="C445" s="437">
        <f>B445*MechanicalData!$B$22/360</f>
        <v>66.916666666666671</v>
      </c>
      <c r="D445" s="437">
        <f>MechanicalData!$B$22</f>
        <v>55</v>
      </c>
      <c r="E445" s="248"/>
      <c r="F445" s="248"/>
      <c r="G445" s="437"/>
      <c r="H445" s="339">
        <f t="shared" si="85"/>
        <v>438</v>
      </c>
      <c r="I445" s="451">
        <f t="shared" si="86"/>
        <v>55</v>
      </c>
      <c r="J445" s="340">
        <f t="shared" si="87"/>
        <v>0.15277777777777779</v>
      </c>
      <c r="K445" s="341">
        <f t="shared" si="88"/>
        <v>66.916666666666671</v>
      </c>
      <c r="L445" s="333">
        <f t="shared" si="89"/>
        <v>9808.0714285714294</v>
      </c>
      <c r="M445" s="342">
        <f t="shared" si="90"/>
        <v>9808</v>
      </c>
      <c r="N445" s="343">
        <f t="shared" si="91"/>
        <v>66.916666666666671</v>
      </c>
      <c r="O445" s="343"/>
      <c r="P445" s="343">
        <f t="shared" si="92"/>
        <v>0</v>
      </c>
      <c r="Q445" s="344"/>
      <c r="R445" s="343">
        <f t="shared" si="93"/>
        <v>438.00000000000063</v>
      </c>
      <c r="S445" s="343">
        <f t="shared" si="94"/>
        <v>-6.2527760746888816E-13</v>
      </c>
      <c r="T445" s="343"/>
      <c r="U445" s="343">
        <f t="shared" ca="1" si="83"/>
        <v>1.0000000000000002</v>
      </c>
      <c r="V445" s="345">
        <f t="shared" si="84"/>
        <v>22.392857142857142</v>
      </c>
    </row>
    <row r="446" spans="2:22" x14ac:dyDescent="0.3">
      <c r="B446" s="246">
        <v>439</v>
      </c>
      <c r="C446" s="437">
        <f>B446*MechanicalData!$B$22/360</f>
        <v>67.069444444444443</v>
      </c>
      <c r="D446" s="437">
        <f>MechanicalData!$B$22</f>
        <v>55</v>
      </c>
      <c r="E446" s="248"/>
      <c r="F446" s="248"/>
      <c r="G446" s="437"/>
      <c r="H446" s="339">
        <f t="shared" si="85"/>
        <v>439</v>
      </c>
      <c r="I446" s="451">
        <f t="shared" si="86"/>
        <v>55</v>
      </c>
      <c r="J446" s="340">
        <f t="shared" si="87"/>
        <v>0.15277777777777779</v>
      </c>
      <c r="K446" s="341">
        <f t="shared" si="88"/>
        <v>67.069444444444443</v>
      </c>
      <c r="L446" s="333">
        <f t="shared" si="89"/>
        <v>9830.4642857142844</v>
      </c>
      <c r="M446" s="342">
        <f t="shared" si="90"/>
        <v>9830</v>
      </c>
      <c r="N446" s="343">
        <f t="shared" si="91"/>
        <v>67.069444444444429</v>
      </c>
      <c r="O446" s="343"/>
      <c r="P446" s="343">
        <f t="shared" si="92"/>
        <v>0</v>
      </c>
      <c r="Q446" s="344"/>
      <c r="R446" s="343">
        <f t="shared" si="93"/>
        <v>439.00000000000051</v>
      </c>
      <c r="S446" s="343">
        <f t="shared" si="94"/>
        <v>-5.1159076974727213E-13</v>
      </c>
      <c r="T446" s="343"/>
      <c r="U446" s="343">
        <f t="shared" ca="1" si="83"/>
        <v>1.0000000000000002</v>
      </c>
      <c r="V446" s="345">
        <f t="shared" si="84"/>
        <v>22.392857142857142</v>
      </c>
    </row>
    <row r="447" spans="2:22" x14ac:dyDescent="0.3">
      <c r="B447" s="246">
        <v>440</v>
      </c>
      <c r="C447" s="437">
        <f>B447*MechanicalData!$B$22/360</f>
        <v>67.222222222222229</v>
      </c>
      <c r="D447" s="437">
        <f>MechanicalData!$B$22</f>
        <v>55</v>
      </c>
      <c r="E447" s="248"/>
      <c r="F447" s="248"/>
      <c r="G447" s="437"/>
      <c r="H447" s="339">
        <f t="shared" si="85"/>
        <v>440</v>
      </c>
      <c r="I447" s="451">
        <f t="shared" si="86"/>
        <v>55</v>
      </c>
      <c r="J447" s="340">
        <f t="shared" si="87"/>
        <v>0.15277777777777779</v>
      </c>
      <c r="K447" s="341">
        <f t="shared" si="88"/>
        <v>67.222222222222229</v>
      </c>
      <c r="L447" s="333">
        <f t="shared" si="89"/>
        <v>9852.8571428571431</v>
      </c>
      <c r="M447" s="342">
        <f t="shared" si="90"/>
        <v>9853</v>
      </c>
      <c r="N447" s="343">
        <f t="shared" si="91"/>
        <v>67.222222222222214</v>
      </c>
      <c r="O447" s="343"/>
      <c r="P447" s="343">
        <f t="shared" si="92"/>
        <v>0</v>
      </c>
      <c r="Q447" s="344"/>
      <c r="R447" s="343">
        <f t="shared" si="93"/>
        <v>440.00000000000057</v>
      </c>
      <c r="S447" s="343">
        <f t="shared" si="94"/>
        <v>-5.6843418860808015E-13</v>
      </c>
      <c r="T447" s="343"/>
      <c r="U447" s="343">
        <f t="shared" ca="1" si="83"/>
        <v>1.0000000000000002</v>
      </c>
      <c r="V447" s="345">
        <f t="shared" si="84"/>
        <v>22.392857142857142</v>
      </c>
    </row>
    <row r="448" spans="2:22" x14ac:dyDescent="0.3">
      <c r="B448" s="246">
        <v>441</v>
      </c>
      <c r="C448" s="437">
        <f>B448*MechanicalData!$B$22/360</f>
        <v>67.375</v>
      </c>
      <c r="D448" s="437">
        <f>MechanicalData!$B$22</f>
        <v>55</v>
      </c>
      <c r="E448" s="248"/>
      <c r="F448" s="248"/>
      <c r="G448" s="437"/>
      <c r="H448" s="339">
        <f t="shared" si="85"/>
        <v>441</v>
      </c>
      <c r="I448" s="451">
        <f t="shared" si="86"/>
        <v>55</v>
      </c>
      <c r="J448" s="340">
        <f t="shared" si="87"/>
        <v>0.15277777777777779</v>
      </c>
      <c r="K448" s="341">
        <f t="shared" si="88"/>
        <v>67.375</v>
      </c>
      <c r="L448" s="333">
        <f t="shared" si="89"/>
        <v>9875.25</v>
      </c>
      <c r="M448" s="342">
        <f t="shared" si="90"/>
        <v>9875</v>
      </c>
      <c r="N448" s="343">
        <f t="shared" si="91"/>
        <v>67.375</v>
      </c>
      <c r="O448" s="343"/>
      <c r="P448" s="343">
        <f t="shared" si="92"/>
        <v>0</v>
      </c>
      <c r="Q448" s="344"/>
      <c r="R448" s="343">
        <f t="shared" si="93"/>
        <v>441.00000000000057</v>
      </c>
      <c r="S448" s="343">
        <f t="shared" si="94"/>
        <v>-5.6843418860808015E-13</v>
      </c>
      <c r="T448" s="343"/>
      <c r="U448" s="343">
        <f t="shared" ca="1" si="83"/>
        <v>1.0000000000000002</v>
      </c>
      <c r="V448" s="345">
        <f t="shared" si="84"/>
        <v>22.392857142857142</v>
      </c>
    </row>
    <row r="449" spans="2:22" x14ac:dyDescent="0.3">
      <c r="B449" s="246">
        <v>442</v>
      </c>
      <c r="C449" s="437">
        <f>B449*MechanicalData!$B$22/360</f>
        <v>67.527777777777771</v>
      </c>
      <c r="D449" s="437">
        <f>MechanicalData!$B$22</f>
        <v>55</v>
      </c>
      <c r="E449" s="248"/>
      <c r="F449" s="248"/>
      <c r="G449" s="437"/>
      <c r="H449" s="339">
        <f t="shared" si="85"/>
        <v>442</v>
      </c>
      <c r="I449" s="451">
        <f t="shared" si="86"/>
        <v>55</v>
      </c>
      <c r="J449" s="340">
        <f t="shared" si="87"/>
        <v>0.15277777777777779</v>
      </c>
      <c r="K449" s="341">
        <f t="shared" si="88"/>
        <v>67.527777777777771</v>
      </c>
      <c r="L449" s="333">
        <f t="shared" si="89"/>
        <v>9897.6428571428551</v>
      </c>
      <c r="M449" s="342">
        <f t="shared" si="90"/>
        <v>9898</v>
      </c>
      <c r="N449" s="343">
        <f t="shared" si="91"/>
        <v>67.527777777777757</v>
      </c>
      <c r="O449" s="343"/>
      <c r="P449" s="343">
        <f t="shared" si="92"/>
        <v>0</v>
      </c>
      <c r="Q449" s="344"/>
      <c r="R449" s="343">
        <f t="shared" si="93"/>
        <v>442.00000000000045</v>
      </c>
      <c r="S449" s="343">
        <f t="shared" si="94"/>
        <v>-4.5474735088646412E-13</v>
      </c>
      <c r="T449" s="343"/>
      <c r="U449" s="343">
        <f t="shared" ca="1" si="83"/>
        <v>1.0000000000000002</v>
      </c>
      <c r="V449" s="345">
        <f t="shared" si="84"/>
        <v>22.392857142857142</v>
      </c>
    </row>
    <row r="450" spans="2:22" x14ac:dyDescent="0.3">
      <c r="B450" s="246">
        <v>443</v>
      </c>
      <c r="C450" s="437">
        <f>B450*MechanicalData!$B$22/360</f>
        <v>67.680555555555557</v>
      </c>
      <c r="D450" s="437">
        <f>MechanicalData!$B$22</f>
        <v>55</v>
      </c>
      <c r="E450" s="248"/>
      <c r="F450" s="248"/>
      <c r="G450" s="437"/>
      <c r="H450" s="339">
        <f t="shared" si="85"/>
        <v>443</v>
      </c>
      <c r="I450" s="451">
        <f t="shared" si="86"/>
        <v>55</v>
      </c>
      <c r="J450" s="340">
        <f t="shared" si="87"/>
        <v>0.15277777777777779</v>
      </c>
      <c r="K450" s="341">
        <f t="shared" si="88"/>
        <v>67.680555555555557</v>
      </c>
      <c r="L450" s="333">
        <f t="shared" si="89"/>
        <v>9920.0357142857138</v>
      </c>
      <c r="M450" s="342">
        <f t="shared" si="90"/>
        <v>9920</v>
      </c>
      <c r="N450" s="343">
        <f t="shared" si="91"/>
        <v>67.680555555555543</v>
      </c>
      <c r="O450" s="343"/>
      <c r="P450" s="343">
        <f t="shared" si="92"/>
        <v>0</v>
      </c>
      <c r="Q450" s="344"/>
      <c r="R450" s="343">
        <f t="shared" si="93"/>
        <v>443.00000000000051</v>
      </c>
      <c r="S450" s="343">
        <f t="shared" si="94"/>
        <v>-5.1159076974727213E-13</v>
      </c>
      <c r="T450" s="343"/>
      <c r="U450" s="343">
        <f t="shared" ca="1" si="83"/>
        <v>1.0000000000000002</v>
      </c>
      <c r="V450" s="345">
        <f t="shared" si="84"/>
        <v>22.392857142857142</v>
      </c>
    </row>
    <row r="451" spans="2:22" x14ac:dyDescent="0.3">
      <c r="B451" s="246">
        <v>444</v>
      </c>
      <c r="C451" s="437">
        <f>B451*MechanicalData!$B$22/360</f>
        <v>67.833333333333329</v>
      </c>
      <c r="D451" s="437">
        <f>MechanicalData!$B$22</f>
        <v>55</v>
      </c>
      <c r="E451" s="248"/>
      <c r="F451" s="248"/>
      <c r="G451" s="437"/>
      <c r="H451" s="339">
        <f t="shared" si="85"/>
        <v>444</v>
      </c>
      <c r="I451" s="451">
        <f t="shared" si="86"/>
        <v>55</v>
      </c>
      <c r="J451" s="340">
        <f t="shared" si="87"/>
        <v>0.15277777777777779</v>
      </c>
      <c r="K451" s="341">
        <f t="shared" si="88"/>
        <v>67.833333333333329</v>
      </c>
      <c r="L451" s="333">
        <f t="shared" si="89"/>
        <v>9942.4285714285706</v>
      </c>
      <c r="M451" s="342">
        <f t="shared" si="90"/>
        <v>9942</v>
      </c>
      <c r="N451" s="343">
        <f t="shared" si="91"/>
        <v>67.833333333333329</v>
      </c>
      <c r="O451" s="343"/>
      <c r="P451" s="343">
        <f t="shared" si="92"/>
        <v>0</v>
      </c>
      <c r="Q451" s="344"/>
      <c r="R451" s="343">
        <f t="shared" si="93"/>
        <v>444.00000000000051</v>
      </c>
      <c r="S451" s="343">
        <f t="shared" si="94"/>
        <v>-5.1159076974727213E-13</v>
      </c>
      <c r="T451" s="343"/>
      <c r="U451" s="343">
        <f t="shared" ca="1" si="83"/>
        <v>1.0000000000000002</v>
      </c>
      <c r="V451" s="345">
        <f t="shared" si="84"/>
        <v>22.392857142857142</v>
      </c>
    </row>
    <row r="452" spans="2:22" x14ac:dyDescent="0.3">
      <c r="B452" s="246">
        <v>445</v>
      </c>
      <c r="C452" s="437">
        <f>B452*MechanicalData!$B$22/360</f>
        <v>67.986111111111114</v>
      </c>
      <c r="D452" s="437">
        <f>MechanicalData!$B$22</f>
        <v>55</v>
      </c>
      <c r="E452" s="248"/>
      <c r="F452" s="248"/>
      <c r="G452" s="437"/>
      <c r="H452" s="339">
        <f t="shared" si="85"/>
        <v>445</v>
      </c>
      <c r="I452" s="451">
        <f t="shared" si="86"/>
        <v>55</v>
      </c>
      <c r="J452" s="340">
        <f t="shared" si="87"/>
        <v>0.15277777777777779</v>
      </c>
      <c r="K452" s="341">
        <f t="shared" si="88"/>
        <v>67.986111111111114</v>
      </c>
      <c r="L452" s="333">
        <f t="shared" si="89"/>
        <v>9964.8214285714294</v>
      </c>
      <c r="M452" s="342">
        <f t="shared" si="90"/>
        <v>9965</v>
      </c>
      <c r="N452" s="343">
        <f t="shared" si="91"/>
        <v>67.986111111111114</v>
      </c>
      <c r="O452" s="343"/>
      <c r="P452" s="343">
        <f t="shared" si="92"/>
        <v>0</v>
      </c>
      <c r="Q452" s="344"/>
      <c r="R452" s="343">
        <f t="shared" si="93"/>
        <v>445.00000000000063</v>
      </c>
      <c r="S452" s="343">
        <f t="shared" si="94"/>
        <v>-6.2527760746888816E-13</v>
      </c>
      <c r="T452" s="343"/>
      <c r="U452" s="343">
        <f t="shared" ca="1" si="83"/>
        <v>1.0000000000000002</v>
      </c>
      <c r="V452" s="345">
        <f t="shared" si="84"/>
        <v>22.392857142857142</v>
      </c>
    </row>
    <row r="453" spans="2:22" x14ac:dyDescent="0.3">
      <c r="B453" s="246">
        <v>446</v>
      </c>
      <c r="C453" s="437">
        <f>B453*MechanicalData!$B$22/360</f>
        <v>68.138888888888886</v>
      </c>
      <c r="D453" s="437">
        <f>MechanicalData!$B$22</f>
        <v>55</v>
      </c>
      <c r="E453" s="248"/>
      <c r="F453" s="248"/>
      <c r="G453" s="437"/>
      <c r="H453" s="339">
        <f t="shared" si="85"/>
        <v>446</v>
      </c>
      <c r="I453" s="451">
        <f t="shared" si="86"/>
        <v>55</v>
      </c>
      <c r="J453" s="340">
        <f t="shared" si="87"/>
        <v>0.15277777777777779</v>
      </c>
      <c r="K453" s="341">
        <f t="shared" si="88"/>
        <v>68.138888888888886</v>
      </c>
      <c r="L453" s="333">
        <f t="shared" si="89"/>
        <v>9987.2142857142862</v>
      </c>
      <c r="M453" s="342">
        <f t="shared" si="90"/>
        <v>9987</v>
      </c>
      <c r="N453" s="343">
        <f t="shared" si="91"/>
        <v>68.138888888888886</v>
      </c>
      <c r="O453" s="343"/>
      <c r="P453" s="343">
        <f t="shared" si="92"/>
        <v>0</v>
      </c>
      <c r="Q453" s="344"/>
      <c r="R453" s="343">
        <f t="shared" si="93"/>
        <v>446.00000000000057</v>
      </c>
      <c r="S453" s="343">
        <f t="shared" si="94"/>
        <v>-5.6843418860808015E-13</v>
      </c>
      <c r="T453" s="343"/>
      <c r="U453" s="343">
        <f t="shared" ca="1" si="83"/>
        <v>1.0000000000000002</v>
      </c>
      <c r="V453" s="345">
        <f t="shared" si="84"/>
        <v>22.392857142857142</v>
      </c>
    </row>
    <row r="454" spans="2:22" x14ac:dyDescent="0.3">
      <c r="B454" s="246">
        <v>447</v>
      </c>
      <c r="C454" s="437">
        <f>B454*MechanicalData!$B$22/360</f>
        <v>68.291666666666671</v>
      </c>
      <c r="D454" s="437">
        <f>MechanicalData!$B$22</f>
        <v>55</v>
      </c>
      <c r="E454" s="248"/>
      <c r="F454" s="248"/>
      <c r="G454" s="437"/>
      <c r="H454" s="339">
        <f t="shared" si="85"/>
        <v>447</v>
      </c>
      <c r="I454" s="451">
        <f t="shared" si="86"/>
        <v>55</v>
      </c>
      <c r="J454" s="340">
        <f t="shared" si="87"/>
        <v>0.15277777777777779</v>
      </c>
      <c r="K454" s="341">
        <f t="shared" si="88"/>
        <v>68.291666666666671</v>
      </c>
      <c r="L454" s="333">
        <f t="shared" si="89"/>
        <v>10009.607142857143</v>
      </c>
      <c r="M454" s="342">
        <f t="shared" si="90"/>
        <v>10010</v>
      </c>
      <c r="N454" s="343">
        <f t="shared" si="91"/>
        <v>68.291666666666657</v>
      </c>
      <c r="O454" s="343"/>
      <c r="P454" s="343">
        <f t="shared" si="92"/>
        <v>0</v>
      </c>
      <c r="Q454" s="344"/>
      <c r="R454" s="343">
        <f t="shared" si="93"/>
        <v>447.00000000000057</v>
      </c>
      <c r="S454" s="343">
        <f t="shared" si="94"/>
        <v>-5.6843418860808015E-13</v>
      </c>
      <c r="T454" s="343"/>
      <c r="U454" s="343">
        <f t="shared" ca="1" si="83"/>
        <v>1.0000000000000002</v>
      </c>
      <c r="V454" s="345">
        <f t="shared" si="84"/>
        <v>22.392857142857142</v>
      </c>
    </row>
    <row r="455" spans="2:22" x14ac:dyDescent="0.3">
      <c r="B455" s="246">
        <v>448</v>
      </c>
      <c r="C455" s="437">
        <f>B455*MechanicalData!$B$22/360</f>
        <v>68.444444444444443</v>
      </c>
      <c r="D455" s="437">
        <f>MechanicalData!$B$22</f>
        <v>55</v>
      </c>
      <c r="E455" s="248"/>
      <c r="F455" s="248"/>
      <c r="G455" s="437"/>
      <c r="H455" s="339">
        <f t="shared" si="85"/>
        <v>448</v>
      </c>
      <c r="I455" s="451">
        <f t="shared" si="86"/>
        <v>55</v>
      </c>
      <c r="J455" s="340">
        <f t="shared" si="87"/>
        <v>0.15277777777777779</v>
      </c>
      <c r="K455" s="341">
        <f t="shared" si="88"/>
        <v>68.444444444444443</v>
      </c>
      <c r="L455" s="333">
        <f t="shared" si="89"/>
        <v>10031.999999999998</v>
      </c>
      <c r="M455" s="342">
        <f t="shared" si="90"/>
        <v>10032</v>
      </c>
      <c r="N455" s="343">
        <f t="shared" si="91"/>
        <v>68.444444444444429</v>
      </c>
      <c r="O455" s="343"/>
      <c r="P455" s="343">
        <f t="shared" si="92"/>
        <v>0</v>
      </c>
      <c r="Q455" s="344"/>
      <c r="R455" s="343">
        <f t="shared" si="93"/>
        <v>448.00000000000051</v>
      </c>
      <c r="S455" s="343">
        <f t="shared" si="94"/>
        <v>-5.1159076974727213E-13</v>
      </c>
      <c r="T455" s="343"/>
      <c r="U455" s="343">
        <f t="shared" ca="1" si="83"/>
        <v>1.0000000000000002</v>
      </c>
      <c r="V455" s="345">
        <f t="shared" si="84"/>
        <v>22.392857142857142</v>
      </c>
    </row>
    <row r="456" spans="2:22" x14ac:dyDescent="0.3">
      <c r="B456" s="246">
        <v>449</v>
      </c>
      <c r="C456" s="437">
        <f>B456*MechanicalData!$B$22/360</f>
        <v>68.597222222222229</v>
      </c>
      <c r="D456" s="437">
        <f>MechanicalData!$B$22</f>
        <v>55</v>
      </c>
      <c r="E456" s="248"/>
      <c r="F456" s="248"/>
      <c r="G456" s="437"/>
      <c r="H456" s="339">
        <f t="shared" si="85"/>
        <v>449</v>
      </c>
      <c r="I456" s="451">
        <f t="shared" si="86"/>
        <v>55</v>
      </c>
      <c r="J456" s="340">
        <f t="shared" si="87"/>
        <v>0.15277777777777779</v>
      </c>
      <c r="K456" s="341">
        <f t="shared" si="88"/>
        <v>68.597222222222229</v>
      </c>
      <c r="L456" s="333">
        <f t="shared" si="89"/>
        <v>10054.392857142857</v>
      </c>
      <c r="M456" s="342">
        <f t="shared" si="90"/>
        <v>10054</v>
      </c>
      <c r="N456" s="343">
        <f t="shared" si="91"/>
        <v>68.597222222222214</v>
      </c>
      <c r="O456" s="343"/>
      <c r="P456" s="343">
        <f t="shared" si="92"/>
        <v>0</v>
      </c>
      <c r="Q456" s="344"/>
      <c r="R456" s="343">
        <f t="shared" si="93"/>
        <v>449.00000000000057</v>
      </c>
      <c r="S456" s="343">
        <f t="shared" si="94"/>
        <v>-5.6843418860808015E-13</v>
      </c>
      <c r="T456" s="343"/>
      <c r="U456" s="343">
        <f t="shared" ref="U456:U519" ca="1" si="95">$V456/$Z$9</f>
        <v>1.0000000000000002</v>
      </c>
      <c r="V456" s="345">
        <f t="shared" si="84"/>
        <v>22.392857142857142</v>
      </c>
    </row>
    <row r="457" spans="2:22" x14ac:dyDescent="0.3">
      <c r="B457" s="246">
        <v>450</v>
      </c>
      <c r="C457" s="437">
        <f>B457*MechanicalData!$B$22/360</f>
        <v>68.75</v>
      </c>
      <c r="D457" s="437">
        <f>MechanicalData!$B$22</f>
        <v>55</v>
      </c>
      <c r="E457" s="248"/>
      <c r="F457" s="248"/>
      <c r="G457" s="437"/>
      <c r="H457" s="339">
        <f t="shared" si="85"/>
        <v>450</v>
      </c>
      <c r="I457" s="451">
        <f t="shared" si="86"/>
        <v>55</v>
      </c>
      <c r="J457" s="340">
        <f t="shared" si="87"/>
        <v>0.15277777777777779</v>
      </c>
      <c r="K457" s="341">
        <f t="shared" si="88"/>
        <v>68.75</v>
      </c>
      <c r="L457" s="333">
        <f t="shared" si="89"/>
        <v>10076.785714285714</v>
      </c>
      <c r="M457" s="342">
        <f t="shared" si="90"/>
        <v>10077</v>
      </c>
      <c r="N457" s="343">
        <f t="shared" si="91"/>
        <v>68.749999999999986</v>
      </c>
      <c r="O457" s="343"/>
      <c r="P457" s="343">
        <f t="shared" si="92"/>
        <v>0</v>
      </c>
      <c r="Q457" s="344"/>
      <c r="R457" s="343">
        <f t="shared" si="93"/>
        <v>450.00000000000051</v>
      </c>
      <c r="S457" s="343">
        <f t="shared" si="94"/>
        <v>-5.1159076974727213E-13</v>
      </c>
      <c r="T457" s="343"/>
      <c r="U457" s="343">
        <f t="shared" ca="1" si="95"/>
        <v>1.0000000000000002</v>
      </c>
      <c r="V457" s="345">
        <f t="shared" ref="V457:V520" si="96">$I457/$Z$7</f>
        <v>22.392857142857142</v>
      </c>
    </row>
    <row r="458" spans="2:22" x14ac:dyDescent="0.3">
      <c r="B458" s="246">
        <v>451</v>
      </c>
      <c r="C458" s="437">
        <f>B458*MechanicalData!$B$22/360</f>
        <v>68.902777777777771</v>
      </c>
      <c r="D458" s="437">
        <f>MechanicalData!$B$22</f>
        <v>55</v>
      </c>
      <c r="E458" s="248"/>
      <c r="F458" s="248"/>
      <c r="G458" s="437"/>
      <c r="H458" s="339">
        <f t="shared" si="85"/>
        <v>451</v>
      </c>
      <c r="I458" s="451">
        <f t="shared" si="86"/>
        <v>55</v>
      </c>
      <c r="J458" s="340">
        <f t="shared" si="87"/>
        <v>0.15277777777777779</v>
      </c>
      <c r="K458" s="341">
        <f t="shared" si="88"/>
        <v>68.902777777777771</v>
      </c>
      <c r="L458" s="333">
        <f t="shared" si="89"/>
        <v>10099.178571428571</v>
      </c>
      <c r="M458" s="342">
        <f t="shared" si="90"/>
        <v>10099</v>
      </c>
      <c r="N458" s="343">
        <f t="shared" si="91"/>
        <v>68.902777777777771</v>
      </c>
      <c r="O458" s="343"/>
      <c r="P458" s="343">
        <f t="shared" si="92"/>
        <v>0</v>
      </c>
      <c r="Q458" s="344"/>
      <c r="R458" s="343">
        <f t="shared" si="93"/>
        <v>451.00000000000051</v>
      </c>
      <c r="S458" s="343">
        <f t="shared" si="94"/>
        <v>-5.1159076974727213E-13</v>
      </c>
      <c r="T458" s="343"/>
      <c r="U458" s="343">
        <f t="shared" ca="1" si="95"/>
        <v>1.0000000000000002</v>
      </c>
      <c r="V458" s="345">
        <f t="shared" si="96"/>
        <v>22.392857142857142</v>
      </c>
    </row>
    <row r="459" spans="2:22" x14ac:dyDescent="0.3">
      <c r="B459" s="246">
        <v>452</v>
      </c>
      <c r="C459" s="437">
        <f>B459*MechanicalData!$B$22/360</f>
        <v>69.055555555555557</v>
      </c>
      <c r="D459" s="437">
        <f>MechanicalData!$B$22</f>
        <v>55</v>
      </c>
      <c r="E459" s="248"/>
      <c r="F459" s="248"/>
      <c r="G459" s="437"/>
      <c r="H459" s="339">
        <f t="shared" si="85"/>
        <v>452</v>
      </c>
      <c r="I459" s="451">
        <f t="shared" si="86"/>
        <v>55</v>
      </c>
      <c r="J459" s="340">
        <f t="shared" si="87"/>
        <v>0.15277777777777779</v>
      </c>
      <c r="K459" s="341">
        <f t="shared" si="88"/>
        <v>69.055555555555557</v>
      </c>
      <c r="L459" s="333">
        <f t="shared" si="89"/>
        <v>10121.571428571429</v>
      </c>
      <c r="M459" s="342">
        <f t="shared" si="90"/>
        <v>10122</v>
      </c>
      <c r="N459" s="343">
        <f t="shared" si="91"/>
        <v>69.055555555555557</v>
      </c>
      <c r="O459" s="343"/>
      <c r="P459" s="343">
        <f t="shared" si="92"/>
        <v>0</v>
      </c>
      <c r="Q459" s="344"/>
      <c r="R459" s="343">
        <f t="shared" si="93"/>
        <v>452.00000000000063</v>
      </c>
      <c r="S459" s="343">
        <f t="shared" si="94"/>
        <v>-6.2527760746888816E-13</v>
      </c>
      <c r="T459" s="343"/>
      <c r="U459" s="343">
        <f t="shared" ca="1" si="95"/>
        <v>1.0000000000000002</v>
      </c>
      <c r="V459" s="345">
        <f t="shared" si="96"/>
        <v>22.392857142857142</v>
      </c>
    </row>
    <row r="460" spans="2:22" x14ac:dyDescent="0.3">
      <c r="B460" s="246">
        <v>453</v>
      </c>
      <c r="C460" s="437">
        <f>B460*MechanicalData!$B$22/360</f>
        <v>69.208333333333329</v>
      </c>
      <c r="D460" s="437">
        <f>MechanicalData!$B$22</f>
        <v>55</v>
      </c>
      <c r="E460" s="248"/>
      <c r="F460" s="248"/>
      <c r="G460" s="437"/>
      <c r="H460" s="339">
        <f t="shared" si="85"/>
        <v>453</v>
      </c>
      <c r="I460" s="451">
        <f t="shared" si="86"/>
        <v>55</v>
      </c>
      <c r="J460" s="340">
        <f t="shared" si="87"/>
        <v>0.15277777777777779</v>
      </c>
      <c r="K460" s="341">
        <f t="shared" si="88"/>
        <v>69.208333333333329</v>
      </c>
      <c r="L460" s="333">
        <f t="shared" si="89"/>
        <v>10143.964285714284</v>
      </c>
      <c r="M460" s="342">
        <f t="shared" si="90"/>
        <v>10144</v>
      </c>
      <c r="N460" s="343">
        <f t="shared" si="91"/>
        <v>69.208333333333314</v>
      </c>
      <c r="O460" s="343"/>
      <c r="P460" s="343">
        <f t="shared" si="92"/>
        <v>0</v>
      </c>
      <c r="Q460" s="344"/>
      <c r="R460" s="343">
        <f t="shared" si="93"/>
        <v>453.00000000000051</v>
      </c>
      <c r="S460" s="343">
        <f t="shared" si="94"/>
        <v>-5.1159076974727213E-13</v>
      </c>
      <c r="T460" s="343"/>
      <c r="U460" s="343">
        <f t="shared" ca="1" si="95"/>
        <v>1.0000000000000002</v>
      </c>
      <c r="V460" s="345">
        <f t="shared" si="96"/>
        <v>22.392857142857142</v>
      </c>
    </row>
    <row r="461" spans="2:22" x14ac:dyDescent="0.3">
      <c r="B461" s="246">
        <v>454</v>
      </c>
      <c r="C461" s="437">
        <f>B461*MechanicalData!$B$22/360</f>
        <v>69.361111111111114</v>
      </c>
      <c r="D461" s="437">
        <f>MechanicalData!$B$22</f>
        <v>55</v>
      </c>
      <c r="E461" s="248"/>
      <c r="F461" s="248"/>
      <c r="G461" s="437"/>
      <c r="H461" s="339">
        <f t="shared" si="85"/>
        <v>454</v>
      </c>
      <c r="I461" s="451">
        <f t="shared" si="86"/>
        <v>55</v>
      </c>
      <c r="J461" s="340">
        <f t="shared" si="87"/>
        <v>0.15277777777777779</v>
      </c>
      <c r="K461" s="341">
        <f t="shared" si="88"/>
        <v>69.361111111111114</v>
      </c>
      <c r="L461" s="333">
        <f t="shared" si="89"/>
        <v>10166.357142857143</v>
      </c>
      <c r="M461" s="342">
        <f t="shared" si="90"/>
        <v>10166</v>
      </c>
      <c r="N461" s="343">
        <f t="shared" si="91"/>
        <v>69.3611111111111</v>
      </c>
      <c r="O461" s="343"/>
      <c r="P461" s="343">
        <f t="shared" si="92"/>
        <v>0</v>
      </c>
      <c r="Q461" s="344"/>
      <c r="R461" s="343">
        <f t="shared" si="93"/>
        <v>454.00000000000057</v>
      </c>
      <c r="S461" s="343">
        <f t="shared" si="94"/>
        <v>-5.6843418860808015E-13</v>
      </c>
      <c r="T461" s="343"/>
      <c r="U461" s="343">
        <f t="shared" ca="1" si="95"/>
        <v>1.0000000000000002</v>
      </c>
      <c r="V461" s="345">
        <f t="shared" si="96"/>
        <v>22.392857142857142</v>
      </c>
    </row>
    <row r="462" spans="2:22" x14ac:dyDescent="0.3">
      <c r="B462" s="246">
        <v>455</v>
      </c>
      <c r="C462" s="437">
        <f>B462*MechanicalData!$B$22/360</f>
        <v>69.513888888888886</v>
      </c>
      <c r="D462" s="437">
        <f>MechanicalData!$B$22</f>
        <v>55</v>
      </c>
      <c r="E462" s="248"/>
      <c r="F462" s="248"/>
      <c r="G462" s="437"/>
      <c r="H462" s="339">
        <f t="shared" si="85"/>
        <v>455</v>
      </c>
      <c r="I462" s="451">
        <f t="shared" si="86"/>
        <v>55</v>
      </c>
      <c r="J462" s="340">
        <f t="shared" si="87"/>
        <v>0.15277777777777779</v>
      </c>
      <c r="K462" s="341">
        <f t="shared" si="88"/>
        <v>69.513888888888886</v>
      </c>
      <c r="L462" s="333">
        <f t="shared" si="89"/>
        <v>10188.75</v>
      </c>
      <c r="M462" s="342">
        <f t="shared" si="90"/>
        <v>10189</v>
      </c>
      <c r="N462" s="343">
        <f t="shared" si="91"/>
        <v>69.513888888888886</v>
      </c>
      <c r="O462" s="343"/>
      <c r="P462" s="343">
        <f t="shared" si="92"/>
        <v>0</v>
      </c>
      <c r="Q462" s="344"/>
      <c r="R462" s="343">
        <f t="shared" si="93"/>
        <v>455.00000000000057</v>
      </c>
      <c r="S462" s="343">
        <f t="shared" si="94"/>
        <v>-5.6843418860808015E-13</v>
      </c>
      <c r="T462" s="343"/>
      <c r="U462" s="343">
        <f t="shared" ca="1" si="95"/>
        <v>1.0000000000000002</v>
      </c>
      <c r="V462" s="345">
        <f t="shared" si="96"/>
        <v>22.392857142857142</v>
      </c>
    </row>
    <row r="463" spans="2:22" x14ac:dyDescent="0.3">
      <c r="B463" s="246">
        <v>456</v>
      </c>
      <c r="C463" s="437">
        <f>B463*MechanicalData!$B$22/360</f>
        <v>69.666666666666671</v>
      </c>
      <c r="D463" s="437">
        <f>MechanicalData!$B$22</f>
        <v>55</v>
      </c>
      <c r="E463" s="248"/>
      <c r="F463" s="248"/>
      <c r="G463" s="437"/>
      <c r="H463" s="339">
        <f t="shared" si="85"/>
        <v>456</v>
      </c>
      <c r="I463" s="451">
        <f t="shared" si="86"/>
        <v>55</v>
      </c>
      <c r="J463" s="340">
        <f t="shared" si="87"/>
        <v>0.15277777777777779</v>
      </c>
      <c r="K463" s="341">
        <f t="shared" si="88"/>
        <v>69.666666666666671</v>
      </c>
      <c r="L463" s="333">
        <f t="shared" si="89"/>
        <v>10211.142857142857</v>
      </c>
      <c r="M463" s="342">
        <f t="shared" si="90"/>
        <v>10211</v>
      </c>
      <c r="N463" s="343">
        <f t="shared" si="91"/>
        <v>69.666666666666657</v>
      </c>
      <c r="O463" s="343"/>
      <c r="P463" s="343">
        <f t="shared" si="92"/>
        <v>0</v>
      </c>
      <c r="Q463" s="344"/>
      <c r="R463" s="343">
        <f t="shared" si="93"/>
        <v>456.00000000000057</v>
      </c>
      <c r="S463" s="343">
        <f t="shared" si="94"/>
        <v>-5.6843418860808015E-13</v>
      </c>
      <c r="T463" s="343"/>
      <c r="U463" s="343">
        <f t="shared" ca="1" si="95"/>
        <v>1.0000000000000002</v>
      </c>
      <c r="V463" s="345">
        <f t="shared" si="96"/>
        <v>22.392857142857142</v>
      </c>
    </row>
    <row r="464" spans="2:22" x14ac:dyDescent="0.3">
      <c r="B464" s="246">
        <v>457</v>
      </c>
      <c r="C464" s="437">
        <f>B464*MechanicalData!$B$22/360</f>
        <v>69.819444444444443</v>
      </c>
      <c r="D464" s="437">
        <f>MechanicalData!$B$22</f>
        <v>55</v>
      </c>
      <c r="E464" s="248"/>
      <c r="F464" s="248"/>
      <c r="G464" s="437"/>
      <c r="H464" s="339">
        <f t="shared" si="85"/>
        <v>457</v>
      </c>
      <c r="I464" s="451">
        <f t="shared" si="86"/>
        <v>55</v>
      </c>
      <c r="J464" s="340">
        <f t="shared" si="87"/>
        <v>0.15277777777777779</v>
      </c>
      <c r="K464" s="341">
        <f t="shared" si="88"/>
        <v>69.819444444444443</v>
      </c>
      <c r="L464" s="333">
        <f t="shared" si="89"/>
        <v>10233.535714285714</v>
      </c>
      <c r="M464" s="342">
        <f t="shared" si="90"/>
        <v>10234</v>
      </c>
      <c r="N464" s="343">
        <f t="shared" si="91"/>
        <v>69.819444444444443</v>
      </c>
      <c r="O464" s="343"/>
      <c r="P464" s="343">
        <f t="shared" si="92"/>
        <v>0</v>
      </c>
      <c r="Q464" s="344"/>
      <c r="R464" s="343">
        <f t="shared" si="93"/>
        <v>457.00000000000051</v>
      </c>
      <c r="S464" s="343">
        <f t="shared" si="94"/>
        <v>-5.1159076974727213E-13</v>
      </c>
      <c r="T464" s="343"/>
      <c r="U464" s="343">
        <f t="shared" ca="1" si="95"/>
        <v>1.0000000000000002</v>
      </c>
      <c r="V464" s="345">
        <f t="shared" si="96"/>
        <v>22.392857142857142</v>
      </c>
    </row>
    <row r="465" spans="2:22" x14ac:dyDescent="0.3">
      <c r="B465" s="246">
        <v>458</v>
      </c>
      <c r="C465" s="437">
        <f>B465*MechanicalData!$B$22/360</f>
        <v>69.972222222222229</v>
      </c>
      <c r="D465" s="437">
        <f>MechanicalData!$B$22</f>
        <v>55</v>
      </c>
      <c r="E465" s="248"/>
      <c r="F465" s="248"/>
      <c r="G465" s="437"/>
      <c r="H465" s="339">
        <f t="shared" si="85"/>
        <v>458</v>
      </c>
      <c r="I465" s="451">
        <f t="shared" si="86"/>
        <v>55</v>
      </c>
      <c r="J465" s="340">
        <f t="shared" si="87"/>
        <v>0.15277777777777779</v>
      </c>
      <c r="K465" s="341">
        <f t="shared" si="88"/>
        <v>69.972222222222229</v>
      </c>
      <c r="L465" s="333">
        <f t="shared" si="89"/>
        <v>10255.928571428572</v>
      </c>
      <c r="M465" s="342">
        <f t="shared" si="90"/>
        <v>10256</v>
      </c>
      <c r="N465" s="343">
        <f t="shared" si="91"/>
        <v>69.972222222222229</v>
      </c>
      <c r="O465" s="343"/>
      <c r="P465" s="343">
        <f t="shared" si="92"/>
        <v>0</v>
      </c>
      <c r="Q465" s="344"/>
      <c r="R465" s="343">
        <f t="shared" si="93"/>
        <v>458.00000000000063</v>
      </c>
      <c r="S465" s="343">
        <f t="shared" si="94"/>
        <v>-6.2527760746888816E-13</v>
      </c>
      <c r="T465" s="343"/>
      <c r="U465" s="343">
        <f t="shared" ca="1" si="95"/>
        <v>1.0000000000000002</v>
      </c>
      <c r="V465" s="345">
        <f t="shared" si="96"/>
        <v>22.392857142857142</v>
      </c>
    </row>
    <row r="466" spans="2:22" x14ac:dyDescent="0.3">
      <c r="B466" s="246">
        <v>459</v>
      </c>
      <c r="C466" s="437">
        <f>B466*MechanicalData!$B$22/360</f>
        <v>70.125</v>
      </c>
      <c r="D466" s="437">
        <f>MechanicalData!$B$22</f>
        <v>55</v>
      </c>
      <c r="E466" s="248"/>
      <c r="F466" s="248"/>
      <c r="G466" s="437"/>
      <c r="H466" s="339">
        <f t="shared" si="85"/>
        <v>459</v>
      </c>
      <c r="I466" s="451">
        <f t="shared" si="86"/>
        <v>55</v>
      </c>
      <c r="J466" s="340">
        <f t="shared" si="87"/>
        <v>0.15277777777777779</v>
      </c>
      <c r="K466" s="341">
        <f t="shared" si="88"/>
        <v>70.125</v>
      </c>
      <c r="L466" s="333">
        <f t="shared" si="89"/>
        <v>10278.321428571428</v>
      </c>
      <c r="M466" s="342">
        <f t="shared" si="90"/>
        <v>10278</v>
      </c>
      <c r="N466" s="343">
        <f t="shared" si="91"/>
        <v>70.124999999999986</v>
      </c>
      <c r="O466" s="343"/>
      <c r="P466" s="343">
        <f t="shared" si="92"/>
        <v>0</v>
      </c>
      <c r="Q466" s="344"/>
      <c r="R466" s="343">
        <f t="shared" si="93"/>
        <v>459.00000000000051</v>
      </c>
      <c r="S466" s="343">
        <f t="shared" si="94"/>
        <v>-5.1159076974727213E-13</v>
      </c>
      <c r="T466" s="343"/>
      <c r="U466" s="343">
        <f t="shared" ca="1" si="95"/>
        <v>1.0000000000000002</v>
      </c>
      <c r="V466" s="345">
        <f t="shared" si="96"/>
        <v>22.392857142857142</v>
      </c>
    </row>
    <row r="467" spans="2:22" x14ac:dyDescent="0.3">
      <c r="B467" s="246">
        <v>460</v>
      </c>
      <c r="C467" s="437">
        <f>B467*MechanicalData!$B$22/360</f>
        <v>70.277777777777771</v>
      </c>
      <c r="D467" s="437">
        <f>MechanicalData!$B$22</f>
        <v>55</v>
      </c>
      <c r="E467" s="248"/>
      <c r="F467" s="248"/>
      <c r="G467" s="437"/>
      <c r="H467" s="339">
        <f t="shared" si="85"/>
        <v>460</v>
      </c>
      <c r="I467" s="451">
        <f t="shared" si="86"/>
        <v>55</v>
      </c>
      <c r="J467" s="340">
        <f t="shared" si="87"/>
        <v>0.15277777777777779</v>
      </c>
      <c r="K467" s="341">
        <f t="shared" si="88"/>
        <v>70.277777777777771</v>
      </c>
      <c r="L467" s="333">
        <f t="shared" si="89"/>
        <v>10300.714285714284</v>
      </c>
      <c r="M467" s="342">
        <f t="shared" si="90"/>
        <v>10301</v>
      </c>
      <c r="N467" s="343">
        <f t="shared" si="91"/>
        <v>70.277777777777771</v>
      </c>
      <c r="O467" s="343"/>
      <c r="P467" s="343">
        <f t="shared" si="92"/>
        <v>0</v>
      </c>
      <c r="Q467" s="344"/>
      <c r="R467" s="343">
        <f t="shared" si="93"/>
        <v>460.00000000000057</v>
      </c>
      <c r="S467" s="343">
        <f t="shared" si="94"/>
        <v>-5.6843418860808015E-13</v>
      </c>
      <c r="T467" s="343"/>
      <c r="U467" s="343">
        <f t="shared" ca="1" si="95"/>
        <v>1.0000000000000002</v>
      </c>
      <c r="V467" s="345">
        <f t="shared" si="96"/>
        <v>22.392857142857142</v>
      </c>
    </row>
    <row r="468" spans="2:22" x14ac:dyDescent="0.3">
      <c r="B468" s="246">
        <v>461</v>
      </c>
      <c r="C468" s="437">
        <f>B468*MechanicalData!$B$22/360</f>
        <v>70.430555555555557</v>
      </c>
      <c r="D468" s="437">
        <f>MechanicalData!$B$22</f>
        <v>55</v>
      </c>
      <c r="E468" s="248"/>
      <c r="F468" s="248"/>
      <c r="G468" s="437"/>
      <c r="H468" s="339">
        <f t="shared" si="85"/>
        <v>461</v>
      </c>
      <c r="I468" s="451">
        <f t="shared" si="86"/>
        <v>55</v>
      </c>
      <c r="J468" s="340">
        <f t="shared" si="87"/>
        <v>0.15277777777777779</v>
      </c>
      <c r="K468" s="341">
        <f t="shared" si="88"/>
        <v>70.430555555555557</v>
      </c>
      <c r="L468" s="333">
        <f t="shared" si="89"/>
        <v>10323.107142857143</v>
      </c>
      <c r="M468" s="342">
        <f t="shared" si="90"/>
        <v>10323</v>
      </c>
      <c r="N468" s="343">
        <f t="shared" si="91"/>
        <v>70.430555555555557</v>
      </c>
      <c r="O468" s="343"/>
      <c r="P468" s="343">
        <f t="shared" si="92"/>
        <v>0</v>
      </c>
      <c r="Q468" s="344"/>
      <c r="R468" s="343">
        <f t="shared" si="93"/>
        <v>461.00000000000057</v>
      </c>
      <c r="S468" s="343">
        <f t="shared" si="94"/>
        <v>-5.6843418860808015E-13</v>
      </c>
      <c r="T468" s="343"/>
      <c r="U468" s="343">
        <f t="shared" ca="1" si="95"/>
        <v>1.0000000000000002</v>
      </c>
      <c r="V468" s="345">
        <f t="shared" si="96"/>
        <v>22.392857142857142</v>
      </c>
    </row>
    <row r="469" spans="2:22" x14ac:dyDescent="0.3">
      <c r="B469" s="246">
        <v>462</v>
      </c>
      <c r="C469" s="437">
        <f>B469*MechanicalData!$B$22/360</f>
        <v>70.583333333333329</v>
      </c>
      <c r="D469" s="437">
        <f>MechanicalData!$B$22</f>
        <v>55</v>
      </c>
      <c r="E469" s="248"/>
      <c r="F469" s="248"/>
      <c r="G469" s="437"/>
      <c r="H469" s="339">
        <f t="shared" si="85"/>
        <v>462</v>
      </c>
      <c r="I469" s="451">
        <f t="shared" si="86"/>
        <v>55</v>
      </c>
      <c r="J469" s="340">
        <f t="shared" si="87"/>
        <v>0.15277777777777779</v>
      </c>
      <c r="K469" s="341">
        <f t="shared" si="88"/>
        <v>70.583333333333329</v>
      </c>
      <c r="L469" s="333">
        <f t="shared" si="89"/>
        <v>10345.499999999998</v>
      </c>
      <c r="M469" s="342">
        <f t="shared" si="90"/>
        <v>10346</v>
      </c>
      <c r="N469" s="343">
        <f t="shared" si="91"/>
        <v>70.583333333333314</v>
      </c>
      <c r="O469" s="343"/>
      <c r="P469" s="343">
        <f t="shared" si="92"/>
        <v>0</v>
      </c>
      <c r="Q469" s="344"/>
      <c r="R469" s="343">
        <f t="shared" si="93"/>
        <v>462.00000000000051</v>
      </c>
      <c r="S469" s="343">
        <f t="shared" si="94"/>
        <v>-5.1159076974727213E-13</v>
      </c>
      <c r="T469" s="343"/>
      <c r="U469" s="343">
        <f t="shared" ca="1" si="95"/>
        <v>1.0000000000000002</v>
      </c>
      <c r="V469" s="345">
        <f t="shared" si="96"/>
        <v>22.392857142857142</v>
      </c>
    </row>
    <row r="470" spans="2:22" x14ac:dyDescent="0.3">
      <c r="B470" s="246">
        <v>463</v>
      </c>
      <c r="C470" s="437">
        <f>B470*MechanicalData!$B$22/360</f>
        <v>70.736111111111114</v>
      </c>
      <c r="D470" s="437">
        <f>MechanicalData!$B$22</f>
        <v>55</v>
      </c>
      <c r="E470" s="248"/>
      <c r="F470" s="248"/>
      <c r="G470" s="437"/>
      <c r="H470" s="339">
        <f t="shared" si="85"/>
        <v>463</v>
      </c>
      <c r="I470" s="451">
        <f t="shared" si="86"/>
        <v>55</v>
      </c>
      <c r="J470" s="340">
        <f t="shared" si="87"/>
        <v>0.15277777777777779</v>
      </c>
      <c r="K470" s="341">
        <f t="shared" si="88"/>
        <v>70.736111111111114</v>
      </c>
      <c r="L470" s="333">
        <f t="shared" si="89"/>
        <v>10367.892857142857</v>
      </c>
      <c r="M470" s="342">
        <f t="shared" si="90"/>
        <v>10368</v>
      </c>
      <c r="N470" s="343">
        <f t="shared" si="91"/>
        <v>70.7361111111111</v>
      </c>
      <c r="O470" s="343"/>
      <c r="P470" s="343">
        <f t="shared" si="92"/>
        <v>0</v>
      </c>
      <c r="Q470" s="344"/>
      <c r="R470" s="343">
        <f t="shared" si="93"/>
        <v>463.00000000000057</v>
      </c>
      <c r="S470" s="343">
        <f t="shared" si="94"/>
        <v>-5.6843418860808015E-13</v>
      </c>
      <c r="T470" s="343"/>
      <c r="U470" s="343">
        <f t="shared" ca="1" si="95"/>
        <v>1.0000000000000002</v>
      </c>
      <c r="V470" s="345">
        <f t="shared" si="96"/>
        <v>22.392857142857142</v>
      </c>
    </row>
    <row r="471" spans="2:22" x14ac:dyDescent="0.3">
      <c r="B471" s="246">
        <v>464</v>
      </c>
      <c r="C471" s="437">
        <f>B471*MechanicalData!$B$22/360</f>
        <v>70.888888888888886</v>
      </c>
      <c r="D471" s="437">
        <f>MechanicalData!$B$22</f>
        <v>55</v>
      </c>
      <c r="E471" s="248"/>
      <c r="F471" s="248"/>
      <c r="G471" s="437"/>
      <c r="H471" s="339">
        <f t="shared" si="85"/>
        <v>464</v>
      </c>
      <c r="I471" s="451">
        <f t="shared" si="86"/>
        <v>55</v>
      </c>
      <c r="J471" s="340">
        <f t="shared" si="87"/>
        <v>0.15277777777777779</v>
      </c>
      <c r="K471" s="341">
        <f t="shared" si="88"/>
        <v>70.888888888888886</v>
      </c>
      <c r="L471" s="333">
        <f t="shared" si="89"/>
        <v>10390.285714285714</v>
      </c>
      <c r="M471" s="342">
        <f t="shared" si="90"/>
        <v>10390</v>
      </c>
      <c r="N471" s="343">
        <f t="shared" si="91"/>
        <v>70.888888888888886</v>
      </c>
      <c r="O471" s="343"/>
      <c r="P471" s="343">
        <f t="shared" si="92"/>
        <v>0</v>
      </c>
      <c r="Q471" s="344"/>
      <c r="R471" s="343">
        <f t="shared" si="93"/>
        <v>464.00000000000057</v>
      </c>
      <c r="S471" s="343">
        <f t="shared" si="94"/>
        <v>-5.6843418860808015E-13</v>
      </c>
      <c r="T471" s="343"/>
      <c r="U471" s="343">
        <f t="shared" ca="1" si="95"/>
        <v>1.0000000000000002</v>
      </c>
      <c r="V471" s="345">
        <f t="shared" si="96"/>
        <v>22.392857142857142</v>
      </c>
    </row>
    <row r="472" spans="2:22" x14ac:dyDescent="0.3">
      <c r="B472" s="246">
        <v>465</v>
      </c>
      <c r="C472" s="437">
        <f>B472*MechanicalData!$B$22/360</f>
        <v>71.041666666666671</v>
      </c>
      <c r="D472" s="437">
        <f>MechanicalData!$B$22</f>
        <v>55</v>
      </c>
      <c r="E472" s="248"/>
      <c r="F472" s="248"/>
      <c r="G472" s="437"/>
      <c r="H472" s="339">
        <f t="shared" si="85"/>
        <v>465</v>
      </c>
      <c r="I472" s="451">
        <f t="shared" si="86"/>
        <v>55</v>
      </c>
      <c r="J472" s="340">
        <f t="shared" si="87"/>
        <v>0.15277777777777779</v>
      </c>
      <c r="K472" s="341">
        <f t="shared" si="88"/>
        <v>71.041666666666671</v>
      </c>
      <c r="L472" s="333">
        <f t="shared" si="89"/>
        <v>10412.678571428571</v>
      </c>
      <c r="M472" s="342">
        <f t="shared" si="90"/>
        <v>10413</v>
      </c>
      <c r="N472" s="343">
        <f t="shared" si="91"/>
        <v>71.041666666666657</v>
      </c>
      <c r="O472" s="343"/>
      <c r="P472" s="343">
        <f t="shared" si="92"/>
        <v>0</v>
      </c>
      <c r="Q472" s="344"/>
      <c r="R472" s="343">
        <f t="shared" si="93"/>
        <v>465.00000000000051</v>
      </c>
      <c r="S472" s="343">
        <f t="shared" si="94"/>
        <v>-5.1159076974727213E-13</v>
      </c>
      <c r="T472" s="343"/>
      <c r="U472" s="343">
        <f t="shared" ca="1" si="95"/>
        <v>1.0000000000000002</v>
      </c>
      <c r="V472" s="345">
        <f t="shared" si="96"/>
        <v>22.392857142857142</v>
      </c>
    </row>
    <row r="473" spans="2:22" x14ac:dyDescent="0.3">
      <c r="B473" s="246">
        <v>466</v>
      </c>
      <c r="C473" s="437">
        <f>B473*MechanicalData!$B$22/360</f>
        <v>71.194444444444443</v>
      </c>
      <c r="D473" s="437">
        <f>MechanicalData!$B$22</f>
        <v>55</v>
      </c>
      <c r="E473" s="248"/>
      <c r="F473" s="248"/>
      <c r="G473" s="437"/>
      <c r="H473" s="339">
        <f t="shared" si="85"/>
        <v>466</v>
      </c>
      <c r="I473" s="451">
        <f t="shared" si="86"/>
        <v>55</v>
      </c>
      <c r="J473" s="340">
        <f t="shared" si="87"/>
        <v>0.15277777777777779</v>
      </c>
      <c r="K473" s="341">
        <f t="shared" si="88"/>
        <v>71.194444444444443</v>
      </c>
      <c r="L473" s="333">
        <f t="shared" si="89"/>
        <v>10435.071428571428</v>
      </c>
      <c r="M473" s="342">
        <f t="shared" si="90"/>
        <v>10435</v>
      </c>
      <c r="N473" s="343">
        <f t="shared" si="91"/>
        <v>71.194444444444429</v>
      </c>
      <c r="O473" s="343"/>
      <c r="P473" s="343">
        <f t="shared" si="92"/>
        <v>0</v>
      </c>
      <c r="Q473" s="344"/>
      <c r="R473" s="343">
        <f t="shared" si="93"/>
        <v>466.00000000000051</v>
      </c>
      <c r="S473" s="343">
        <f t="shared" si="94"/>
        <v>-5.1159076974727213E-13</v>
      </c>
      <c r="T473" s="343"/>
      <c r="U473" s="343">
        <f t="shared" ca="1" si="95"/>
        <v>1.0000000000000002</v>
      </c>
      <c r="V473" s="345">
        <f t="shared" si="96"/>
        <v>22.392857142857142</v>
      </c>
    </row>
    <row r="474" spans="2:22" x14ac:dyDescent="0.3">
      <c r="B474" s="246">
        <v>467</v>
      </c>
      <c r="C474" s="437">
        <f>B474*MechanicalData!$B$22/360</f>
        <v>71.347222222222229</v>
      </c>
      <c r="D474" s="437">
        <f>MechanicalData!$B$22</f>
        <v>55</v>
      </c>
      <c r="E474" s="248"/>
      <c r="F474" s="248"/>
      <c r="G474" s="437"/>
      <c r="H474" s="339">
        <f t="shared" si="85"/>
        <v>467</v>
      </c>
      <c r="I474" s="451">
        <f t="shared" si="86"/>
        <v>55</v>
      </c>
      <c r="J474" s="340">
        <f t="shared" si="87"/>
        <v>0.15277777777777779</v>
      </c>
      <c r="K474" s="341">
        <f t="shared" si="88"/>
        <v>71.347222222222229</v>
      </c>
      <c r="L474" s="333">
        <f t="shared" si="89"/>
        <v>10457.464285714286</v>
      </c>
      <c r="M474" s="342">
        <f t="shared" si="90"/>
        <v>10457</v>
      </c>
      <c r="N474" s="343">
        <f t="shared" si="91"/>
        <v>71.347222222222214</v>
      </c>
      <c r="O474" s="343"/>
      <c r="P474" s="343">
        <f t="shared" si="92"/>
        <v>0</v>
      </c>
      <c r="Q474" s="344"/>
      <c r="R474" s="343">
        <f t="shared" si="93"/>
        <v>467.00000000000063</v>
      </c>
      <c r="S474" s="343">
        <f t="shared" si="94"/>
        <v>-6.2527760746888816E-13</v>
      </c>
      <c r="T474" s="343"/>
      <c r="U474" s="343">
        <f t="shared" ca="1" si="95"/>
        <v>1.0000000000000002</v>
      </c>
      <c r="V474" s="345">
        <f t="shared" si="96"/>
        <v>22.392857142857142</v>
      </c>
    </row>
    <row r="475" spans="2:22" x14ac:dyDescent="0.3">
      <c r="B475" s="246">
        <v>468</v>
      </c>
      <c r="C475" s="437">
        <f>B475*MechanicalData!$B$22/360</f>
        <v>71.5</v>
      </c>
      <c r="D475" s="437">
        <f>MechanicalData!$B$22</f>
        <v>55</v>
      </c>
      <c r="E475" s="248"/>
      <c r="F475" s="248"/>
      <c r="G475" s="437"/>
      <c r="H475" s="339">
        <f t="shared" si="85"/>
        <v>468</v>
      </c>
      <c r="I475" s="451">
        <f t="shared" si="86"/>
        <v>55</v>
      </c>
      <c r="J475" s="340">
        <f t="shared" si="87"/>
        <v>0.15277777777777779</v>
      </c>
      <c r="K475" s="341">
        <f t="shared" si="88"/>
        <v>71.5</v>
      </c>
      <c r="L475" s="333">
        <f t="shared" si="89"/>
        <v>10479.857142857143</v>
      </c>
      <c r="M475" s="342">
        <f t="shared" si="90"/>
        <v>10480</v>
      </c>
      <c r="N475" s="343">
        <f t="shared" si="91"/>
        <v>71.5</v>
      </c>
      <c r="O475" s="343"/>
      <c r="P475" s="343">
        <f t="shared" si="92"/>
        <v>0</v>
      </c>
      <c r="Q475" s="344"/>
      <c r="R475" s="343">
        <f t="shared" si="93"/>
        <v>468.00000000000063</v>
      </c>
      <c r="S475" s="343">
        <f t="shared" si="94"/>
        <v>-6.2527760746888816E-13</v>
      </c>
      <c r="T475" s="343"/>
      <c r="U475" s="343">
        <f t="shared" ca="1" si="95"/>
        <v>1.0000000000000002</v>
      </c>
      <c r="V475" s="345">
        <f t="shared" si="96"/>
        <v>22.392857142857142</v>
      </c>
    </row>
    <row r="476" spans="2:22" x14ac:dyDescent="0.3">
      <c r="B476" s="246">
        <v>469</v>
      </c>
      <c r="C476" s="437">
        <f>B476*MechanicalData!$B$22/360</f>
        <v>71.652777777777771</v>
      </c>
      <c r="D476" s="437">
        <f>MechanicalData!$B$22</f>
        <v>55</v>
      </c>
      <c r="E476" s="248"/>
      <c r="F476" s="248"/>
      <c r="G476" s="437"/>
      <c r="H476" s="339">
        <f t="shared" si="85"/>
        <v>469</v>
      </c>
      <c r="I476" s="451">
        <f t="shared" si="86"/>
        <v>55</v>
      </c>
      <c r="J476" s="340">
        <f t="shared" si="87"/>
        <v>0.15277777777777779</v>
      </c>
      <c r="K476" s="341">
        <f t="shared" si="88"/>
        <v>71.652777777777771</v>
      </c>
      <c r="L476" s="333">
        <f t="shared" si="89"/>
        <v>10502.249999999998</v>
      </c>
      <c r="M476" s="342">
        <f t="shared" si="90"/>
        <v>10502</v>
      </c>
      <c r="N476" s="343">
        <f t="shared" si="91"/>
        <v>71.652777777777757</v>
      </c>
      <c r="O476" s="343"/>
      <c r="P476" s="343">
        <f t="shared" si="92"/>
        <v>0</v>
      </c>
      <c r="Q476" s="344"/>
      <c r="R476" s="343">
        <f t="shared" si="93"/>
        <v>469.00000000000051</v>
      </c>
      <c r="S476" s="343">
        <f t="shared" si="94"/>
        <v>-5.1159076974727213E-13</v>
      </c>
      <c r="T476" s="343"/>
      <c r="U476" s="343">
        <f t="shared" ca="1" si="95"/>
        <v>1.0000000000000002</v>
      </c>
      <c r="V476" s="345">
        <f t="shared" si="96"/>
        <v>22.392857142857142</v>
      </c>
    </row>
    <row r="477" spans="2:22" x14ac:dyDescent="0.3">
      <c r="B477" s="246">
        <v>470</v>
      </c>
      <c r="C477" s="437">
        <f>B477*MechanicalData!$B$22/360</f>
        <v>71.805555555555557</v>
      </c>
      <c r="D477" s="437">
        <f>MechanicalData!$B$22</f>
        <v>55</v>
      </c>
      <c r="E477" s="248"/>
      <c r="F477" s="248"/>
      <c r="G477" s="437"/>
      <c r="H477" s="339">
        <f t="shared" si="85"/>
        <v>470</v>
      </c>
      <c r="I477" s="451">
        <f t="shared" si="86"/>
        <v>55</v>
      </c>
      <c r="J477" s="340">
        <f t="shared" si="87"/>
        <v>0.15277777777777779</v>
      </c>
      <c r="K477" s="341">
        <f t="shared" si="88"/>
        <v>71.805555555555557</v>
      </c>
      <c r="L477" s="333">
        <f t="shared" si="89"/>
        <v>10524.642857142857</v>
      </c>
      <c r="M477" s="342">
        <f t="shared" si="90"/>
        <v>10525</v>
      </c>
      <c r="N477" s="343">
        <f t="shared" si="91"/>
        <v>71.805555555555543</v>
      </c>
      <c r="O477" s="343"/>
      <c r="P477" s="343">
        <f t="shared" si="92"/>
        <v>0</v>
      </c>
      <c r="Q477" s="344"/>
      <c r="R477" s="343">
        <f t="shared" si="93"/>
        <v>470.00000000000057</v>
      </c>
      <c r="S477" s="343">
        <f t="shared" si="94"/>
        <v>-5.6843418860808015E-13</v>
      </c>
      <c r="T477" s="343"/>
      <c r="U477" s="343">
        <f t="shared" ca="1" si="95"/>
        <v>1.0000000000000002</v>
      </c>
      <c r="V477" s="345">
        <f t="shared" si="96"/>
        <v>22.392857142857142</v>
      </c>
    </row>
    <row r="478" spans="2:22" x14ac:dyDescent="0.3">
      <c r="B478" s="246">
        <v>471</v>
      </c>
      <c r="C478" s="437">
        <f>B478*MechanicalData!$B$22/360</f>
        <v>71.958333333333329</v>
      </c>
      <c r="D478" s="437">
        <f>MechanicalData!$B$22</f>
        <v>55</v>
      </c>
      <c r="E478" s="248"/>
      <c r="F478" s="248"/>
      <c r="G478" s="437"/>
      <c r="H478" s="339">
        <f t="shared" si="85"/>
        <v>471</v>
      </c>
      <c r="I478" s="451">
        <f t="shared" si="86"/>
        <v>55</v>
      </c>
      <c r="J478" s="340">
        <f t="shared" si="87"/>
        <v>0.15277777777777779</v>
      </c>
      <c r="K478" s="341">
        <f t="shared" si="88"/>
        <v>71.958333333333329</v>
      </c>
      <c r="L478" s="333">
        <f t="shared" si="89"/>
        <v>10547.035714285714</v>
      </c>
      <c r="M478" s="342">
        <f t="shared" si="90"/>
        <v>10547</v>
      </c>
      <c r="N478" s="343">
        <f t="shared" si="91"/>
        <v>71.958333333333329</v>
      </c>
      <c r="O478" s="343"/>
      <c r="P478" s="343">
        <f t="shared" si="92"/>
        <v>0</v>
      </c>
      <c r="Q478" s="344"/>
      <c r="R478" s="343">
        <f t="shared" si="93"/>
        <v>471.00000000000057</v>
      </c>
      <c r="S478" s="343">
        <f t="shared" si="94"/>
        <v>-5.6843418860808015E-13</v>
      </c>
      <c r="T478" s="343"/>
      <c r="U478" s="343">
        <f t="shared" ca="1" si="95"/>
        <v>1.0000000000000002</v>
      </c>
      <c r="V478" s="345">
        <f t="shared" si="96"/>
        <v>22.392857142857142</v>
      </c>
    </row>
    <row r="479" spans="2:22" x14ac:dyDescent="0.3">
      <c r="B479" s="246">
        <v>472</v>
      </c>
      <c r="C479" s="437">
        <f>B479*MechanicalData!$B$22/360</f>
        <v>72.111111111111114</v>
      </c>
      <c r="D479" s="437">
        <f>MechanicalData!$B$22</f>
        <v>55</v>
      </c>
      <c r="E479" s="248"/>
      <c r="F479" s="248"/>
      <c r="G479" s="437"/>
      <c r="H479" s="339">
        <f t="shared" si="85"/>
        <v>472</v>
      </c>
      <c r="I479" s="451">
        <f t="shared" si="86"/>
        <v>55</v>
      </c>
      <c r="J479" s="340">
        <f t="shared" si="87"/>
        <v>0.15277777777777779</v>
      </c>
      <c r="K479" s="341">
        <f t="shared" si="88"/>
        <v>72.111111111111114</v>
      </c>
      <c r="L479" s="333">
        <f t="shared" si="89"/>
        <v>10569.428571428572</v>
      </c>
      <c r="M479" s="342">
        <f t="shared" si="90"/>
        <v>10569</v>
      </c>
      <c r="N479" s="343">
        <f t="shared" si="91"/>
        <v>72.111111111111114</v>
      </c>
      <c r="O479" s="343"/>
      <c r="P479" s="343">
        <f t="shared" si="92"/>
        <v>0</v>
      </c>
      <c r="Q479" s="344"/>
      <c r="R479" s="343">
        <f t="shared" si="93"/>
        <v>472.00000000000068</v>
      </c>
      <c r="S479" s="343">
        <f t="shared" si="94"/>
        <v>-6.8212102632969618E-13</v>
      </c>
      <c r="T479" s="343"/>
      <c r="U479" s="343">
        <f t="shared" ca="1" si="95"/>
        <v>1.0000000000000002</v>
      </c>
      <c r="V479" s="345">
        <f t="shared" si="96"/>
        <v>22.392857142857142</v>
      </c>
    </row>
    <row r="480" spans="2:22" x14ac:dyDescent="0.3">
      <c r="B480" s="246">
        <v>473</v>
      </c>
      <c r="C480" s="437">
        <f>B480*MechanicalData!$B$22/360</f>
        <v>72.263888888888886</v>
      </c>
      <c r="D480" s="437">
        <f>MechanicalData!$B$22</f>
        <v>55</v>
      </c>
      <c r="E480" s="248"/>
      <c r="F480" s="248"/>
      <c r="G480" s="437"/>
      <c r="H480" s="339">
        <f t="shared" si="85"/>
        <v>473</v>
      </c>
      <c r="I480" s="451">
        <f t="shared" si="86"/>
        <v>55</v>
      </c>
      <c r="J480" s="340">
        <f t="shared" si="87"/>
        <v>0.15277777777777779</v>
      </c>
      <c r="K480" s="341">
        <f t="shared" si="88"/>
        <v>72.263888888888886</v>
      </c>
      <c r="L480" s="333">
        <f t="shared" si="89"/>
        <v>10591.821428571428</v>
      </c>
      <c r="M480" s="342">
        <f t="shared" si="90"/>
        <v>10592</v>
      </c>
      <c r="N480" s="343">
        <f t="shared" si="91"/>
        <v>72.263888888888872</v>
      </c>
      <c r="O480" s="343"/>
      <c r="P480" s="343">
        <f t="shared" si="92"/>
        <v>0</v>
      </c>
      <c r="Q480" s="344"/>
      <c r="R480" s="343">
        <f t="shared" si="93"/>
        <v>473.00000000000051</v>
      </c>
      <c r="S480" s="343">
        <f t="shared" si="94"/>
        <v>-5.1159076974727213E-13</v>
      </c>
      <c r="T480" s="343"/>
      <c r="U480" s="343">
        <f t="shared" ca="1" si="95"/>
        <v>1.0000000000000002</v>
      </c>
      <c r="V480" s="345">
        <f t="shared" si="96"/>
        <v>22.392857142857142</v>
      </c>
    </row>
    <row r="481" spans="2:22" x14ac:dyDescent="0.3">
      <c r="B481" s="246">
        <v>474</v>
      </c>
      <c r="C481" s="437">
        <f>B481*MechanicalData!$B$22/360</f>
        <v>72.416666666666671</v>
      </c>
      <c r="D481" s="437">
        <f>MechanicalData!$B$22</f>
        <v>55</v>
      </c>
      <c r="E481" s="248"/>
      <c r="F481" s="248"/>
      <c r="G481" s="437"/>
      <c r="H481" s="339">
        <f t="shared" si="85"/>
        <v>474</v>
      </c>
      <c r="I481" s="451">
        <f t="shared" si="86"/>
        <v>55</v>
      </c>
      <c r="J481" s="340">
        <f t="shared" si="87"/>
        <v>0.15277777777777779</v>
      </c>
      <c r="K481" s="341">
        <f t="shared" si="88"/>
        <v>72.416666666666671</v>
      </c>
      <c r="L481" s="333">
        <f t="shared" si="89"/>
        <v>10614.214285714286</v>
      </c>
      <c r="M481" s="342">
        <f t="shared" si="90"/>
        <v>10614</v>
      </c>
      <c r="N481" s="343">
        <f t="shared" si="91"/>
        <v>72.416666666666657</v>
      </c>
      <c r="O481" s="343"/>
      <c r="P481" s="343">
        <f t="shared" si="92"/>
        <v>0</v>
      </c>
      <c r="Q481" s="344"/>
      <c r="R481" s="343">
        <f t="shared" si="93"/>
        <v>474.00000000000063</v>
      </c>
      <c r="S481" s="343">
        <f t="shared" si="94"/>
        <v>-6.2527760746888816E-13</v>
      </c>
      <c r="T481" s="343"/>
      <c r="U481" s="343">
        <f t="shared" ca="1" si="95"/>
        <v>1.0000000000000002</v>
      </c>
      <c r="V481" s="345">
        <f t="shared" si="96"/>
        <v>22.392857142857142</v>
      </c>
    </row>
    <row r="482" spans="2:22" x14ac:dyDescent="0.3">
      <c r="B482" s="246">
        <v>475</v>
      </c>
      <c r="C482" s="437">
        <f>B482*MechanicalData!$B$22/360</f>
        <v>72.569444444444443</v>
      </c>
      <c r="D482" s="437">
        <f>MechanicalData!$B$22</f>
        <v>55</v>
      </c>
      <c r="E482" s="248"/>
      <c r="F482" s="248"/>
      <c r="G482" s="437"/>
      <c r="H482" s="339">
        <f t="shared" si="85"/>
        <v>475</v>
      </c>
      <c r="I482" s="451">
        <f t="shared" si="86"/>
        <v>55</v>
      </c>
      <c r="J482" s="340">
        <f t="shared" si="87"/>
        <v>0.15277777777777779</v>
      </c>
      <c r="K482" s="341">
        <f t="shared" si="88"/>
        <v>72.569444444444443</v>
      </c>
      <c r="L482" s="333">
        <f t="shared" si="89"/>
        <v>10636.607142857141</v>
      </c>
      <c r="M482" s="342">
        <f t="shared" si="90"/>
        <v>10637</v>
      </c>
      <c r="N482" s="343">
        <f t="shared" si="91"/>
        <v>72.569444444444429</v>
      </c>
      <c r="O482" s="343"/>
      <c r="P482" s="343">
        <f t="shared" si="92"/>
        <v>0</v>
      </c>
      <c r="Q482" s="344"/>
      <c r="R482" s="343">
        <f t="shared" si="93"/>
        <v>475.00000000000057</v>
      </c>
      <c r="S482" s="343">
        <f t="shared" si="94"/>
        <v>-5.6843418860808015E-13</v>
      </c>
      <c r="T482" s="343"/>
      <c r="U482" s="343">
        <f t="shared" ca="1" si="95"/>
        <v>1.0000000000000002</v>
      </c>
      <c r="V482" s="345">
        <f t="shared" si="96"/>
        <v>22.392857142857142</v>
      </c>
    </row>
    <row r="483" spans="2:22" x14ac:dyDescent="0.3">
      <c r="B483" s="246">
        <v>476</v>
      </c>
      <c r="C483" s="437">
        <f>B483*MechanicalData!$B$22/360</f>
        <v>72.722222222222229</v>
      </c>
      <c r="D483" s="437">
        <f>MechanicalData!$B$22</f>
        <v>55</v>
      </c>
      <c r="E483" s="248"/>
      <c r="F483" s="248"/>
      <c r="G483" s="437"/>
      <c r="H483" s="339">
        <f t="shared" si="85"/>
        <v>476</v>
      </c>
      <c r="I483" s="451">
        <f t="shared" si="86"/>
        <v>55</v>
      </c>
      <c r="J483" s="340">
        <f t="shared" si="87"/>
        <v>0.15277777777777779</v>
      </c>
      <c r="K483" s="341">
        <f t="shared" si="88"/>
        <v>72.722222222222229</v>
      </c>
      <c r="L483" s="333">
        <f t="shared" si="89"/>
        <v>10659</v>
      </c>
      <c r="M483" s="342">
        <f t="shared" si="90"/>
        <v>10659</v>
      </c>
      <c r="N483" s="343">
        <f t="shared" si="91"/>
        <v>72.722222222222214</v>
      </c>
      <c r="O483" s="343"/>
      <c r="P483" s="343">
        <f t="shared" si="92"/>
        <v>0</v>
      </c>
      <c r="Q483" s="344"/>
      <c r="R483" s="343">
        <f t="shared" si="93"/>
        <v>476.00000000000057</v>
      </c>
      <c r="S483" s="343">
        <f t="shared" si="94"/>
        <v>-5.6843418860808015E-13</v>
      </c>
      <c r="T483" s="343"/>
      <c r="U483" s="343">
        <f t="shared" ca="1" si="95"/>
        <v>1.0000000000000002</v>
      </c>
      <c r="V483" s="345">
        <f t="shared" si="96"/>
        <v>22.392857142857142</v>
      </c>
    </row>
    <row r="484" spans="2:22" x14ac:dyDescent="0.3">
      <c r="B484" s="246">
        <v>477</v>
      </c>
      <c r="C484" s="437">
        <f>B484*MechanicalData!$B$22/360</f>
        <v>72.875</v>
      </c>
      <c r="D484" s="437">
        <f>MechanicalData!$B$22</f>
        <v>55</v>
      </c>
      <c r="E484" s="248"/>
      <c r="F484" s="248"/>
      <c r="G484" s="437"/>
      <c r="H484" s="339">
        <f t="shared" si="85"/>
        <v>477</v>
      </c>
      <c r="I484" s="451">
        <f t="shared" si="86"/>
        <v>55</v>
      </c>
      <c r="J484" s="340">
        <f t="shared" si="87"/>
        <v>0.15277777777777779</v>
      </c>
      <c r="K484" s="341">
        <f t="shared" si="88"/>
        <v>72.875</v>
      </c>
      <c r="L484" s="333">
        <f t="shared" si="89"/>
        <v>10681.392857142857</v>
      </c>
      <c r="M484" s="342">
        <f t="shared" si="90"/>
        <v>10681</v>
      </c>
      <c r="N484" s="343">
        <f t="shared" si="91"/>
        <v>72.874999999999986</v>
      </c>
      <c r="O484" s="343"/>
      <c r="P484" s="343">
        <f t="shared" si="92"/>
        <v>0</v>
      </c>
      <c r="Q484" s="344"/>
      <c r="R484" s="343">
        <f t="shared" si="93"/>
        <v>477.00000000000057</v>
      </c>
      <c r="S484" s="343">
        <f t="shared" si="94"/>
        <v>-5.6843418860808015E-13</v>
      </c>
      <c r="T484" s="343"/>
      <c r="U484" s="343">
        <f t="shared" ca="1" si="95"/>
        <v>1.0000000000000002</v>
      </c>
      <c r="V484" s="345">
        <f t="shared" si="96"/>
        <v>22.392857142857142</v>
      </c>
    </row>
    <row r="485" spans="2:22" x14ac:dyDescent="0.3">
      <c r="B485" s="246">
        <v>478</v>
      </c>
      <c r="C485" s="437">
        <f>B485*MechanicalData!$B$22/360</f>
        <v>73.027777777777771</v>
      </c>
      <c r="D485" s="437">
        <f>MechanicalData!$B$22</f>
        <v>55</v>
      </c>
      <c r="E485" s="248"/>
      <c r="F485" s="248"/>
      <c r="G485" s="437"/>
      <c r="H485" s="339">
        <f t="shared" si="85"/>
        <v>478</v>
      </c>
      <c r="I485" s="451">
        <f t="shared" si="86"/>
        <v>55</v>
      </c>
      <c r="J485" s="340">
        <f t="shared" si="87"/>
        <v>0.15277777777777779</v>
      </c>
      <c r="K485" s="341">
        <f t="shared" si="88"/>
        <v>73.027777777777771</v>
      </c>
      <c r="L485" s="333">
        <f t="shared" si="89"/>
        <v>10703.785714285712</v>
      </c>
      <c r="M485" s="342">
        <f t="shared" si="90"/>
        <v>10704</v>
      </c>
      <c r="N485" s="343">
        <f t="shared" si="91"/>
        <v>73.027777777777757</v>
      </c>
      <c r="O485" s="343"/>
      <c r="P485" s="343">
        <f t="shared" si="92"/>
        <v>0</v>
      </c>
      <c r="Q485" s="344"/>
      <c r="R485" s="343">
        <f t="shared" si="93"/>
        <v>478.00000000000051</v>
      </c>
      <c r="S485" s="343">
        <f t="shared" si="94"/>
        <v>-5.1159076974727213E-13</v>
      </c>
      <c r="T485" s="343"/>
      <c r="U485" s="343">
        <f t="shared" ca="1" si="95"/>
        <v>1.0000000000000002</v>
      </c>
      <c r="V485" s="345">
        <f t="shared" si="96"/>
        <v>22.392857142857142</v>
      </c>
    </row>
    <row r="486" spans="2:22" x14ac:dyDescent="0.3">
      <c r="B486" s="246">
        <v>479</v>
      </c>
      <c r="C486" s="437">
        <f>B486*MechanicalData!$B$22/360</f>
        <v>73.180555555555557</v>
      </c>
      <c r="D486" s="437">
        <f>MechanicalData!$B$22</f>
        <v>55</v>
      </c>
      <c r="E486" s="248"/>
      <c r="F486" s="248"/>
      <c r="G486" s="437"/>
      <c r="H486" s="339">
        <f t="shared" si="85"/>
        <v>479</v>
      </c>
      <c r="I486" s="451">
        <f t="shared" si="86"/>
        <v>55</v>
      </c>
      <c r="J486" s="340">
        <f t="shared" si="87"/>
        <v>0.15277777777777779</v>
      </c>
      <c r="K486" s="341">
        <f t="shared" si="88"/>
        <v>73.180555555555557</v>
      </c>
      <c r="L486" s="333">
        <f t="shared" si="89"/>
        <v>10726.178571428571</v>
      </c>
      <c r="M486" s="342">
        <f t="shared" si="90"/>
        <v>10726</v>
      </c>
      <c r="N486" s="343">
        <f t="shared" si="91"/>
        <v>73.180555555555543</v>
      </c>
      <c r="O486" s="343"/>
      <c r="P486" s="343">
        <f t="shared" si="92"/>
        <v>0</v>
      </c>
      <c r="Q486" s="344"/>
      <c r="R486" s="343">
        <f t="shared" si="93"/>
        <v>479.00000000000051</v>
      </c>
      <c r="S486" s="343">
        <f t="shared" si="94"/>
        <v>-5.1159076974727213E-13</v>
      </c>
      <c r="T486" s="343"/>
      <c r="U486" s="343">
        <f t="shared" ca="1" si="95"/>
        <v>1.0000000000000002</v>
      </c>
      <c r="V486" s="345">
        <f t="shared" si="96"/>
        <v>22.392857142857142</v>
      </c>
    </row>
    <row r="487" spans="2:22" x14ac:dyDescent="0.3">
      <c r="B487" s="246">
        <v>480</v>
      </c>
      <c r="C487" s="437">
        <f>B487*MechanicalData!$B$22/360</f>
        <v>73.333333333333329</v>
      </c>
      <c r="D487" s="437">
        <f>MechanicalData!$B$22</f>
        <v>55</v>
      </c>
      <c r="E487" s="248"/>
      <c r="F487" s="248"/>
      <c r="G487" s="437"/>
      <c r="H487" s="339">
        <f t="shared" si="85"/>
        <v>480</v>
      </c>
      <c r="I487" s="451">
        <f t="shared" si="86"/>
        <v>55</v>
      </c>
      <c r="J487" s="340">
        <f t="shared" si="87"/>
        <v>0.15277777777777779</v>
      </c>
      <c r="K487" s="341">
        <f t="shared" si="88"/>
        <v>73.333333333333329</v>
      </c>
      <c r="L487" s="333">
        <f t="shared" si="89"/>
        <v>10748.571428571428</v>
      </c>
      <c r="M487" s="342">
        <f t="shared" si="90"/>
        <v>10749</v>
      </c>
      <c r="N487" s="343">
        <f t="shared" si="91"/>
        <v>73.333333333333314</v>
      </c>
      <c r="O487" s="343"/>
      <c r="P487" s="343">
        <f t="shared" si="92"/>
        <v>0</v>
      </c>
      <c r="Q487" s="344"/>
      <c r="R487" s="343">
        <f t="shared" si="93"/>
        <v>480.00000000000051</v>
      </c>
      <c r="S487" s="343">
        <f t="shared" si="94"/>
        <v>-5.1159076974727213E-13</v>
      </c>
      <c r="T487" s="343"/>
      <c r="U487" s="343">
        <f t="shared" ca="1" si="95"/>
        <v>1.0000000000000002</v>
      </c>
      <c r="V487" s="345">
        <f t="shared" si="96"/>
        <v>22.392857142857142</v>
      </c>
    </row>
    <row r="488" spans="2:22" x14ac:dyDescent="0.3">
      <c r="B488" s="246">
        <v>481</v>
      </c>
      <c r="C488" s="437">
        <f>B488*MechanicalData!$B$22/360</f>
        <v>73.486111111111114</v>
      </c>
      <c r="D488" s="437">
        <f>MechanicalData!$B$22</f>
        <v>55</v>
      </c>
      <c r="E488" s="248"/>
      <c r="F488" s="248"/>
      <c r="G488" s="437"/>
      <c r="H488" s="339">
        <f t="shared" si="85"/>
        <v>481</v>
      </c>
      <c r="I488" s="451">
        <f t="shared" si="86"/>
        <v>55</v>
      </c>
      <c r="J488" s="340">
        <f t="shared" si="87"/>
        <v>0.15277777777777779</v>
      </c>
      <c r="K488" s="341">
        <f t="shared" si="88"/>
        <v>73.486111111111114</v>
      </c>
      <c r="L488" s="333">
        <f t="shared" si="89"/>
        <v>10770.964285714286</v>
      </c>
      <c r="M488" s="342">
        <f t="shared" si="90"/>
        <v>10771</v>
      </c>
      <c r="N488" s="343">
        <f t="shared" si="91"/>
        <v>73.4861111111111</v>
      </c>
      <c r="O488" s="343"/>
      <c r="P488" s="343">
        <f t="shared" si="92"/>
        <v>0</v>
      </c>
      <c r="Q488" s="344"/>
      <c r="R488" s="343">
        <f t="shared" si="93"/>
        <v>481.00000000000063</v>
      </c>
      <c r="S488" s="343">
        <f t="shared" si="94"/>
        <v>-6.2527760746888816E-13</v>
      </c>
      <c r="T488" s="343"/>
      <c r="U488" s="343">
        <f t="shared" ca="1" si="95"/>
        <v>1.0000000000000002</v>
      </c>
      <c r="V488" s="345">
        <f t="shared" si="96"/>
        <v>22.392857142857142</v>
      </c>
    </row>
    <row r="489" spans="2:22" x14ac:dyDescent="0.3">
      <c r="B489" s="246">
        <v>482</v>
      </c>
      <c r="C489" s="437">
        <f>B489*MechanicalData!$B$22/360</f>
        <v>73.638888888888886</v>
      </c>
      <c r="D489" s="437">
        <f>MechanicalData!$B$22</f>
        <v>55</v>
      </c>
      <c r="E489" s="248"/>
      <c r="F489" s="248"/>
      <c r="G489" s="437"/>
      <c r="H489" s="339">
        <f t="shared" si="85"/>
        <v>482</v>
      </c>
      <c r="I489" s="451">
        <f t="shared" si="86"/>
        <v>55</v>
      </c>
      <c r="J489" s="340">
        <f t="shared" si="87"/>
        <v>0.15277777777777779</v>
      </c>
      <c r="K489" s="341">
        <f t="shared" si="88"/>
        <v>73.638888888888886</v>
      </c>
      <c r="L489" s="333">
        <f t="shared" si="89"/>
        <v>10793.357142857143</v>
      </c>
      <c r="M489" s="342">
        <f t="shared" si="90"/>
        <v>10793</v>
      </c>
      <c r="N489" s="343">
        <f t="shared" si="91"/>
        <v>73.638888888888886</v>
      </c>
      <c r="O489" s="343"/>
      <c r="P489" s="343">
        <f t="shared" si="92"/>
        <v>0</v>
      </c>
      <c r="Q489" s="344"/>
      <c r="R489" s="343">
        <f t="shared" si="93"/>
        <v>482.00000000000063</v>
      </c>
      <c r="S489" s="343">
        <f t="shared" si="94"/>
        <v>-6.2527760746888816E-13</v>
      </c>
      <c r="T489" s="343"/>
      <c r="U489" s="343">
        <f t="shared" ca="1" si="95"/>
        <v>1.0000000000000002</v>
      </c>
      <c r="V489" s="345">
        <f t="shared" si="96"/>
        <v>22.392857142857142</v>
      </c>
    </row>
    <row r="490" spans="2:22" x14ac:dyDescent="0.3">
      <c r="B490" s="246">
        <v>483</v>
      </c>
      <c r="C490" s="437">
        <f>B490*MechanicalData!$B$22/360</f>
        <v>73.791666666666671</v>
      </c>
      <c r="D490" s="437">
        <f>MechanicalData!$B$22</f>
        <v>55</v>
      </c>
      <c r="E490" s="248"/>
      <c r="F490" s="248"/>
      <c r="G490" s="437"/>
      <c r="H490" s="339">
        <f t="shared" si="85"/>
        <v>483</v>
      </c>
      <c r="I490" s="451">
        <f t="shared" si="86"/>
        <v>55</v>
      </c>
      <c r="J490" s="340">
        <f t="shared" si="87"/>
        <v>0.15277777777777779</v>
      </c>
      <c r="K490" s="341">
        <f t="shared" si="88"/>
        <v>73.791666666666671</v>
      </c>
      <c r="L490" s="333">
        <f t="shared" si="89"/>
        <v>10815.75</v>
      </c>
      <c r="M490" s="342">
        <f t="shared" si="90"/>
        <v>10816</v>
      </c>
      <c r="N490" s="343">
        <f t="shared" si="91"/>
        <v>73.791666666666657</v>
      </c>
      <c r="O490" s="343"/>
      <c r="P490" s="343">
        <f t="shared" si="92"/>
        <v>0</v>
      </c>
      <c r="Q490" s="344"/>
      <c r="R490" s="343">
        <f t="shared" si="93"/>
        <v>483.00000000000063</v>
      </c>
      <c r="S490" s="343">
        <f t="shared" si="94"/>
        <v>-6.2527760746888816E-13</v>
      </c>
      <c r="T490" s="343"/>
      <c r="U490" s="343">
        <f t="shared" ca="1" si="95"/>
        <v>1.0000000000000002</v>
      </c>
      <c r="V490" s="345">
        <f t="shared" si="96"/>
        <v>22.392857142857142</v>
      </c>
    </row>
    <row r="491" spans="2:22" x14ac:dyDescent="0.3">
      <c r="B491" s="246">
        <v>484</v>
      </c>
      <c r="C491" s="437">
        <f>B491*MechanicalData!$B$22/360</f>
        <v>73.944444444444443</v>
      </c>
      <c r="D491" s="437">
        <f>MechanicalData!$B$22</f>
        <v>55</v>
      </c>
      <c r="E491" s="248"/>
      <c r="F491" s="248"/>
      <c r="G491" s="437"/>
      <c r="H491" s="339">
        <f t="shared" si="85"/>
        <v>484</v>
      </c>
      <c r="I491" s="451">
        <f t="shared" si="86"/>
        <v>55</v>
      </c>
      <c r="J491" s="340">
        <f t="shared" si="87"/>
        <v>0.15277777777777779</v>
      </c>
      <c r="K491" s="341">
        <f t="shared" si="88"/>
        <v>73.944444444444443</v>
      </c>
      <c r="L491" s="333">
        <f t="shared" si="89"/>
        <v>10838.142857142857</v>
      </c>
      <c r="M491" s="342">
        <f t="shared" si="90"/>
        <v>10838</v>
      </c>
      <c r="N491" s="343">
        <f t="shared" si="91"/>
        <v>73.944444444444443</v>
      </c>
      <c r="O491" s="343"/>
      <c r="P491" s="343">
        <f t="shared" si="92"/>
        <v>0</v>
      </c>
      <c r="Q491" s="344"/>
      <c r="R491" s="343">
        <f t="shared" si="93"/>
        <v>484.00000000000057</v>
      </c>
      <c r="S491" s="343">
        <f t="shared" si="94"/>
        <v>-5.6843418860808015E-13</v>
      </c>
      <c r="T491" s="343"/>
      <c r="U491" s="343">
        <f t="shared" ca="1" si="95"/>
        <v>1.0000000000000002</v>
      </c>
      <c r="V491" s="345">
        <f t="shared" si="96"/>
        <v>22.392857142857142</v>
      </c>
    </row>
    <row r="492" spans="2:22" x14ac:dyDescent="0.3">
      <c r="B492" s="246">
        <v>485</v>
      </c>
      <c r="C492" s="437">
        <f>B492*MechanicalData!$B$22/360</f>
        <v>74.097222222222229</v>
      </c>
      <c r="D492" s="437">
        <f>MechanicalData!$B$22</f>
        <v>55</v>
      </c>
      <c r="E492" s="248"/>
      <c r="F492" s="248"/>
      <c r="G492" s="437"/>
      <c r="H492" s="339">
        <f t="shared" ref="H492:H542" si="97">B492</f>
        <v>485</v>
      </c>
      <c r="I492" s="451">
        <f t="shared" ref="I492:I542" si="98">D492</f>
        <v>55</v>
      </c>
      <c r="J492" s="340">
        <f t="shared" ref="J492:J542" si="99">I492/360</f>
        <v>0.15277777777777779</v>
      </c>
      <c r="K492" s="341">
        <f t="shared" ref="K492:K542" si="100">C492</f>
        <v>74.097222222222229</v>
      </c>
      <c r="L492" s="333">
        <f t="shared" ref="L492:L542" si="101">K492/$Z$7*360</f>
        <v>10860.535714285714</v>
      </c>
      <c r="M492" s="342">
        <f t="shared" ref="M492:M542" si="102">ROUND(L492, 0)</f>
        <v>10861</v>
      </c>
      <c r="N492" s="343">
        <f t="shared" ref="N492:N542" si="103">InterpolXY(L492,$Y$22:$Y$31,$X$22:$X$31)</f>
        <v>74.097222222222214</v>
      </c>
      <c r="O492" s="343"/>
      <c r="P492" s="343">
        <f t="shared" ref="P492:P542" si="104">K492-N492</f>
        <v>0</v>
      </c>
      <c r="Q492" s="344"/>
      <c r="R492" s="343">
        <f t="shared" ref="R492:R542" si="105">InterpolXY(L492,$Y$22:$Y$31,$AC$22:$AC$31)</f>
        <v>485.00000000000057</v>
      </c>
      <c r="S492" s="343">
        <f t="shared" ref="S492:S542" si="106">H492-R492</f>
        <v>-5.6843418860808015E-13</v>
      </c>
      <c r="T492" s="343"/>
      <c r="U492" s="343">
        <f t="shared" ca="1" si="95"/>
        <v>1.0000000000000002</v>
      </c>
      <c r="V492" s="345">
        <f t="shared" si="96"/>
        <v>22.392857142857142</v>
      </c>
    </row>
    <row r="493" spans="2:22" x14ac:dyDescent="0.3">
      <c r="B493" s="246">
        <v>486</v>
      </c>
      <c r="C493" s="437">
        <f>B493*MechanicalData!$B$22/360</f>
        <v>74.25</v>
      </c>
      <c r="D493" s="437">
        <f>MechanicalData!$B$22</f>
        <v>55</v>
      </c>
      <c r="E493" s="248"/>
      <c r="F493" s="248"/>
      <c r="G493" s="437"/>
      <c r="H493" s="339">
        <f t="shared" si="97"/>
        <v>486</v>
      </c>
      <c r="I493" s="451">
        <f t="shared" si="98"/>
        <v>55</v>
      </c>
      <c r="J493" s="340">
        <f t="shared" si="99"/>
        <v>0.15277777777777779</v>
      </c>
      <c r="K493" s="341">
        <f t="shared" si="100"/>
        <v>74.25</v>
      </c>
      <c r="L493" s="333">
        <f t="shared" si="101"/>
        <v>10882.928571428571</v>
      </c>
      <c r="M493" s="342">
        <f t="shared" si="102"/>
        <v>10883</v>
      </c>
      <c r="N493" s="343">
        <f t="shared" si="103"/>
        <v>74.249999999999986</v>
      </c>
      <c r="O493" s="343"/>
      <c r="P493" s="343">
        <f t="shared" si="104"/>
        <v>0</v>
      </c>
      <c r="Q493" s="344"/>
      <c r="R493" s="343">
        <f t="shared" si="105"/>
        <v>486.00000000000057</v>
      </c>
      <c r="S493" s="343">
        <f t="shared" si="106"/>
        <v>-5.6843418860808015E-13</v>
      </c>
      <c r="T493" s="343"/>
      <c r="U493" s="343">
        <f t="shared" ca="1" si="95"/>
        <v>1.0000000000000002</v>
      </c>
      <c r="V493" s="345">
        <f t="shared" si="96"/>
        <v>22.392857142857142</v>
      </c>
    </row>
    <row r="494" spans="2:22" x14ac:dyDescent="0.3">
      <c r="B494" s="246">
        <v>487</v>
      </c>
      <c r="C494" s="437">
        <f>B494*MechanicalData!$B$22/360</f>
        <v>74.402777777777771</v>
      </c>
      <c r="D494" s="437">
        <f>MechanicalData!$B$22</f>
        <v>55</v>
      </c>
      <c r="E494" s="248"/>
      <c r="F494" s="248"/>
      <c r="G494" s="437"/>
      <c r="H494" s="339">
        <f t="shared" si="97"/>
        <v>487</v>
      </c>
      <c r="I494" s="451">
        <f t="shared" si="98"/>
        <v>55</v>
      </c>
      <c r="J494" s="340">
        <f t="shared" si="99"/>
        <v>0.15277777777777779</v>
      </c>
      <c r="K494" s="341">
        <f t="shared" si="100"/>
        <v>74.402777777777771</v>
      </c>
      <c r="L494" s="333">
        <f t="shared" si="101"/>
        <v>10905.321428571428</v>
      </c>
      <c r="M494" s="342">
        <f t="shared" si="102"/>
        <v>10905</v>
      </c>
      <c r="N494" s="343">
        <f t="shared" si="103"/>
        <v>74.402777777777771</v>
      </c>
      <c r="O494" s="343"/>
      <c r="P494" s="343">
        <f t="shared" si="104"/>
        <v>0</v>
      </c>
      <c r="Q494" s="344"/>
      <c r="R494" s="343">
        <f t="shared" si="105"/>
        <v>487.00000000000051</v>
      </c>
      <c r="S494" s="343">
        <f t="shared" si="106"/>
        <v>-5.1159076974727213E-13</v>
      </c>
      <c r="T494" s="343"/>
      <c r="U494" s="343">
        <f t="shared" ca="1" si="95"/>
        <v>1.0000000000000002</v>
      </c>
      <c r="V494" s="345">
        <f t="shared" si="96"/>
        <v>22.392857142857142</v>
      </c>
    </row>
    <row r="495" spans="2:22" x14ac:dyDescent="0.3">
      <c r="B495" s="246">
        <v>488</v>
      </c>
      <c r="C495" s="437">
        <f>B495*MechanicalData!$B$22/360</f>
        <v>74.555555555555557</v>
      </c>
      <c r="D495" s="437">
        <f>MechanicalData!$B$22</f>
        <v>55</v>
      </c>
      <c r="E495" s="248"/>
      <c r="F495" s="248"/>
      <c r="G495" s="437"/>
      <c r="H495" s="339">
        <f t="shared" si="97"/>
        <v>488</v>
      </c>
      <c r="I495" s="451">
        <f t="shared" si="98"/>
        <v>55</v>
      </c>
      <c r="J495" s="340">
        <f t="shared" si="99"/>
        <v>0.15277777777777779</v>
      </c>
      <c r="K495" s="341">
        <f t="shared" si="100"/>
        <v>74.555555555555557</v>
      </c>
      <c r="L495" s="333">
        <f t="shared" si="101"/>
        <v>10927.714285714286</v>
      </c>
      <c r="M495" s="342">
        <f t="shared" si="102"/>
        <v>10928</v>
      </c>
      <c r="N495" s="343">
        <f t="shared" si="103"/>
        <v>74.555555555555557</v>
      </c>
      <c r="O495" s="343"/>
      <c r="P495" s="343">
        <f t="shared" si="104"/>
        <v>0</v>
      </c>
      <c r="Q495" s="344"/>
      <c r="R495" s="343">
        <f t="shared" si="105"/>
        <v>488.00000000000063</v>
      </c>
      <c r="S495" s="343">
        <f t="shared" si="106"/>
        <v>-6.2527760746888816E-13</v>
      </c>
      <c r="T495" s="343"/>
      <c r="U495" s="343">
        <f t="shared" ca="1" si="95"/>
        <v>1.0000000000000002</v>
      </c>
      <c r="V495" s="345">
        <f t="shared" si="96"/>
        <v>22.392857142857142</v>
      </c>
    </row>
    <row r="496" spans="2:22" x14ac:dyDescent="0.3">
      <c r="B496" s="246">
        <v>489</v>
      </c>
      <c r="C496" s="437">
        <f>B496*MechanicalData!$B$22/360</f>
        <v>74.708333333333329</v>
      </c>
      <c r="D496" s="437">
        <f>MechanicalData!$B$22</f>
        <v>55</v>
      </c>
      <c r="E496" s="248"/>
      <c r="F496" s="248"/>
      <c r="G496" s="437"/>
      <c r="H496" s="339">
        <f t="shared" si="97"/>
        <v>489</v>
      </c>
      <c r="I496" s="451">
        <f t="shared" si="98"/>
        <v>55</v>
      </c>
      <c r="J496" s="340">
        <f t="shared" si="99"/>
        <v>0.15277777777777779</v>
      </c>
      <c r="K496" s="341">
        <f t="shared" si="100"/>
        <v>74.708333333333329</v>
      </c>
      <c r="L496" s="333">
        <f t="shared" si="101"/>
        <v>10950.107142857141</v>
      </c>
      <c r="M496" s="342">
        <f t="shared" si="102"/>
        <v>10950</v>
      </c>
      <c r="N496" s="343">
        <f t="shared" si="103"/>
        <v>74.708333333333314</v>
      </c>
      <c r="O496" s="343"/>
      <c r="P496" s="343">
        <f t="shared" si="104"/>
        <v>0</v>
      </c>
      <c r="Q496" s="344"/>
      <c r="R496" s="343">
        <f t="shared" si="105"/>
        <v>489.00000000000057</v>
      </c>
      <c r="S496" s="343">
        <f t="shared" si="106"/>
        <v>-5.6843418860808015E-13</v>
      </c>
      <c r="T496" s="343"/>
      <c r="U496" s="343">
        <f t="shared" ca="1" si="95"/>
        <v>1.0000000000000002</v>
      </c>
      <c r="V496" s="345">
        <f t="shared" si="96"/>
        <v>22.392857142857142</v>
      </c>
    </row>
    <row r="497" spans="2:22" x14ac:dyDescent="0.3">
      <c r="B497" s="246">
        <v>490</v>
      </c>
      <c r="C497" s="437">
        <f>B497*MechanicalData!$B$22/360</f>
        <v>74.861111111111114</v>
      </c>
      <c r="D497" s="437">
        <f>MechanicalData!$B$22</f>
        <v>55</v>
      </c>
      <c r="E497" s="248"/>
      <c r="F497" s="248"/>
      <c r="G497" s="437"/>
      <c r="H497" s="339">
        <f t="shared" si="97"/>
        <v>490</v>
      </c>
      <c r="I497" s="451">
        <f t="shared" si="98"/>
        <v>55</v>
      </c>
      <c r="J497" s="340">
        <f t="shared" si="99"/>
        <v>0.15277777777777779</v>
      </c>
      <c r="K497" s="341">
        <f t="shared" si="100"/>
        <v>74.861111111111114</v>
      </c>
      <c r="L497" s="333">
        <f t="shared" si="101"/>
        <v>10972.5</v>
      </c>
      <c r="M497" s="342">
        <f t="shared" si="102"/>
        <v>10973</v>
      </c>
      <c r="N497" s="343">
        <f t="shared" si="103"/>
        <v>74.8611111111111</v>
      </c>
      <c r="O497" s="343"/>
      <c r="P497" s="343">
        <f t="shared" si="104"/>
        <v>0</v>
      </c>
      <c r="Q497" s="344"/>
      <c r="R497" s="343">
        <f t="shared" si="105"/>
        <v>490.00000000000063</v>
      </c>
      <c r="S497" s="343">
        <f t="shared" si="106"/>
        <v>-6.2527760746888816E-13</v>
      </c>
      <c r="T497" s="343"/>
      <c r="U497" s="343">
        <f t="shared" ca="1" si="95"/>
        <v>1.0000000000000002</v>
      </c>
      <c r="V497" s="345">
        <f t="shared" si="96"/>
        <v>22.392857142857142</v>
      </c>
    </row>
    <row r="498" spans="2:22" x14ac:dyDescent="0.3">
      <c r="B498" s="246">
        <v>491</v>
      </c>
      <c r="C498" s="437">
        <f>B498*MechanicalData!$B$22/360</f>
        <v>75.013888888888886</v>
      </c>
      <c r="D498" s="437">
        <f>MechanicalData!$B$22</f>
        <v>55</v>
      </c>
      <c r="E498" s="248"/>
      <c r="F498" s="248"/>
      <c r="G498" s="437"/>
      <c r="H498" s="339">
        <f t="shared" si="97"/>
        <v>491</v>
      </c>
      <c r="I498" s="451">
        <f t="shared" si="98"/>
        <v>55</v>
      </c>
      <c r="J498" s="340">
        <f t="shared" si="99"/>
        <v>0.15277777777777779</v>
      </c>
      <c r="K498" s="341">
        <f t="shared" si="100"/>
        <v>75.013888888888886</v>
      </c>
      <c r="L498" s="333">
        <f t="shared" si="101"/>
        <v>10994.892857142857</v>
      </c>
      <c r="M498" s="342">
        <f t="shared" si="102"/>
        <v>10995</v>
      </c>
      <c r="N498" s="343">
        <f t="shared" si="103"/>
        <v>75.013888888888886</v>
      </c>
      <c r="O498" s="343"/>
      <c r="P498" s="343">
        <f t="shared" si="104"/>
        <v>0</v>
      </c>
      <c r="Q498" s="344"/>
      <c r="R498" s="343">
        <f t="shared" si="105"/>
        <v>491.00000000000057</v>
      </c>
      <c r="S498" s="343">
        <f t="shared" si="106"/>
        <v>-5.6843418860808015E-13</v>
      </c>
      <c r="T498" s="343"/>
      <c r="U498" s="343">
        <f t="shared" ca="1" si="95"/>
        <v>1.0000000000000002</v>
      </c>
      <c r="V498" s="345">
        <f t="shared" si="96"/>
        <v>22.392857142857142</v>
      </c>
    </row>
    <row r="499" spans="2:22" x14ac:dyDescent="0.3">
      <c r="B499" s="246">
        <v>492</v>
      </c>
      <c r="C499" s="437">
        <f>B499*MechanicalData!$B$22/360</f>
        <v>75.166666666666671</v>
      </c>
      <c r="D499" s="437">
        <f>MechanicalData!$B$22</f>
        <v>55</v>
      </c>
      <c r="E499" s="248"/>
      <c r="F499" s="248"/>
      <c r="G499" s="437"/>
      <c r="H499" s="339">
        <f t="shared" si="97"/>
        <v>492</v>
      </c>
      <c r="I499" s="451">
        <f t="shared" si="98"/>
        <v>55</v>
      </c>
      <c r="J499" s="340">
        <f t="shared" si="99"/>
        <v>0.15277777777777779</v>
      </c>
      <c r="K499" s="341">
        <f t="shared" si="100"/>
        <v>75.166666666666671</v>
      </c>
      <c r="L499" s="333">
        <f t="shared" si="101"/>
        <v>11017.285714285714</v>
      </c>
      <c r="M499" s="342">
        <f t="shared" si="102"/>
        <v>11017</v>
      </c>
      <c r="N499" s="343">
        <f t="shared" si="103"/>
        <v>75.166666666666657</v>
      </c>
      <c r="O499" s="343"/>
      <c r="P499" s="343">
        <f t="shared" si="104"/>
        <v>0</v>
      </c>
      <c r="Q499" s="344"/>
      <c r="R499" s="343">
        <f t="shared" si="105"/>
        <v>492.00000000000057</v>
      </c>
      <c r="S499" s="343">
        <f t="shared" si="106"/>
        <v>-5.6843418860808015E-13</v>
      </c>
      <c r="T499" s="343"/>
      <c r="U499" s="343">
        <f t="shared" ca="1" si="95"/>
        <v>1.0000000000000002</v>
      </c>
      <c r="V499" s="345">
        <f t="shared" si="96"/>
        <v>22.392857142857142</v>
      </c>
    </row>
    <row r="500" spans="2:22" x14ac:dyDescent="0.3">
      <c r="B500" s="246">
        <v>493</v>
      </c>
      <c r="C500" s="437">
        <f>B500*MechanicalData!$B$22/360</f>
        <v>75.319444444444443</v>
      </c>
      <c r="D500" s="437">
        <f>MechanicalData!$B$22</f>
        <v>55</v>
      </c>
      <c r="E500" s="248"/>
      <c r="F500" s="248"/>
      <c r="G500" s="437"/>
      <c r="H500" s="339">
        <f t="shared" si="97"/>
        <v>493</v>
      </c>
      <c r="I500" s="451">
        <f t="shared" si="98"/>
        <v>55</v>
      </c>
      <c r="J500" s="340">
        <f t="shared" si="99"/>
        <v>0.15277777777777779</v>
      </c>
      <c r="K500" s="341">
        <f t="shared" si="100"/>
        <v>75.319444444444443</v>
      </c>
      <c r="L500" s="333">
        <f t="shared" si="101"/>
        <v>11039.678571428571</v>
      </c>
      <c r="M500" s="342">
        <f t="shared" si="102"/>
        <v>11040</v>
      </c>
      <c r="N500" s="343">
        <f t="shared" si="103"/>
        <v>75.319444444444429</v>
      </c>
      <c r="O500" s="343"/>
      <c r="P500" s="343">
        <f t="shared" si="104"/>
        <v>0</v>
      </c>
      <c r="Q500" s="344"/>
      <c r="R500" s="343">
        <f t="shared" si="105"/>
        <v>493.00000000000057</v>
      </c>
      <c r="S500" s="343">
        <f t="shared" si="106"/>
        <v>-5.6843418860808015E-13</v>
      </c>
      <c r="T500" s="343"/>
      <c r="U500" s="343">
        <f t="shared" ca="1" si="95"/>
        <v>1.0000000000000002</v>
      </c>
      <c r="V500" s="345">
        <f t="shared" si="96"/>
        <v>22.392857142857142</v>
      </c>
    </row>
    <row r="501" spans="2:22" x14ac:dyDescent="0.3">
      <c r="B501" s="246">
        <v>494</v>
      </c>
      <c r="C501" s="437">
        <f>B501*MechanicalData!$B$22/360</f>
        <v>75.472222222222229</v>
      </c>
      <c r="D501" s="437">
        <f>MechanicalData!$B$22</f>
        <v>55</v>
      </c>
      <c r="E501" s="248"/>
      <c r="F501" s="248"/>
      <c r="G501" s="437"/>
      <c r="H501" s="339">
        <f t="shared" si="97"/>
        <v>494</v>
      </c>
      <c r="I501" s="451">
        <f t="shared" si="98"/>
        <v>55</v>
      </c>
      <c r="J501" s="340">
        <f t="shared" si="99"/>
        <v>0.15277777777777779</v>
      </c>
      <c r="K501" s="341">
        <f t="shared" si="100"/>
        <v>75.472222222222229</v>
      </c>
      <c r="L501" s="333">
        <f t="shared" si="101"/>
        <v>11062.071428571429</v>
      </c>
      <c r="M501" s="342">
        <f t="shared" si="102"/>
        <v>11062</v>
      </c>
      <c r="N501" s="343">
        <f t="shared" si="103"/>
        <v>75.472222222222229</v>
      </c>
      <c r="O501" s="343"/>
      <c r="P501" s="343">
        <f t="shared" si="104"/>
        <v>0</v>
      </c>
      <c r="Q501" s="344"/>
      <c r="R501" s="343">
        <f t="shared" si="105"/>
        <v>494.00000000000068</v>
      </c>
      <c r="S501" s="343">
        <f t="shared" si="106"/>
        <v>-6.8212102632969618E-13</v>
      </c>
      <c r="T501" s="343"/>
      <c r="U501" s="343">
        <f t="shared" ca="1" si="95"/>
        <v>1.0000000000000002</v>
      </c>
      <c r="V501" s="345">
        <f t="shared" si="96"/>
        <v>22.392857142857142</v>
      </c>
    </row>
    <row r="502" spans="2:22" x14ac:dyDescent="0.3">
      <c r="B502" s="246">
        <v>495</v>
      </c>
      <c r="C502" s="437">
        <f>B502*MechanicalData!$B$22/360</f>
        <v>75.625</v>
      </c>
      <c r="D502" s="437">
        <f>MechanicalData!$B$22</f>
        <v>55</v>
      </c>
      <c r="E502" s="248"/>
      <c r="F502" s="248"/>
      <c r="G502" s="437"/>
      <c r="H502" s="339">
        <f t="shared" si="97"/>
        <v>495</v>
      </c>
      <c r="I502" s="451">
        <f t="shared" si="98"/>
        <v>55</v>
      </c>
      <c r="J502" s="340">
        <f t="shared" si="99"/>
        <v>0.15277777777777779</v>
      </c>
      <c r="K502" s="341">
        <f t="shared" si="100"/>
        <v>75.625</v>
      </c>
      <c r="L502" s="333">
        <f t="shared" si="101"/>
        <v>11084.464285714284</v>
      </c>
      <c r="M502" s="342">
        <f t="shared" si="102"/>
        <v>11084</v>
      </c>
      <c r="N502" s="343">
        <f t="shared" si="103"/>
        <v>75.624999999999986</v>
      </c>
      <c r="O502" s="343"/>
      <c r="P502" s="343">
        <f t="shared" si="104"/>
        <v>0</v>
      </c>
      <c r="Q502" s="344"/>
      <c r="R502" s="343">
        <f t="shared" si="105"/>
        <v>495.00000000000057</v>
      </c>
      <c r="S502" s="343">
        <f t="shared" si="106"/>
        <v>-5.6843418860808015E-13</v>
      </c>
      <c r="T502" s="343"/>
      <c r="U502" s="343">
        <f t="shared" ca="1" si="95"/>
        <v>1.0000000000000002</v>
      </c>
      <c r="V502" s="345">
        <f t="shared" si="96"/>
        <v>22.392857142857142</v>
      </c>
    </row>
    <row r="503" spans="2:22" x14ac:dyDescent="0.3">
      <c r="B503" s="246">
        <v>496</v>
      </c>
      <c r="C503" s="437">
        <f>B503*MechanicalData!$B$22/360</f>
        <v>75.777777777777771</v>
      </c>
      <c r="D503" s="437">
        <f>MechanicalData!$B$22</f>
        <v>55</v>
      </c>
      <c r="E503" s="248"/>
      <c r="F503" s="248"/>
      <c r="G503" s="437"/>
      <c r="H503" s="339">
        <f t="shared" si="97"/>
        <v>496</v>
      </c>
      <c r="I503" s="451">
        <f t="shared" si="98"/>
        <v>55</v>
      </c>
      <c r="J503" s="340">
        <f t="shared" si="99"/>
        <v>0.15277777777777779</v>
      </c>
      <c r="K503" s="341">
        <f t="shared" si="100"/>
        <v>75.777777777777771</v>
      </c>
      <c r="L503" s="333">
        <f t="shared" si="101"/>
        <v>11106.857142857141</v>
      </c>
      <c r="M503" s="342">
        <f t="shared" si="102"/>
        <v>11107</v>
      </c>
      <c r="N503" s="343">
        <f t="shared" si="103"/>
        <v>75.777777777777757</v>
      </c>
      <c r="O503" s="343"/>
      <c r="P503" s="343">
        <f t="shared" si="104"/>
        <v>0</v>
      </c>
      <c r="Q503" s="344"/>
      <c r="R503" s="343">
        <f t="shared" si="105"/>
        <v>496.00000000000057</v>
      </c>
      <c r="S503" s="343">
        <f t="shared" si="106"/>
        <v>-5.6843418860808015E-13</v>
      </c>
      <c r="T503" s="343"/>
      <c r="U503" s="343">
        <f t="shared" ca="1" si="95"/>
        <v>1.0000000000000002</v>
      </c>
      <c r="V503" s="345">
        <f t="shared" si="96"/>
        <v>22.392857142857142</v>
      </c>
    </row>
    <row r="504" spans="2:22" x14ac:dyDescent="0.3">
      <c r="B504" s="246">
        <v>497</v>
      </c>
      <c r="C504" s="437">
        <f>B504*MechanicalData!$B$22/360</f>
        <v>75.930555555555557</v>
      </c>
      <c r="D504" s="437">
        <f>MechanicalData!$B$22</f>
        <v>55</v>
      </c>
      <c r="E504" s="248"/>
      <c r="F504" s="248"/>
      <c r="G504" s="437"/>
      <c r="H504" s="339">
        <f t="shared" si="97"/>
        <v>497</v>
      </c>
      <c r="I504" s="451">
        <f t="shared" si="98"/>
        <v>55</v>
      </c>
      <c r="J504" s="340">
        <f t="shared" si="99"/>
        <v>0.15277777777777779</v>
      </c>
      <c r="K504" s="341">
        <f t="shared" si="100"/>
        <v>75.930555555555557</v>
      </c>
      <c r="L504" s="333">
        <f t="shared" si="101"/>
        <v>11129.25</v>
      </c>
      <c r="M504" s="342">
        <f t="shared" si="102"/>
        <v>11129</v>
      </c>
      <c r="N504" s="343">
        <f t="shared" si="103"/>
        <v>75.930555555555543</v>
      </c>
      <c r="O504" s="343"/>
      <c r="P504" s="343">
        <f t="shared" si="104"/>
        <v>0</v>
      </c>
      <c r="Q504" s="344"/>
      <c r="R504" s="343">
        <f t="shared" si="105"/>
        <v>497.00000000000063</v>
      </c>
      <c r="S504" s="343">
        <f t="shared" si="106"/>
        <v>-6.2527760746888816E-13</v>
      </c>
      <c r="T504" s="343"/>
      <c r="U504" s="343">
        <f t="shared" ca="1" si="95"/>
        <v>1.0000000000000002</v>
      </c>
      <c r="V504" s="345">
        <f t="shared" si="96"/>
        <v>22.392857142857142</v>
      </c>
    </row>
    <row r="505" spans="2:22" x14ac:dyDescent="0.3">
      <c r="B505" s="246">
        <v>498</v>
      </c>
      <c r="C505" s="437">
        <f>B505*MechanicalData!$B$22/360</f>
        <v>76.083333333333329</v>
      </c>
      <c r="D505" s="437">
        <f>MechanicalData!$B$22</f>
        <v>55</v>
      </c>
      <c r="E505" s="248"/>
      <c r="F505" s="248"/>
      <c r="G505" s="437"/>
      <c r="H505" s="339">
        <f t="shared" si="97"/>
        <v>498</v>
      </c>
      <c r="I505" s="451">
        <f t="shared" si="98"/>
        <v>55</v>
      </c>
      <c r="J505" s="340">
        <f t="shared" si="99"/>
        <v>0.15277777777777779</v>
      </c>
      <c r="K505" s="341">
        <f t="shared" si="100"/>
        <v>76.083333333333329</v>
      </c>
      <c r="L505" s="333">
        <f t="shared" si="101"/>
        <v>11151.642857142855</v>
      </c>
      <c r="M505" s="342">
        <f t="shared" si="102"/>
        <v>11152</v>
      </c>
      <c r="N505" s="343">
        <f t="shared" si="103"/>
        <v>76.083333333333314</v>
      </c>
      <c r="O505" s="343"/>
      <c r="P505" s="343">
        <f t="shared" si="104"/>
        <v>0</v>
      </c>
      <c r="Q505" s="344"/>
      <c r="R505" s="343">
        <f t="shared" si="105"/>
        <v>498.00000000000051</v>
      </c>
      <c r="S505" s="343">
        <f t="shared" si="106"/>
        <v>-5.1159076974727213E-13</v>
      </c>
      <c r="T505" s="343"/>
      <c r="U505" s="343">
        <f t="shared" ca="1" si="95"/>
        <v>1.0000000000000002</v>
      </c>
      <c r="V505" s="345">
        <f t="shared" si="96"/>
        <v>22.392857142857142</v>
      </c>
    </row>
    <row r="506" spans="2:22" x14ac:dyDescent="0.3">
      <c r="B506" s="246">
        <v>499</v>
      </c>
      <c r="C506" s="437">
        <f>B506*MechanicalData!$B$22/360</f>
        <v>76.236111111111114</v>
      </c>
      <c r="D506" s="437">
        <f>MechanicalData!$B$22</f>
        <v>55</v>
      </c>
      <c r="E506" s="248"/>
      <c r="F506" s="248"/>
      <c r="G506" s="437"/>
      <c r="H506" s="339">
        <f t="shared" si="97"/>
        <v>499</v>
      </c>
      <c r="I506" s="451">
        <f t="shared" si="98"/>
        <v>55</v>
      </c>
      <c r="J506" s="340">
        <f t="shared" si="99"/>
        <v>0.15277777777777779</v>
      </c>
      <c r="K506" s="341">
        <f t="shared" si="100"/>
        <v>76.236111111111114</v>
      </c>
      <c r="L506" s="333">
        <f t="shared" si="101"/>
        <v>11174.035714285714</v>
      </c>
      <c r="M506" s="342">
        <f t="shared" si="102"/>
        <v>11174</v>
      </c>
      <c r="N506" s="343">
        <f t="shared" si="103"/>
        <v>76.236111111111114</v>
      </c>
      <c r="O506" s="343"/>
      <c r="P506" s="343">
        <f t="shared" si="104"/>
        <v>0</v>
      </c>
      <c r="Q506" s="344"/>
      <c r="R506" s="343">
        <f t="shared" si="105"/>
        <v>499.00000000000057</v>
      </c>
      <c r="S506" s="343">
        <f t="shared" si="106"/>
        <v>-5.6843418860808015E-13</v>
      </c>
      <c r="T506" s="343"/>
      <c r="U506" s="343">
        <f t="shared" ca="1" si="95"/>
        <v>1.0000000000000002</v>
      </c>
      <c r="V506" s="345">
        <f t="shared" si="96"/>
        <v>22.392857142857142</v>
      </c>
    </row>
    <row r="507" spans="2:22" x14ac:dyDescent="0.3">
      <c r="B507" s="246">
        <v>500</v>
      </c>
      <c r="C507" s="437">
        <f>B507*MechanicalData!$B$22/360</f>
        <v>76.388888888888886</v>
      </c>
      <c r="D507" s="437">
        <f>MechanicalData!$B$22</f>
        <v>55</v>
      </c>
      <c r="E507" s="248"/>
      <c r="F507" s="248"/>
      <c r="G507" s="437"/>
      <c r="H507" s="339">
        <f t="shared" si="97"/>
        <v>500</v>
      </c>
      <c r="I507" s="451">
        <f t="shared" si="98"/>
        <v>55</v>
      </c>
      <c r="J507" s="340">
        <f t="shared" si="99"/>
        <v>0.15277777777777779</v>
      </c>
      <c r="K507" s="341">
        <f t="shared" si="100"/>
        <v>76.388888888888886</v>
      </c>
      <c r="L507" s="333">
        <f t="shared" si="101"/>
        <v>11196.428571428571</v>
      </c>
      <c r="M507" s="342">
        <f t="shared" si="102"/>
        <v>11196</v>
      </c>
      <c r="N507" s="343">
        <f t="shared" si="103"/>
        <v>76.388888888888872</v>
      </c>
      <c r="O507" s="343"/>
      <c r="P507" s="343">
        <f t="shared" si="104"/>
        <v>0</v>
      </c>
      <c r="Q507" s="344"/>
      <c r="R507" s="343">
        <f t="shared" si="105"/>
        <v>500.00000000000057</v>
      </c>
      <c r="S507" s="343">
        <f t="shared" si="106"/>
        <v>-5.6843418860808015E-13</v>
      </c>
      <c r="T507" s="343"/>
      <c r="U507" s="343">
        <f t="shared" ca="1" si="95"/>
        <v>1.0000000000000002</v>
      </c>
      <c r="V507" s="345">
        <f t="shared" si="96"/>
        <v>22.392857142857142</v>
      </c>
    </row>
    <row r="508" spans="2:22" x14ac:dyDescent="0.3">
      <c r="B508" s="246">
        <v>501</v>
      </c>
      <c r="C508" s="437">
        <f>B508*MechanicalData!$B$22/360</f>
        <v>76.541666666666671</v>
      </c>
      <c r="D508" s="437">
        <f>MechanicalData!$B$22</f>
        <v>55</v>
      </c>
      <c r="E508" s="248"/>
      <c r="F508" s="248"/>
      <c r="G508" s="437"/>
      <c r="H508" s="339">
        <f t="shared" si="97"/>
        <v>501</v>
      </c>
      <c r="I508" s="451">
        <f t="shared" si="98"/>
        <v>55</v>
      </c>
      <c r="J508" s="340">
        <f t="shared" si="99"/>
        <v>0.15277777777777779</v>
      </c>
      <c r="K508" s="341">
        <f t="shared" si="100"/>
        <v>76.541666666666671</v>
      </c>
      <c r="L508" s="333">
        <f t="shared" si="101"/>
        <v>11218.821428571428</v>
      </c>
      <c r="M508" s="342">
        <f t="shared" si="102"/>
        <v>11219</v>
      </c>
      <c r="N508" s="343">
        <f t="shared" si="103"/>
        <v>76.541666666666657</v>
      </c>
      <c r="O508" s="343"/>
      <c r="P508" s="343">
        <f t="shared" si="104"/>
        <v>0</v>
      </c>
      <c r="Q508" s="344"/>
      <c r="R508" s="343">
        <f t="shared" si="105"/>
        <v>501.00000000000057</v>
      </c>
      <c r="S508" s="343">
        <f t="shared" si="106"/>
        <v>-5.6843418860808015E-13</v>
      </c>
      <c r="T508" s="343"/>
      <c r="U508" s="343">
        <f t="shared" ca="1" si="95"/>
        <v>1.0000000000000002</v>
      </c>
      <c r="V508" s="345">
        <f t="shared" si="96"/>
        <v>22.392857142857142</v>
      </c>
    </row>
    <row r="509" spans="2:22" x14ac:dyDescent="0.3">
      <c r="B509" s="246">
        <v>502</v>
      </c>
      <c r="C509" s="437">
        <f>B509*MechanicalData!$B$22/360</f>
        <v>76.694444444444443</v>
      </c>
      <c r="D509" s="437">
        <f>MechanicalData!$B$22</f>
        <v>55</v>
      </c>
      <c r="E509" s="248"/>
      <c r="F509" s="248"/>
      <c r="G509" s="248"/>
      <c r="H509" s="339">
        <f t="shared" si="97"/>
        <v>502</v>
      </c>
      <c r="I509" s="451">
        <f t="shared" si="98"/>
        <v>55</v>
      </c>
      <c r="J509" s="340">
        <f t="shared" si="99"/>
        <v>0.15277777777777779</v>
      </c>
      <c r="K509" s="341">
        <f t="shared" si="100"/>
        <v>76.694444444444443</v>
      </c>
      <c r="L509" s="333">
        <f t="shared" si="101"/>
        <v>11241.214285714286</v>
      </c>
      <c r="M509" s="342">
        <f t="shared" si="102"/>
        <v>11241</v>
      </c>
      <c r="N509" s="343">
        <f t="shared" si="103"/>
        <v>76.694444444444443</v>
      </c>
      <c r="O509" s="343"/>
      <c r="P509" s="343">
        <f t="shared" si="104"/>
        <v>0</v>
      </c>
      <c r="Q509" s="344"/>
      <c r="R509" s="343">
        <f t="shared" si="105"/>
        <v>502.00000000000068</v>
      </c>
      <c r="S509" s="343">
        <f t="shared" si="106"/>
        <v>-6.8212102632969618E-13</v>
      </c>
      <c r="T509" s="343"/>
      <c r="U509" s="343">
        <f t="shared" ca="1" si="95"/>
        <v>1.0000000000000002</v>
      </c>
      <c r="V509" s="345">
        <f t="shared" si="96"/>
        <v>22.392857142857142</v>
      </c>
    </row>
    <row r="510" spans="2:22" x14ac:dyDescent="0.3">
      <c r="B510" s="246">
        <v>503</v>
      </c>
      <c r="C510" s="437">
        <f>B510*MechanicalData!$B$22/360</f>
        <v>76.847222222222229</v>
      </c>
      <c r="D510" s="437">
        <f>MechanicalData!$B$22</f>
        <v>55</v>
      </c>
      <c r="E510" s="248"/>
      <c r="F510" s="248"/>
      <c r="G510" s="248"/>
      <c r="H510" s="339">
        <f t="shared" si="97"/>
        <v>503</v>
      </c>
      <c r="I510" s="451">
        <f t="shared" si="98"/>
        <v>55</v>
      </c>
      <c r="J510" s="340">
        <f t="shared" si="99"/>
        <v>0.15277777777777779</v>
      </c>
      <c r="K510" s="341">
        <f t="shared" si="100"/>
        <v>76.847222222222229</v>
      </c>
      <c r="L510" s="333">
        <f t="shared" si="101"/>
        <v>11263.607142857143</v>
      </c>
      <c r="M510" s="342">
        <f t="shared" si="102"/>
        <v>11264</v>
      </c>
      <c r="N510" s="343">
        <f t="shared" si="103"/>
        <v>76.847222222222229</v>
      </c>
      <c r="O510" s="343"/>
      <c r="P510" s="343">
        <f t="shared" si="104"/>
        <v>0</v>
      </c>
      <c r="Q510" s="344"/>
      <c r="R510" s="343">
        <f t="shared" si="105"/>
        <v>503.00000000000063</v>
      </c>
      <c r="S510" s="343">
        <f t="shared" si="106"/>
        <v>-6.2527760746888816E-13</v>
      </c>
      <c r="T510" s="343"/>
      <c r="U510" s="343">
        <f t="shared" ca="1" si="95"/>
        <v>1.0000000000000002</v>
      </c>
      <c r="V510" s="345">
        <f t="shared" si="96"/>
        <v>22.392857142857142</v>
      </c>
    </row>
    <row r="511" spans="2:22" x14ac:dyDescent="0.3">
      <c r="B511" s="246">
        <v>504</v>
      </c>
      <c r="C511" s="437">
        <f>B511*MechanicalData!$B$22/360</f>
        <v>77</v>
      </c>
      <c r="D511" s="437">
        <f>MechanicalData!$B$22</f>
        <v>55</v>
      </c>
      <c r="E511" s="248"/>
      <c r="F511" s="248"/>
      <c r="G511" s="248"/>
      <c r="H511" s="339">
        <f t="shared" si="97"/>
        <v>504</v>
      </c>
      <c r="I511" s="451">
        <f t="shared" si="98"/>
        <v>55</v>
      </c>
      <c r="J511" s="340">
        <f t="shared" si="99"/>
        <v>0.15277777777777779</v>
      </c>
      <c r="K511" s="341">
        <f t="shared" si="100"/>
        <v>77</v>
      </c>
      <c r="L511" s="333">
        <f t="shared" si="101"/>
        <v>11286</v>
      </c>
      <c r="M511" s="342">
        <f t="shared" si="102"/>
        <v>11286</v>
      </c>
      <c r="N511" s="343">
        <f t="shared" si="103"/>
        <v>76.999999999999986</v>
      </c>
      <c r="O511" s="343"/>
      <c r="P511" s="343">
        <f t="shared" si="104"/>
        <v>0</v>
      </c>
      <c r="Q511" s="344"/>
      <c r="R511" s="343">
        <f t="shared" si="105"/>
        <v>504.00000000000063</v>
      </c>
      <c r="S511" s="343">
        <f t="shared" si="106"/>
        <v>-6.2527760746888816E-13</v>
      </c>
      <c r="T511" s="343"/>
      <c r="U511" s="343">
        <f t="shared" ca="1" si="95"/>
        <v>1.0000000000000002</v>
      </c>
      <c r="V511" s="345">
        <f t="shared" si="96"/>
        <v>22.392857142857142</v>
      </c>
    </row>
    <row r="512" spans="2:22" x14ac:dyDescent="0.3">
      <c r="B512" s="246">
        <v>505</v>
      </c>
      <c r="C512" s="437">
        <f>B512*MechanicalData!$B$22/360</f>
        <v>77.152777777777771</v>
      </c>
      <c r="D512" s="437">
        <f>MechanicalData!$B$22</f>
        <v>55</v>
      </c>
      <c r="E512" s="248"/>
      <c r="F512" s="248"/>
      <c r="G512" s="248"/>
      <c r="H512" s="339">
        <f t="shared" si="97"/>
        <v>505</v>
      </c>
      <c r="I512" s="451">
        <f t="shared" si="98"/>
        <v>55</v>
      </c>
      <c r="J512" s="340">
        <f t="shared" si="99"/>
        <v>0.15277777777777779</v>
      </c>
      <c r="K512" s="341">
        <f t="shared" si="100"/>
        <v>77.152777777777771</v>
      </c>
      <c r="L512" s="333">
        <f t="shared" si="101"/>
        <v>11308.392857142855</v>
      </c>
      <c r="M512" s="342">
        <f t="shared" si="102"/>
        <v>11308</v>
      </c>
      <c r="N512" s="343">
        <f t="shared" si="103"/>
        <v>77.152777777777757</v>
      </c>
      <c r="O512" s="343"/>
      <c r="P512" s="343">
        <f t="shared" si="104"/>
        <v>0</v>
      </c>
      <c r="Q512" s="344"/>
      <c r="R512" s="343">
        <f t="shared" si="105"/>
        <v>505.00000000000057</v>
      </c>
      <c r="S512" s="343">
        <f t="shared" si="106"/>
        <v>-5.6843418860808015E-13</v>
      </c>
      <c r="T512" s="343"/>
      <c r="U512" s="343">
        <f t="shared" ca="1" si="95"/>
        <v>1.0000000000000002</v>
      </c>
      <c r="V512" s="345">
        <f t="shared" si="96"/>
        <v>22.392857142857142</v>
      </c>
    </row>
    <row r="513" spans="2:22" x14ac:dyDescent="0.3">
      <c r="B513" s="246">
        <v>506</v>
      </c>
      <c r="C513" s="437">
        <f>B513*MechanicalData!$B$22/360</f>
        <v>77.305555555555557</v>
      </c>
      <c r="D513" s="437">
        <f>MechanicalData!$B$22</f>
        <v>55</v>
      </c>
      <c r="E513" s="248"/>
      <c r="F513" s="248"/>
      <c r="G513" s="248"/>
      <c r="H513" s="339">
        <f t="shared" si="97"/>
        <v>506</v>
      </c>
      <c r="I513" s="451">
        <f t="shared" si="98"/>
        <v>55</v>
      </c>
      <c r="J513" s="340">
        <f t="shared" si="99"/>
        <v>0.15277777777777779</v>
      </c>
      <c r="K513" s="341">
        <f t="shared" si="100"/>
        <v>77.305555555555557</v>
      </c>
      <c r="L513" s="333">
        <f t="shared" si="101"/>
        <v>11330.785714285714</v>
      </c>
      <c r="M513" s="342">
        <f t="shared" si="102"/>
        <v>11331</v>
      </c>
      <c r="N513" s="343">
        <f t="shared" si="103"/>
        <v>77.305555555555557</v>
      </c>
      <c r="O513" s="343"/>
      <c r="P513" s="343">
        <f t="shared" si="104"/>
        <v>0</v>
      </c>
      <c r="Q513" s="344"/>
      <c r="R513" s="343">
        <f t="shared" si="105"/>
        <v>506.00000000000057</v>
      </c>
      <c r="S513" s="343">
        <f t="shared" si="106"/>
        <v>-5.6843418860808015E-13</v>
      </c>
      <c r="T513" s="343"/>
      <c r="U513" s="343">
        <f t="shared" ca="1" si="95"/>
        <v>1.0000000000000002</v>
      </c>
      <c r="V513" s="345">
        <f t="shared" si="96"/>
        <v>22.392857142857142</v>
      </c>
    </row>
    <row r="514" spans="2:22" x14ac:dyDescent="0.3">
      <c r="B514" s="246">
        <v>507</v>
      </c>
      <c r="C514" s="437">
        <f>B514*MechanicalData!$B$22/360</f>
        <v>77.458333333333329</v>
      </c>
      <c r="D514" s="437">
        <f>MechanicalData!$B$22</f>
        <v>55</v>
      </c>
      <c r="E514" s="248"/>
      <c r="F514" s="248"/>
      <c r="G514" s="248"/>
      <c r="H514" s="339">
        <f t="shared" si="97"/>
        <v>507</v>
      </c>
      <c r="I514" s="451">
        <f t="shared" si="98"/>
        <v>55</v>
      </c>
      <c r="J514" s="340">
        <f t="shared" si="99"/>
        <v>0.15277777777777779</v>
      </c>
      <c r="K514" s="341">
        <f t="shared" si="100"/>
        <v>77.458333333333329</v>
      </c>
      <c r="L514" s="333">
        <f t="shared" si="101"/>
        <v>11353.178571428571</v>
      </c>
      <c r="M514" s="342">
        <f t="shared" si="102"/>
        <v>11353</v>
      </c>
      <c r="N514" s="343">
        <f t="shared" si="103"/>
        <v>77.458333333333314</v>
      </c>
      <c r="O514" s="343"/>
      <c r="P514" s="343">
        <f t="shared" si="104"/>
        <v>0</v>
      </c>
      <c r="Q514" s="344"/>
      <c r="R514" s="343">
        <f t="shared" si="105"/>
        <v>507.00000000000057</v>
      </c>
      <c r="S514" s="343">
        <f t="shared" si="106"/>
        <v>-5.6843418860808015E-13</v>
      </c>
      <c r="T514" s="343"/>
      <c r="U514" s="343">
        <f t="shared" ca="1" si="95"/>
        <v>1.0000000000000002</v>
      </c>
      <c r="V514" s="345">
        <f t="shared" si="96"/>
        <v>22.392857142857142</v>
      </c>
    </row>
    <row r="515" spans="2:22" x14ac:dyDescent="0.3">
      <c r="B515" s="246">
        <v>508</v>
      </c>
      <c r="C515" s="437">
        <f>B515*MechanicalData!$B$22/360</f>
        <v>77.611111111111114</v>
      </c>
      <c r="D515" s="437">
        <f>MechanicalData!$B$22</f>
        <v>55</v>
      </c>
      <c r="E515" s="248"/>
      <c r="F515" s="248"/>
      <c r="G515" s="248"/>
      <c r="H515" s="339">
        <f t="shared" si="97"/>
        <v>508</v>
      </c>
      <c r="I515" s="451">
        <f t="shared" si="98"/>
        <v>55</v>
      </c>
      <c r="J515" s="340">
        <f t="shared" si="99"/>
        <v>0.15277777777777779</v>
      </c>
      <c r="K515" s="341">
        <f t="shared" si="100"/>
        <v>77.611111111111114</v>
      </c>
      <c r="L515" s="333">
        <f t="shared" si="101"/>
        <v>11375.571428571429</v>
      </c>
      <c r="M515" s="342">
        <f t="shared" si="102"/>
        <v>11376</v>
      </c>
      <c r="N515" s="343">
        <f t="shared" si="103"/>
        <v>77.611111111111114</v>
      </c>
      <c r="O515" s="343"/>
      <c r="P515" s="343">
        <f t="shared" si="104"/>
        <v>0</v>
      </c>
      <c r="Q515" s="344"/>
      <c r="R515" s="343">
        <f t="shared" si="105"/>
        <v>508.00000000000068</v>
      </c>
      <c r="S515" s="343">
        <f t="shared" si="106"/>
        <v>-6.8212102632969618E-13</v>
      </c>
      <c r="T515" s="343"/>
      <c r="U515" s="343">
        <f t="shared" ca="1" si="95"/>
        <v>1.0000000000000002</v>
      </c>
      <c r="V515" s="345">
        <f t="shared" si="96"/>
        <v>22.392857142857142</v>
      </c>
    </row>
    <row r="516" spans="2:22" x14ac:dyDescent="0.3">
      <c r="B516" s="246">
        <v>509</v>
      </c>
      <c r="C516" s="437">
        <f>B516*MechanicalData!$B$22/360</f>
        <v>77.763888888888886</v>
      </c>
      <c r="D516" s="437">
        <f>MechanicalData!$B$22</f>
        <v>55</v>
      </c>
      <c r="E516" s="248"/>
      <c r="F516" s="248"/>
      <c r="G516" s="248"/>
      <c r="H516" s="339">
        <f t="shared" si="97"/>
        <v>509</v>
      </c>
      <c r="I516" s="451">
        <f t="shared" si="98"/>
        <v>55</v>
      </c>
      <c r="J516" s="340">
        <f t="shared" si="99"/>
        <v>0.15277777777777779</v>
      </c>
      <c r="K516" s="341">
        <f t="shared" si="100"/>
        <v>77.763888888888886</v>
      </c>
      <c r="L516" s="333">
        <f t="shared" si="101"/>
        <v>11397.964285714284</v>
      </c>
      <c r="M516" s="342">
        <f t="shared" si="102"/>
        <v>11398</v>
      </c>
      <c r="N516" s="343">
        <f t="shared" si="103"/>
        <v>77.763888888888872</v>
      </c>
      <c r="O516" s="343"/>
      <c r="P516" s="343">
        <f t="shared" si="104"/>
        <v>0</v>
      </c>
      <c r="Q516" s="344"/>
      <c r="R516" s="343">
        <f t="shared" si="105"/>
        <v>509.00000000000063</v>
      </c>
      <c r="S516" s="343">
        <f t="shared" si="106"/>
        <v>-6.2527760746888816E-13</v>
      </c>
      <c r="T516" s="343"/>
      <c r="U516" s="343">
        <f t="shared" ca="1" si="95"/>
        <v>1.0000000000000002</v>
      </c>
      <c r="V516" s="345">
        <f t="shared" si="96"/>
        <v>22.392857142857142</v>
      </c>
    </row>
    <row r="517" spans="2:22" x14ac:dyDescent="0.3">
      <c r="B517" s="246">
        <v>510</v>
      </c>
      <c r="C517" s="437">
        <f>B517*MechanicalData!$B$22/360</f>
        <v>77.916666666666671</v>
      </c>
      <c r="D517" s="437">
        <f>MechanicalData!$B$22</f>
        <v>55</v>
      </c>
      <c r="E517" s="248"/>
      <c r="F517" s="248"/>
      <c r="G517" s="248"/>
      <c r="H517" s="339">
        <f t="shared" si="97"/>
        <v>510</v>
      </c>
      <c r="I517" s="451">
        <f t="shared" si="98"/>
        <v>55</v>
      </c>
      <c r="J517" s="340">
        <f t="shared" si="99"/>
        <v>0.15277777777777779</v>
      </c>
      <c r="K517" s="341">
        <f t="shared" si="100"/>
        <v>77.916666666666671</v>
      </c>
      <c r="L517" s="333">
        <f t="shared" si="101"/>
        <v>11420.357142857143</v>
      </c>
      <c r="M517" s="342">
        <f t="shared" si="102"/>
        <v>11420</v>
      </c>
      <c r="N517" s="343">
        <f t="shared" si="103"/>
        <v>77.916666666666671</v>
      </c>
      <c r="O517" s="343"/>
      <c r="P517" s="343">
        <f t="shared" si="104"/>
        <v>0</v>
      </c>
      <c r="Q517" s="344"/>
      <c r="R517" s="343">
        <f t="shared" si="105"/>
        <v>510.00000000000068</v>
      </c>
      <c r="S517" s="343">
        <f t="shared" si="106"/>
        <v>-6.8212102632969618E-13</v>
      </c>
      <c r="T517" s="343"/>
      <c r="U517" s="343">
        <f t="shared" ca="1" si="95"/>
        <v>1.0000000000000002</v>
      </c>
      <c r="V517" s="345">
        <f t="shared" si="96"/>
        <v>22.392857142857142</v>
      </c>
    </row>
    <row r="518" spans="2:22" x14ac:dyDescent="0.3">
      <c r="B518" s="246">
        <v>511</v>
      </c>
      <c r="C518" s="437">
        <f>B518*MechanicalData!$B$22/360</f>
        <v>78.069444444444443</v>
      </c>
      <c r="D518" s="437">
        <f>MechanicalData!$B$22</f>
        <v>55</v>
      </c>
      <c r="E518" s="248"/>
      <c r="F518" s="248"/>
      <c r="G518" s="248"/>
      <c r="H518" s="339">
        <f t="shared" si="97"/>
        <v>511</v>
      </c>
      <c r="I518" s="451">
        <f t="shared" si="98"/>
        <v>55</v>
      </c>
      <c r="J518" s="340">
        <f t="shared" si="99"/>
        <v>0.15277777777777779</v>
      </c>
      <c r="K518" s="341">
        <f t="shared" si="100"/>
        <v>78.069444444444443</v>
      </c>
      <c r="L518" s="333">
        <f t="shared" si="101"/>
        <v>11442.75</v>
      </c>
      <c r="M518" s="342">
        <f t="shared" si="102"/>
        <v>11443</v>
      </c>
      <c r="N518" s="343">
        <f t="shared" si="103"/>
        <v>78.069444444444443</v>
      </c>
      <c r="O518" s="343"/>
      <c r="P518" s="343">
        <f t="shared" si="104"/>
        <v>0</v>
      </c>
      <c r="Q518" s="344"/>
      <c r="R518" s="343">
        <f t="shared" si="105"/>
        <v>511.00000000000063</v>
      </c>
      <c r="S518" s="343">
        <f t="shared" si="106"/>
        <v>-6.2527760746888816E-13</v>
      </c>
      <c r="T518" s="343"/>
      <c r="U518" s="343">
        <f t="shared" ca="1" si="95"/>
        <v>1.0000000000000002</v>
      </c>
      <c r="V518" s="345">
        <f t="shared" si="96"/>
        <v>22.392857142857142</v>
      </c>
    </row>
    <row r="519" spans="2:22" x14ac:dyDescent="0.3">
      <c r="B519" s="246">
        <v>512</v>
      </c>
      <c r="C519" s="437">
        <f>B519*MechanicalData!$B$22/360</f>
        <v>78.222222222222229</v>
      </c>
      <c r="D519" s="437">
        <f>MechanicalData!$B$22</f>
        <v>55</v>
      </c>
      <c r="E519" s="248"/>
      <c r="F519" s="248"/>
      <c r="G519" s="248"/>
      <c r="H519" s="339">
        <f t="shared" si="97"/>
        <v>512</v>
      </c>
      <c r="I519" s="451">
        <f t="shared" si="98"/>
        <v>55</v>
      </c>
      <c r="J519" s="340">
        <f t="shared" si="99"/>
        <v>0.15277777777777779</v>
      </c>
      <c r="K519" s="341">
        <f t="shared" si="100"/>
        <v>78.222222222222229</v>
      </c>
      <c r="L519" s="333">
        <f t="shared" si="101"/>
        <v>11465.142857142857</v>
      </c>
      <c r="M519" s="342">
        <f t="shared" si="102"/>
        <v>11465</v>
      </c>
      <c r="N519" s="343">
        <f t="shared" si="103"/>
        <v>78.222222222222229</v>
      </c>
      <c r="O519" s="343"/>
      <c r="P519" s="343">
        <f t="shared" si="104"/>
        <v>0</v>
      </c>
      <c r="Q519" s="344"/>
      <c r="R519" s="343">
        <f t="shared" si="105"/>
        <v>512.00000000000057</v>
      </c>
      <c r="S519" s="343">
        <f t="shared" si="106"/>
        <v>0</v>
      </c>
      <c r="T519" s="343"/>
      <c r="U519" s="343">
        <f t="shared" ca="1" si="95"/>
        <v>1.0000000000000002</v>
      </c>
      <c r="V519" s="345">
        <f t="shared" si="96"/>
        <v>22.392857142857142</v>
      </c>
    </row>
    <row r="520" spans="2:22" x14ac:dyDescent="0.3">
      <c r="B520" s="246">
        <v>513</v>
      </c>
      <c r="C520" s="437">
        <f>B520*MechanicalData!$B$22/360</f>
        <v>78.375</v>
      </c>
      <c r="D520" s="437">
        <f>MechanicalData!$B$22</f>
        <v>55</v>
      </c>
      <c r="E520" s="248"/>
      <c r="F520" s="248"/>
      <c r="G520" s="248"/>
      <c r="H520" s="339">
        <f t="shared" si="97"/>
        <v>513</v>
      </c>
      <c r="I520" s="451">
        <f t="shared" si="98"/>
        <v>55</v>
      </c>
      <c r="J520" s="340">
        <f t="shared" si="99"/>
        <v>0.15277777777777779</v>
      </c>
      <c r="K520" s="341">
        <f t="shared" si="100"/>
        <v>78.375</v>
      </c>
      <c r="L520" s="333">
        <f t="shared" si="101"/>
        <v>11487.535714285714</v>
      </c>
      <c r="M520" s="342">
        <f t="shared" si="102"/>
        <v>11488</v>
      </c>
      <c r="N520" s="343">
        <f t="shared" si="103"/>
        <v>78.374999999999986</v>
      </c>
      <c r="O520" s="343"/>
      <c r="P520" s="343">
        <f t="shared" si="104"/>
        <v>0</v>
      </c>
      <c r="Q520" s="344"/>
      <c r="R520" s="343">
        <f t="shared" si="105"/>
        <v>513.00000000000057</v>
      </c>
      <c r="S520" s="343">
        <f t="shared" si="106"/>
        <v>0</v>
      </c>
      <c r="T520" s="343"/>
      <c r="U520" s="343">
        <f t="shared" ref="U520:U542" ca="1" si="107">$V520/$Z$9</f>
        <v>1.0000000000000002</v>
      </c>
      <c r="V520" s="345">
        <f t="shared" si="96"/>
        <v>22.392857142857142</v>
      </c>
    </row>
    <row r="521" spans="2:22" x14ac:dyDescent="0.3">
      <c r="B521" s="246">
        <v>514</v>
      </c>
      <c r="C521" s="437">
        <f>B521*MechanicalData!$B$22/360</f>
        <v>78.527777777777771</v>
      </c>
      <c r="D521" s="437">
        <f>MechanicalData!$B$22</f>
        <v>55</v>
      </c>
      <c r="E521" s="248"/>
      <c r="F521" s="248"/>
      <c r="G521" s="248"/>
      <c r="H521" s="339">
        <f t="shared" si="97"/>
        <v>514</v>
      </c>
      <c r="I521" s="451">
        <f t="shared" si="98"/>
        <v>55</v>
      </c>
      <c r="J521" s="340">
        <f t="shared" si="99"/>
        <v>0.15277777777777779</v>
      </c>
      <c r="K521" s="341">
        <f t="shared" si="100"/>
        <v>78.527777777777771</v>
      </c>
      <c r="L521" s="333">
        <f t="shared" si="101"/>
        <v>11509.928571428569</v>
      </c>
      <c r="M521" s="342">
        <f t="shared" si="102"/>
        <v>11510</v>
      </c>
      <c r="N521" s="343">
        <f t="shared" si="103"/>
        <v>78.527777777777757</v>
      </c>
      <c r="O521" s="343"/>
      <c r="P521" s="343">
        <f t="shared" si="104"/>
        <v>0</v>
      </c>
      <c r="Q521" s="344"/>
      <c r="R521" s="343">
        <f t="shared" si="105"/>
        <v>514.00000000000057</v>
      </c>
      <c r="S521" s="343">
        <f t="shared" si="106"/>
        <v>0</v>
      </c>
      <c r="T521" s="343"/>
      <c r="U521" s="343">
        <f t="shared" ca="1" si="107"/>
        <v>1.0000000000000002</v>
      </c>
      <c r="V521" s="345">
        <f t="shared" ref="V521:V542" si="108">$I521/$Z$7</f>
        <v>22.392857142857142</v>
      </c>
    </row>
    <row r="522" spans="2:22" x14ac:dyDescent="0.3">
      <c r="B522" s="246">
        <v>515</v>
      </c>
      <c r="C522" s="437">
        <f>B522*MechanicalData!$B$22/360</f>
        <v>78.680555555555557</v>
      </c>
      <c r="D522" s="437">
        <f>MechanicalData!$B$22</f>
        <v>55</v>
      </c>
      <c r="E522" s="248"/>
      <c r="F522" s="248"/>
      <c r="G522" s="248"/>
      <c r="H522" s="339">
        <f t="shared" si="97"/>
        <v>515</v>
      </c>
      <c r="I522" s="451">
        <f t="shared" si="98"/>
        <v>55</v>
      </c>
      <c r="J522" s="340">
        <f t="shared" si="99"/>
        <v>0.15277777777777779</v>
      </c>
      <c r="K522" s="341">
        <f t="shared" si="100"/>
        <v>78.680555555555557</v>
      </c>
      <c r="L522" s="333">
        <f t="shared" si="101"/>
        <v>11532.321428571428</v>
      </c>
      <c r="M522" s="342">
        <f t="shared" si="102"/>
        <v>11532</v>
      </c>
      <c r="N522" s="343">
        <f t="shared" si="103"/>
        <v>78.680555555555543</v>
      </c>
      <c r="O522" s="343"/>
      <c r="P522" s="343">
        <f t="shared" si="104"/>
        <v>0</v>
      </c>
      <c r="Q522" s="344"/>
      <c r="R522" s="343">
        <f t="shared" si="105"/>
        <v>515.00000000000057</v>
      </c>
      <c r="S522" s="343">
        <f t="shared" si="106"/>
        <v>0</v>
      </c>
      <c r="T522" s="343"/>
      <c r="U522" s="343">
        <f t="shared" ca="1" si="107"/>
        <v>1.0000000000000002</v>
      </c>
      <c r="V522" s="345">
        <f t="shared" si="108"/>
        <v>22.392857142857142</v>
      </c>
    </row>
    <row r="523" spans="2:22" x14ac:dyDescent="0.3">
      <c r="B523" s="246">
        <v>516</v>
      </c>
      <c r="C523" s="437">
        <f>B523*MechanicalData!$B$22/360</f>
        <v>78.833333333333329</v>
      </c>
      <c r="D523" s="437">
        <f>MechanicalData!$B$22</f>
        <v>55</v>
      </c>
      <c r="E523" s="248"/>
      <c r="F523" s="248"/>
      <c r="G523" s="248"/>
      <c r="H523" s="339">
        <f t="shared" si="97"/>
        <v>516</v>
      </c>
      <c r="I523" s="451">
        <f t="shared" si="98"/>
        <v>55</v>
      </c>
      <c r="J523" s="340">
        <f t="shared" si="99"/>
        <v>0.15277777777777779</v>
      </c>
      <c r="K523" s="341">
        <f t="shared" si="100"/>
        <v>78.833333333333329</v>
      </c>
      <c r="L523" s="333">
        <f t="shared" si="101"/>
        <v>11554.714285714284</v>
      </c>
      <c r="M523" s="342">
        <f t="shared" si="102"/>
        <v>11555</v>
      </c>
      <c r="N523" s="343">
        <f t="shared" si="103"/>
        <v>78.833333333333314</v>
      </c>
      <c r="O523" s="343"/>
      <c r="P523" s="343">
        <f t="shared" si="104"/>
        <v>0</v>
      </c>
      <c r="Q523" s="344"/>
      <c r="R523" s="343">
        <f t="shared" si="105"/>
        <v>516.00000000000057</v>
      </c>
      <c r="S523" s="343">
        <f t="shared" si="106"/>
        <v>0</v>
      </c>
      <c r="T523" s="343"/>
      <c r="U523" s="343">
        <f t="shared" ca="1" si="107"/>
        <v>1.0000000000000002</v>
      </c>
      <c r="V523" s="345">
        <f t="shared" si="108"/>
        <v>22.392857142857142</v>
      </c>
    </row>
    <row r="524" spans="2:22" x14ac:dyDescent="0.3">
      <c r="B524" s="246">
        <v>517</v>
      </c>
      <c r="C524" s="437">
        <f>B524*MechanicalData!$B$22/360</f>
        <v>78.986111111111114</v>
      </c>
      <c r="D524" s="437">
        <f>MechanicalData!$B$22</f>
        <v>55</v>
      </c>
      <c r="E524" s="248"/>
      <c r="F524" s="248"/>
      <c r="G524" s="248"/>
      <c r="H524" s="339">
        <f t="shared" si="97"/>
        <v>517</v>
      </c>
      <c r="I524" s="451">
        <f t="shared" si="98"/>
        <v>55</v>
      </c>
      <c r="J524" s="340">
        <f t="shared" si="99"/>
        <v>0.15277777777777779</v>
      </c>
      <c r="K524" s="341">
        <f t="shared" si="100"/>
        <v>78.986111111111114</v>
      </c>
      <c r="L524" s="333">
        <f t="shared" si="101"/>
        <v>11577.107142857143</v>
      </c>
      <c r="M524" s="342">
        <f t="shared" si="102"/>
        <v>11577</v>
      </c>
      <c r="N524" s="343">
        <f t="shared" si="103"/>
        <v>78.986111111111114</v>
      </c>
      <c r="O524" s="343"/>
      <c r="P524" s="343">
        <f t="shared" si="104"/>
        <v>0</v>
      </c>
      <c r="Q524" s="344"/>
      <c r="R524" s="343">
        <f t="shared" si="105"/>
        <v>517.00000000000068</v>
      </c>
      <c r="S524" s="343">
        <f t="shared" si="106"/>
        <v>0</v>
      </c>
      <c r="T524" s="343"/>
      <c r="U524" s="343">
        <f t="shared" ca="1" si="107"/>
        <v>1.0000000000000002</v>
      </c>
      <c r="V524" s="345">
        <f t="shared" si="108"/>
        <v>22.392857142857142</v>
      </c>
    </row>
    <row r="525" spans="2:22" x14ac:dyDescent="0.3">
      <c r="B525" s="246">
        <v>518</v>
      </c>
      <c r="C525" s="437">
        <f>B525*MechanicalData!$B$22/360</f>
        <v>79.138888888888886</v>
      </c>
      <c r="D525" s="437">
        <f>MechanicalData!$B$22</f>
        <v>55</v>
      </c>
      <c r="E525" s="248"/>
      <c r="F525" s="248"/>
      <c r="G525" s="248"/>
      <c r="H525" s="339">
        <f t="shared" si="97"/>
        <v>518</v>
      </c>
      <c r="I525" s="451">
        <f t="shared" si="98"/>
        <v>55</v>
      </c>
      <c r="J525" s="340">
        <f t="shared" si="99"/>
        <v>0.15277777777777779</v>
      </c>
      <c r="K525" s="341">
        <f t="shared" si="100"/>
        <v>79.138888888888886</v>
      </c>
      <c r="L525" s="333">
        <f t="shared" si="101"/>
        <v>11599.5</v>
      </c>
      <c r="M525" s="342">
        <f t="shared" si="102"/>
        <v>11600</v>
      </c>
      <c r="N525" s="343">
        <f t="shared" si="103"/>
        <v>79.138888888888886</v>
      </c>
      <c r="O525" s="343"/>
      <c r="P525" s="343">
        <f t="shared" si="104"/>
        <v>0</v>
      </c>
      <c r="Q525" s="344"/>
      <c r="R525" s="343">
        <f t="shared" si="105"/>
        <v>518.00000000000068</v>
      </c>
      <c r="S525" s="343">
        <f t="shared" si="106"/>
        <v>0</v>
      </c>
      <c r="T525" s="343"/>
      <c r="U525" s="343">
        <f t="shared" ca="1" si="107"/>
        <v>1.0000000000000002</v>
      </c>
      <c r="V525" s="345">
        <f t="shared" si="108"/>
        <v>22.392857142857142</v>
      </c>
    </row>
    <row r="526" spans="2:22" x14ac:dyDescent="0.3">
      <c r="B526" s="246">
        <v>519</v>
      </c>
      <c r="C526" s="437">
        <f>B526*MechanicalData!$B$22/360</f>
        <v>79.291666666666671</v>
      </c>
      <c r="D526" s="437">
        <f>MechanicalData!$B$22</f>
        <v>55</v>
      </c>
      <c r="E526" s="248"/>
      <c r="F526" s="248"/>
      <c r="G526" s="248"/>
      <c r="H526" s="339">
        <f t="shared" si="97"/>
        <v>519</v>
      </c>
      <c r="I526" s="451">
        <f t="shared" si="98"/>
        <v>55</v>
      </c>
      <c r="J526" s="340">
        <f t="shared" si="99"/>
        <v>0.15277777777777779</v>
      </c>
      <c r="K526" s="341">
        <f t="shared" si="100"/>
        <v>79.291666666666671</v>
      </c>
      <c r="L526" s="333">
        <f t="shared" si="101"/>
        <v>11621.892857142859</v>
      </c>
      <c r="M526" s="342">
        <f t="shared" si="102"/>
        <v>11622</v>
      </c>
      <c r="N526" s="343">
        <f t="shared" si="103"/>
        <v>79.291666666666671</v>
      </c>
      <c r="O526" s="343"/>
      <c r="P526" s="343">
        <f t="shared" si="104"/>
        <v>0</v>
      </c>
      <c r="Q526" s="344"/>
      <c r="R526" s="343">
        <f t="shared" si="105"/>
        <v>519.00000000000068</v>
      </c>
      <c r="S526" s="343">
        <f t="shared" si="106"/>
        <v>0</v>
      </c>
      <c r="T526" s="343"/>
      <c r="U526" s="343">
        <f t="shared" ca="1" si="107"/>
        <v>1.0000000000000002</v>
      </c>
      <c r="V526" s="345">
        <f t="shared" si="108"/>
        <v>22.392857142857142</v>
      </c>
    </row>
    <row r="527" spans="2:22" x14ac:dyDescent="0.3">
      <c r="B527" s="246">
        <v>520</v>
      </c>
      <c r="C527" s="437">
        <f>B527*MechanicalData!$B$22/360</f>
        <v>79.444444444444443</v>
      </c>
      <c r="D527" s="437">
        <f>MechanicalData!$B$22</f>
        <v>55</v>
      </c>
      <c r="E527" s="248"/>
      <c r="F527" s="248"/>
      <c r="G527" s="248"/>
      <c r="H527" s="339">
        <f t="shared" si="97"/>
        <v>520</v>
      </c>
      <c r="I527" s="451">
        <f t="shared" si="98"/>
        <v>55</v>
      </c>
      <c r="J527" s="340">
        <f t="shared" si="99"/>
        <v>0.15277777777777779</v>
      </c>
      <c r="K527" s="341">
        <f t="shared" si="100"/>
        <v>79.444444444444443</v>
      </c>
      <c r="L527" s="333">
        <f t="shared" si="101"/>
        <v>11644.285714285714</v>
      </c>
      <c r="M527" s="342">
        <f t="shared" si="102"/>
        <v>11644</v>
      </c>
      <c r="N527" s="343">
        <f t="shared" si="103"/>
        <v>79.444444444444443</v>
      </c>
      <c r="O527" s="343"/>
      <c r="P527" s="343">
        <f t="shared" si="104"/>
        <v>0</v>
      </c>
      <c r="Q527" s="344"/>
      <c r="R527" s="343">
        <f t="shared" si="105"/>
        <v>520.00000000000057</v>
      </c>
      <c r="S527" s="343">
        <f t="shared" si="106"/>
        <v>0</v>
      </c>
      <c r="T527" s="343"/>
      <c r="U527" s="343">
        <f t="shared" ca="1" si="107"/>
        <v>1.0000000000000002</v>
      </c>
      <c r="V527" s="345">
        <f t="shared" si="108"/>
        <v>22.392857142857142</v>
      </c>
    </row>
    <row r="528" spans="2:22" x14ac:dyDescent="0.3">
      <c r="B528" s="246">
        <v>521</v>
      </c>
      <c r="C528" s="437">
        <f>B528*MechanicalData!$B$22/360</f>
        <v>79.597222222222229</v>
      </c>
      <c r="D528" s="437">
        <f>MechanicalData!$B$22</f>
        <v>55</v>
      </c>
      <c r="E528" s="248"/>
      <c r="F528" s="248"/>
      <c r="G528" s="248"/>
      <c r="H528" s="339">
        <f t="shared" si="97"/>
        <v>521</v>
      </c>
      <c r="I528" s="451">
        <f t="shared" si="98"/>
        <v>55</v>
      </c>
      <c r="J528" s="340">
        <f t="shared" si="99"/>
        <v>0.15277777777777779</v>
      </c>
      <c r="K528" s="341">
        <f t="shared" si="100"/>
        <v>79.597222222222229</v>
      </c>
      <c r="L528" s="333">
        <f t="shared" si="101"/>
        <v>11666.678571428572</v>
      </c>
      <c r="M528" s="342">
        <f t="shared" si="102"/>
        <v>11667</v>
      </c>
      <c r="N528" s="343">
        <f t="shared" si="103"/>
        <v>79.597222222222229</v>
      </c>
      <c r="O528" s="343"/>
      <c r="P528" s="343">
        <f t="shared" si="104"/>
        <v>0</v>
      </c>
      <c r="Q528" s="344"/>
      <c r="R528" s="343">
        <f t="shared" si="105"/>
        <v>521.00000000000068</v>
      </c>
      <c r="S528" s="343">
        <f t="shared" si="106"/>
        <v>0</v>
      </c>
      <c r="T528" s="343"/>
      <c r="U528" s="343">
        <f t="shared" ca="1" si="107"/>
        <v>1.0000000000000002</v>
      </c>
      <c r="V528" s="345">
        <f t="shared" si="108"/>
        <v>22.392857142857142</v>
      </c>
    </row>
    <row r="529" spans="2:22" x14ac:dyDescent="0.3">
      <c r="B529" s="246">
        <v>522</v>
      </c>
      <c r="C529" s="437">
        <f>B529*MechanicalData!$B$22/360</f>
        <v>79.75</v>
      </c>
      <c r="D529" s="437">
        <f>MechanicalData!$B$22</f>
        <v>55</v>
      </c>
      <c r="E529" s="248"/>
      <c r="F529" s="248"/>
      <c r="G529" s="248"/>
      <c r="H529" s="339">
        <f t="shared" si="97"/>
        <v>522</v>
      </c>
      <c r="I529" s="451">
        <f t="shared" si="98"/>
        <v>55</v>
      </c>
      <c r="J529" s="340">
        <f t="shared" si="99"/>
        <v>0.15277777777777779</v>
      </c>
      <c r="K529" s="341">
        <f t="shared" si="100"/>
        <v>79.75</v>
      </c>
      <c r="L529" s="333">
        <f t="shared" si="101"/>
        <v>11689.071428571429</v>
      </c>
      <c r="M529" s="342">
        <f t="shared" si="102"/>
        <v>11689</v>
      </c>
      <c r="N529" s="343">
        <f t="shared" si="103"/>
        <v>79.75</v>
      </c>
      <c r="O529" s="343"/>
      <c r="P529" s="343">
        <f t="shared" si="104"/>
        <v>0</v>
      </c>
      <c r="Q529" s="344"/>
      <c r="R529" s="343">
        <f t="shared" si="105"/>
        <v>522.00000000000068</v>
      </c>
      <c r="S529" s="343">
        <f t="shared" si="106"/>
        <v>0</v>
      </c>
      <c r="T529" s="343"/>
      <c r="U529" s="343">
        <f t="shared" ca="1" si="107"/>
        <v>1.0000000000000002</v>
      </c>
      <c r="V529" s="345">
        <f t="shared" si="108"/>
        <v>22.392857142857142</v>
      </c>
    </row>
    <row r="530" spans="2:22" x14ac:dyDescent="0.3">
      <c r="B530" s="246">
        <v>523</v>
      </c>
      <c r="C530" s="437">
        <f>B530*MechanicalData!$B$22/360</f>
        <v>79.902777777777771</v>
      </c>
      <c r="D530" s="437">
        <f>MechanicalData!$B$22</f>
        <v>55</v>
      </c>
      <c r="E530" s="248"/>
      <c r="F530" s="248"/>
      <c r="G530" s="248"/>
      <c r="H530" s="339">
        <f t="shared" si="97"/>
        <v>523</v>
      </c>
      <c r="I530" s="451">
        <f t="shared" si="98"/>
        <v>55</v>
      </c>
      <c r="J530" s="340">
        <f t="shared" si="99"/>
        <v>0.15277777777777779</v>
      </c>
      <c r="K530" s="341">
        <f t="shared" si="100"/>
        <v>79.902777777777771</v>
      </c>
      <c r="L530" s="333">
        <f t="shared" si="101"/>
        <v>11711.464285714284</v>
      </c>
      <c r="M530" s="342">
        <f t="shared" si="102"/>
        <v>11711</v>
      </c>
      <c r="N530" s="343">
        <f t="shared" si="103"/>
        <v>79.902777777777771</v>
      </c>
      <c r="O530" s="343"/>
      <c r="P530" s="343">
        <f t="shared" si="104"/>
        <v>0</v>
      </c>
      <c r="Q530" s="344"/>
      <c r="R530" s="343">
        <f t="shared" si="105"/>
        <v>523.00000000000057</v>
      </c>
      <c r="S530" s="343">
        <f t="shared" si="106"/>
        <v>0</v>
      </c>
      <c r="T530" s="343"/>
      <c r="U530" s="343">
        <f t="shared" ca="1" si="107"/>
        <v>1.0000000000000002</v>
      </c>
      <c r="V530" s="345">
        <f t="shared" si="108"/>
        <v>22.392857142857142</v>
      </c>
    </row>
    <row r="531" spans="2:22" x14ac:dyDescent="0.3">
      <c r="B531" s="246">
        <v>524</v>
      </c>
      <c r="C531" s="437">
        <f>B531*MechanicalData!$B$22/360</f>
        <v>80.055555555555557</v>
      </c>
      <c r="D531" s="437">
        <f>MechanicalData!$B$22</f>
        <v>55</v>
      </c>
      <c r="E531" s="248"/>
      <c r="F531" s="248"/>
      <c r="G531" s="248"/>
      <c r="H531" s="339">
        <f t="shared" si="97"/>
        <v>524</v>
      </c>
      <c r="I531" s="451">
        <f t="shared" si="98"/>
        <v>55</v>
      </c>
      <c r="J531" s="340">
        <f t="shared" si="99"/>
        <v>0.15277777777777779</v>
      </c>
      <c r="K531" s="341">
        <f t="shared" si="100"/>
        <v>80.055555555555557</v>
      </c>
      <c r="L531" s="333">
        <f t="shared" si="101"/>
        <v>11733.857142857143</v>
      </c>
      <c r="M531" s="342">
        <f t="shared" si="102"/>
        <v>11734</v>
      </c>
      <c r="N531" s="343">
        <f t="shared" si="103"/>
        <v>80.055555555555557</v>
      </c>
      <c r="O531" s="343"/>
      <c r="P531" s="343">
        <f t="shared" si="104"/>
        <v>0</v>
      </c>
      <c r="Q531" s="344"/>
      <c r="R531" s="343">
        <f t="shared" si="105"/>
        <v>524.00000000000068</v>
      </c>
      <c r="S531" s="343">
        <f t="shared" si="106"/>
        <v>0</v>
      </c>
      <c r="T531" s="343"/>
      <c r="U531" s="343">
        <f t="shared" ca="1" si="107"/>
        <v>1.0000000000000002</v>
      </c>
      <c r="V531" s="345">
        <f t="shared" si="108"/>
        <v>22.392857142857142</v>
      </c>
    </row>
    <row r="532" spans="2:22" x14ac:dyDescent="0.3">
      <c r="B532" s="246">
        <v>525</v>
      </c>
      <c r="C532" s="437">
        <f>B532*MechanicalData!$B$22/360</f>
        <v>80.208333333333329</v>
      </c>
      <c r="D532" s="437">
        <f>MechanicalData!$B$22</f>
        <v>55</v>
      </c>
      <c r="E532" s="248"/>
      <c r="F532" s="248"/>
      <c r="G532" s="248"/>
      <c r="H532" s="339">
        <f t="shared" si="97"/>
        <v>525</v>
      </c>
      <c r="I532" s="451">
        <f t="shared" si="98"/>
        <v>55</v>
      </c>
      <c r="J532" s="340">
        <f t="shared" si="99"/>
        <v>0.15277777777777779</v>
      </c>
      <c r="K532" s="341">
        <f t="shared" si="100"/>
        <v>80.208333333333329</v>
      </c>
      <c r="L532" s="333">
        <f t="shared" si="101"/>
        <v>11756.25</v>
      </c>
      <c r="M532" s="342">
        <f t="shared" si="102"/>
        <v>11756</v>
      </c>
      <c r="N532" s="343">
        <f t="shared" si="103"/>
        <v>80.208333333333329</v>
      </c>
      <c r="O532" s="343"/>
      <c r="P532" s="343">
        <f t="shared" si="104"/>
        <v>0</v>
      </c>
      <c r="Q532" s="344"/>
      <c r="R532" s="343">
        <f t="shared" si="105"/>
        <v>525.00000000000068</v>
      </c>
      <c r="S532" s="343">
        <f t="shared" si="106"/>
        <v>0</v>
      </c>
      <c r="T532" s="343"/>
      <c r="U532" s="343">
        <f t="shared" ca="1" si="107"/>
        <v>1.0000000000000002</v>
      </c>
      <c r="V532" s="345">
        <f t="shared" si="108"/>
        <v>22.392857142857142</v>
      </c>
    </row>
    <row r="533" spans="2:22" x14ac:dyDescent="0.3">
      <c r="B533" s="246">
        <v>526</v>
      </c>
      <c r="C533" s="437">
        <f>B533*MechanicalData!$B$22/360</f>
        <v>80.361111111111114</v>
      </c>
      <c r="D533" s="437">
        <f>MechanicalData!$B$22</f>
        <v>55</v>
      </c>
      <c r="E533" s="248"/>
      <c r="F533" s="248"/>
      <c r="G533" s="248"/>
      <c r="H533" s="339">
        <f t="shared" si="97"/>
        <v>526</v>
      </c>
      <c r="I533" s="451">
        <f t="shared" si="98"/>
        <v>55</v>
      </c>
      <c r="J533" s="340">
        <f t="shared" si="99"/>
        <v>0.15277777777777779</v>
      </c>
      <c r="K533" s="341">
        <f t="shared" si="100"/>
        <v>80.361111111111114</v>
      </c>
      <c r="L533" s="333">
        <f t="shared" si="101"/>
        <v>11778.642857142857</v>
      </c>
      <c r="M533" s="342">
        <f t="shared" si="102"/>
        <v>11779</v>
      </c>
      <c r="N533" s="343">
        <f t="shared" si="103"/>
        <v>80.361111111111114</v>
      </c>
      <c r="O533" s="343"/>
      <c r="P533" s="343">
        <f t="shared" si="104"/>
        <v>0</v>
      </c>
      <c r="Q533" s="344"/>
      <c r="R533" s="343">
        <f t="shared" si="105"/>
        <v>526.00000000000068</v>
      </c>
      <c r="S533" s="343">
        <f t="shared" si="106"/>
        <v>0</v>
      </c>
      <c r="T533" s="343"/>
      <c r="U533" s="343">
        <f t="shared" ca="1" si="107"/>
        <v>1.0000000000000002</v>
      </c>
      <c r="V533" s="345">
        <f t="shared" si="108"/>
        <v>22.392857142857142</v>
      </c>
    </row>
    <row r="534" spans="2:22" x14ac:dyDescent="0.3">
      <c r="B534" s="246">
        <v>527</v>
      </c>
      <c r="C534" s="437">
        <f>B534*MechanicalData!$B$22/360</f>
        <v>80.513888888888886</v>
      </c>
      <c r="D534" s="437">
        <f>MechanicalData!$B$22</f>
        <v>55</v>
      </c>
      <c r="E534" s="248"/>
      <c r="F534" s="248"/>
      <c r="G534" s="248"/>
      <c r="H534" s="339">
        <f t="shared" si="97"/>
        <v>527</v>
      </c>
      <c r="I534" s="451">
        <f t="shared" si="98"/>
        <v>55</v>
      </c>
      <c r="J534" s="340">
        <f t="shared" si="99"/>
        <v>0.15277777777777779</v>
      </c>
      <c r="K534" s="341">
        <f t="shared" si="100"/>
        <v>80.513888888888886</v>
      </c>
      <c r="L534" s="333">
        <f t="shared" si="101"/>
        <v>11801.035714285712</v>
      </c>
      <c r="M534" s="342">
        <f t="shared" si="102"/>
        <v>11801</v>
      </c>
      <c r="N534" s="343">
        <f t="shared" si="103"/>
        <v>80.513888888888872</v>
      </c>
      <c r="O534" s="343"/>
      <c r="P534" s="343">
        <f t="shared" si="104"/>
        <v>0</v>
      </c>
      <c r="Q534" s="344"/>
      <c r="R534" s="343">
        <f t="shared" si="105"/>
        <v>527.00000000000057</v>
      </c>
      <c r="S534" s="343">
        <f t="shared" si="106"/>
        <v>0</v>
      </c>
      <c r="T534" s="343"/>
      <c r="U534" s="343">
        <f t="shared" ca="1" si="107"/>
        <v>1.0000000000000002</v>
      </c>
      <c r="V534" s="345">
        <f t="shared" si="108"/>
        <v>22.392857142857142</v>
      </c>
    </row>
    <row r="535" spans="2:22" x14ac:dyDescent="0.3">
      <c r="B535" s="246">
        <v>528</v>
      </c>
      <c r="C535" s="437">
        <f>B535*MechanicalData!$B$22/360</f>
        <v>80.666666666666671</v>
      </c>
      <c r="D535" s="437">
        <f>MechanicalData!$B$22</f>
        <v>55</v>
      </c>
      <c r="E535" s="248"/>
      <c r="F535" s="248"/>
      <c r="G535" s="248"/>
      <c r="H535" s="339">
        <f t="shared" si="97"/>
        <v>528</v>
      </c>
      <c r="I535" s="451">
        <f t="shared" si="98"/>
        <v>55</v>
      </c>
      <c r="J535" s="340">
        <f t="shared" si="99"/>
        <v>0.15277777777777779</v>
      </c>
      <c r="K535" s="341">
        <f t="shared" si="100"/>
        <v>80.666666666666671</v>
      </c>
      <c r="L535" s="333">
        <f t="shared" si="101"/>
        <v>11823.428571428571</v>
      </c>
      <c r="M535" s="342">
        <f t="shared" si="102"/>
        <v>11823</v>
      </c>
      <c r="N535" s="343">
        <f t="shared" si="103"/>
        <v>80.666666666666643</v>
      </c>
      <c r="O535" s="343"/>
      <c r="P535" s="343">
        <f t="shared" si="104"/>
        <v>0</v>
      </c>
      <c r="Q535" s="344"/>
      <c r="R535" s="343">
        <f t="shared" si="105"/>
        <v>528.00000000000057</v>
      </c>
      <c r="S535" s="343">
        <f t="shared" si="106"/>
        <v>0</v>
      </c>
      <c r="T535" s="343"/>
      <c r="U535" s="343">
        <f t="shared" ca="1" si="107"/>
        <v>1.0000000000000002</v>
      </c>
      <c r="V535" s="345">
        <f t="shared" si="108"/>
        <v>22.392857142857142</v>
      </c>
    </row>
    <row r="536" spans="2:22" x14ac:dyDescent="0.3">
      <c r="B536" s="246">
        <v>529</v>
      </c>
      <c r="C536" s="437">
        <f>B536*MechanicalData!$B$22/360</f>
        <v>80.819444444444443</v>
      </c>
      <c r="D536" s="437">
        <f>MechanicalData!$B$22</f>
        <v>55</v>
      </c>
      <c r="E536" s="248"/>
      <c r="F536" s="248"/>
      <c r="G536" s="248"/>
      <c r="H536" s="339">
        <f t="shared" si="97"/>
        <v>529</v>
      </c>
      <c r="I536" s="451">
        <f t="shared" si="98"/>
        <v>55</v>
      </c>
      <c r="J536" s="340">
        <f t="shared" si="99"/>
        <v>0.15277777777777779</v>
      </c>
      <c r="K536" s="341">
        <f t="shared" si="100"/>
        <v>80.819444444444443</v>
      </c>
      <c r="L536" s="333">
        <f t="shared" si="101"/>
        <v>11845.821428571428</v>
      </c>
      <c r="M536" s="342">
        <f t="shared" si="102"/>
        <v>11846</v>
      </c>
      <c r="N536" s="343">
        <f t="shared" si="103"/>
        <v>80.819444444444429</v>
      </c>
      <c r="O536" s="343"/>
      <c r="P536" s="343">
        <f t="shared" si="104"/>
        <v>0</v>
      </c>
      <c r="Q536" s="344"/>
      <c r="R536" s="343">
        <f t="shared" si="105"/>
        <v>529.00000000000057</v>
      </c>
      <c r="S536" s="343">
        <f t="shared" si="106"/>
        <v>0</v>
      </c>
      <c r="T536" s="343"/>
      <c r="U536" s="343">
        <f t="shared" ca="1" si="107"/>
        <v>1.0000000000000002</v>
      </c>
      <c r="V536" s="345">
        <f t="shared" si="108"/>
        <v>22.392857142857142</v>
      </c>
    </row>
    <row r="537" spans="2:22" x14ac:dyDescent="0.3">
      <c r="B537" s="246">
        <v>530</v>
      </c>
      <c r="C537" s="437">
        <f>B537*MechanicalData!$B$22/360</f>
        <v>80.972222222222229</v>
      </c>
      <c r="D537" s="437">
        <f>MechanicalData!$B$22</f>
        <v>55</v>
      </c>
      <c r="E537" s="248"/>
      <c r="F537" s="248"/>
      <c r="G537" s="248"/>
      <c r="H537" s="339">
        <f t="shared" si="97"/>
        <v>530</v>
      </c>
      <c r="I537" s="451">
        <f t="shared" si="98"/>
        <v>55</v>
      </c>
      <c r="J537" s="340">
        <f t="shared" si="99"/>
        <v>0.15277777777777779</v>
      </c>
      <c r="K537" s="341">
        <f t="shared" si="100"/>
        <v>80.972222222222229</v>
      </c>
      <c r="L537" s="333">
        <f t="shared" si="101"/>
        <v>11868.214285714286</v>
      </c>
      <c r="M537" s="342">
        <f t="shared" si="102"/>
        <v>11868</v>
      </c>
      <c r="N537" s="343">
        <f t="shared" si="103"/>
        <v>80.972222222222229</v>
      </c>
      <c r="O537" s="343"/>
      <c r="P537" s="343">
        <f t="shared" si="104"/>
        <v>0</v>
      </c>
      <c r="Q537" s="344"/>
      <c r="R537" s="343">
        <f t="shared" si="105"/>
        <v>530.00000000000068</v>
      </c>
      <c r="S537" s="343">
        <f t="shared" si="106"/>
        <v>0</v>
      </c>
      <c r="T537" s="343"/>
      <c r="U537" s="343">
        <f t="shared" ca="1" si="107"/>
        <v>1.0000000000000002</v>
      </c>
      <c r="V537" s="345">
        <f t="shared" si="108"/>
        <v>22.392857142857142</v>
      </c>
    </row>
    <row r="538" spans="2:22" x14ac:dyDescent="0.3">
      <c r="B538" s="246">
        <v>531</v>
      </c>
      <c r="C538" s="437">
        <f>B538*MechanicalData!$B$22/360</f>
        <v>81.125</v>
      </c>
      <c r="D538" s="437">
        <f>MechanicalData!$B$22</f>
        <v>55</v>
      </c>
      <c r="E538" s="248"/>
      <c r="F538" s="248"/>
      <c r="G538" s="248"/>
      <c r="H538" s="339">
        <f t="shared" si="97"/>
        <v>531</v>
      </c>
      <c r="I538" s="451">
        <f t="shared" si="98"/>
        <v>55</v>
      </c>
      <c r="J538" s="340">
        <f t="shared" si="99"/>
        <v>0.15277777777777779</v>
      </c>
      <c r="K538" s="341">
        <f t="shared" si="100"/>
        <v>81.125</v>
      </c>
      <c r="L538" s="333">
        <f t="shared" si="101"/>
        <v>11890.607142857141</v>
      </c>
      <c r="M538" s="342">
        <f t="shared" si="102"/>
        <v>11891</v>
      </c>
      <c r="N538" s="343">
        <f t="shared" si="103"/>
        <v>81.124999999999986</v>
      </c>
      <c r="O538" s="343"/>
      <c r="P538" s="343">
        <f t="shared" si="104"/>
        <v>0</v>
      </c>
      <c r="Q538" s="344"/>
      <c r="R538" s="343">
        <f t="shared" si="105"/>
        <v>531.00000000000057</v>
      </c>
      <c r="S538" s="343">
        <f t="shared" si="106"/>
        <v>0</v>
      </c>
      <c r="T538" s="343"/>
      <c r="U538" s="343">
        <f t="shared" ca="1" si="107"/>
        <v>1.0000000000000002</v>
      </c>
      <c r="V538" s="345">
        <f t="shared" si="108"/>
        <v>22.392857142857142</v>
      </c>
    </row>
    <row r="539" spans="2:22" x14ac:dyDescent="0.3">
      <c r="B539" s="246">
        <v>532</v>
      </c>
      <c r="C539" s="437">
        <f>B539*MechanicalData!$B$22/360</f>
        <v>81.277777777777771</v>
      </c>
      <c r="D539" s="437">
        <f>MechanicalData!$B$22</f>
        <v>55</v>
      </c>
      <c r="E539" s="248"/>
      <c r="F539" s="248"/>
      <c r="G539" s="248"/>
      <c r="H539" s="339">
        <f t="shared" si="97"/>
        <v>532</v>
      </c>
      <c r="I539" s="451">
        <f t="shared" si="98"/>
        <v>55</v>
      </c>
      <c r="J539" s="340">
        <f t="shared" si="99"/>
        <v>0.15277777777777779</v>
      </c>
      <c r="K539" s="341">
        <f t="shared" si="100"/>
        <v>81.277777777777771</v>
      </c>
      <c r="L539" s="333">
        <f t="shared" si="101"/>
        <v>11912.999999999998</v>
      </c>
      <c r="M539" s="342">
        <f t="shared" si="102"/>
        <v>11913</v>
      </c>
      <c r="N539" s="343">
        <f t="shared" si="103"/>
        <v>81.277777777777771</v>
      </c>
      <c r="O539" s="343"/>
      <c r="P539" s="343">
        <f t="shared" si="104"/>
        <v>0</v>
      </c>
      <c r="Q539" s="344"/>
      <c r="R539" s="343">
        <f t="shared" si="105"/>
        <v>532.00000000000057</v>
      </c>
      <c r="S539" s="343">
        <f t="shared" si="106"/>
        <v>0</v>
      </c>
      <c r="T539" s="343"/>
      <c r="U539" s="343">
        <f t="shared" ca="1" si="107"/>
        <v>1.0000000000000002</v>
      </c>
      <c r="V539" s="345">
        <f t="shared" si="108"/>
        <v>22.392857142857142</v>
      </c>
    </row>
    <row r="540" spans="2:22" x14ac:dyDescent="0.3">
      <c r="B540" s="246">
        <v>533</v>
      </c>
      <c r="C540" s="437">
        <f>B540*MechanicalData!$B$22/360</f>
        <v>81.430555555555557</v>
      </c>
      <c r="D540" s="437">
        <f>MechanicalData!$B$22</f>
        <v>55</v>
      </c>
      <c r="E540" s="248"/>
      <c r="F540" s="248"/>
      <c r="G540" s="248"/>
      <c r="H540" s="339">
        <f t="shared" si="97"/>
        <v>533</v>
      </c>
      <c r="I540" s="451">
        <f t="shared" si="98"/>
        <v>55</v>
      </c>
      <c r="J540" s="340">
        <f t="shared" si="99"/>
        <v>0.15277777777777779</v>
      </c>
      <c r="K540" s="341">
        <f t="shared" si="100"/>
        <v>81.430555555555557</v>
      </c>
      <c r="L540" s="333">
        <f t="shared" si="101"/>
        <v>11935.392857142857</v>
      </c>
      <c r="M540" s="342">
        <f t="shared" si="102"/>
        <v>11935</v>
      </c>
      <c r="N540" s="343">
        <f t="shared" si="103"/>
        <v>81.430555555555543</v>
      </c>
      <c r="O540" s="343"/>
      <c r="P540" s="343">
        <f t="shared" si="104"/>
        <v>0</v>
      </c>
      <c r="Q540" s="344"/>
      <c r="R540" s="343">
        <f t="shared" si="105"/>
        <v>533.00000000000068</v>
      </c>
      <c r="S540" s="343">
        <f t="shared" si="106"/>
        <v>0</v>
      </c>
      <c r="T540" s="343"/>
      <c r="U540" s="343">
        <f t="shared" ca="1" si="107"/>
        <v>1.0000000000000002</v>
      </c>
      <c r="V540" s="345">
        <f t="shared" si="108"/>
        <v>22.392857142857142</v>
      </c>
    </row>
    <row r="541" spans="2:22" x14ac:dyDescent="0.3">
      <c r="B541" s="246">
        <v>534</v>
      </c>
      <c r="C541" s="437">
        <f>B541*MechanicalData!$B$22/360</f>
        <v>81.583333333333329</v>
      </c>
      <c r="D541" s="437">
        <f>MechanicalData!$B$22</f>
        <v>55</v>
      </c>
      <c r="E541" s="248"/>
      <c r="F541" s="248"/>
      <c r="G541" s="248"/>
      <c r="H541" s="339">
        <f t="shared" si="97"/>
        <v>534</v>
      </c>
      <c r="I541" s="451">
        <f t="shared" si="98"/>
        <v>55</v>
      </c>
      <c r="J541" s="340">
        <f t="shared" si="99"/>
        <v>0.15277777777777779</v>
      </c>
      <c r="K541" s="341">
        <f t="shared" si="100"/>
        <v>81.583333333333329</v>
      </c>
      <c r="L541" s="333">
        <f t="shared" si="101"/>
        <v>11957.785714285714</v>
      </c>
      <c r="M541" s="342">
        <f t="shared" si="102"/>
        <v>11958</v>
      </c>
      <c r="N541" s="343">
        <f t="shared" si="103"/>
        <v>81.583333333333329</v>
      </c>
      <c r="O541" s="343"/>
      <c r="P541" s="343">
        <f t="shared" si="104"/>
        <v>0</v>
      </c>
      <c r="Q541" s="344"/>
      <c r="R541" s="343">
        <f t="shared" si="105"/>
        <v>534.00000000000068</v>
      </c>
      <c r="S541" s="343">
        <f t="shared" si="106"/>
        <v>0</v>
      </c>
      <c r="T541" s="343"/>
      <c r="U541" s="343">
        <f t="shared" ca="1" si="107"/>
        <v>1.0000000000000002</v>
      </c>
      <c r="V541" s="345">
        <f t="shared" si="108"/>
        <v>22.392857142857142</v>
      </c>
    </row>
    <row r="542" spans="2:22" x14ac:dyDescent="0.3">
      <c r="B542" s="553">
        <v>604</v>
      </c>
      <c r="C542" s="510">
        <v>92.277777777777658</v>
      </c>
      <c r="D542" s="510">
        <v>55</v>
      </c>
      <c r="E542" s="509"/>
      <c r="F542" s="509"/>
      <c r="G542" s="509"/>
      <c r="H542" s="339">
        <f t="shared" si="97"/>
        <v>604</v>
      </c>
      <c r="I542" s="451">
        <f t="shared" si="98"/>
        <v>55</v>
      </c>
      <c r="J542" s="340">
        <f t="shared" si="99"/>
        <v>0.15277777777777779</v>
      </c>
      <c r="K542" s="341">
        <f t="shared" si="100"/>
        <v>92.277777777777658</v>
      </c>
      <c r="L542" s="333">
        <f t="shared" si="101"/>
        <v>13525.285714285697</v>
      </c>
      <c r="M542" s="342">
        <f t="shared" si="102"/>
        <v>13525</v>
      </c>
      <c r="N542" s="343">
        <f t="shared" si="103"/>
        <v>92.277777777777658</v>
      </c>
      <c r="O542" s="343"/>
      <c r="P542" s="343">
        <f t="shared" si="104"/>
        <v>0</v>
      </c>
      <c r="Q542" s="344"/>
      <c r="R542" s="343">
        <f t="shared" si="105"/>
        <v>604</v>
      </c>
      <c r="S542" s="343">
        <f t="shared" si="106"/>
        <v>0</v>
      </c>
      <c r="T542" s="343"/>
      <c r="U542" s="343">
        <f t="shared" ca="1" si="107"/>
        <v>1.0000000000000002</v>
      </c>
      <c r="V542" s="345">
        <f t="shared" si="108"/>
        <v>22.392857142857142</v>
      </c>
    </row>
    <row r="543" spans="2:22" x14ac:dyDescent="0.3">
      <c r="B543" s="246"/>
      <c r="C543" s="437"/>
      <c r="D543" s="437"/>
      <c r="E543" s="248"/>
      <c r="F543" s="248"/>
      <c r="G543" s="248"/>
      <c r="H543" s="560"/>
      <c r="I543" s="561"/>
      <c r="J543" s="562"/>
      <c r="K543" s="563"/>
      <c r="L543" s="564"/>
      <c r="M543" s="564"/>
      <c r="N543" s="565"/>
      <c r="O543" s="565"/>
      <c r="P543" s="565"/>
      <c r="Q543" s="562"/>
      <c r="R543" s="565"/>
      <c r="S543" s="565"/>
      <c r="T543" s="565"/>
      <c r="U543" s="565"/>
      <c r="V543" s="566"/>
    </row>
    <row r="544" spans="2:22" x14ac:dyDescent="0.3">
      <c r="B544" s="246"/>
      <c r="C544" s="437"/>
      <c r="D544" s="437"/>
      <c r="E544" s="248"/>
      <c r="F544" s="248"/>
      <c r="G544" s="248"/>
      <c r="H544" s="560"/>
      <c r="I544" s="561"/>
      <c r="J544" s="562"/>
      <c r="K544" s="563"/>
      <c r="L544" s="564"/>
      <c r="M544" s="564"/>
      <c r="N544" s="565"/>
      <c r="O544" s="565"/>
      <c r="P544" s="565"/>
      <c r="Q544" s="562"/>
      <c r="R544" s="565"/>
      <c r="S544" s="565"/>
      <c r="T544" s="565"/>
      <c r="U544" s="565"/>
      <c r="V544" s="566"/>
    </row>
    <row r="545" spans="2:22" x14ac:dyDescent="0.3">
      <c r="B545" s="246"/>
      <c r="C545" s="437"/>
      <c r="D545" s="437"/>
      <c r="E545" s="248"/>
      <c r="F545" s="248"/>
      <c r="G545" s="248"/>
      <c r="H545" s="560"/>
      <c r="I545" s="561"/>
      <c r="J545" s="562"/>
      <c r="K545" s="563"/>
      <c r="L545" s="564"/>
      <c r="M545" s="564"/>
      <c r="N545" s="565"/>
      <c r="O545" s="565"/>
      <c r="P545" s="565"/>
      <c r="Q545" s="562"/>
      <c r="R545" s="565"/>
      <c r="S545" s="565"/>
      <c r="T545" s="565"/>
      <c r="U545" s="565"/>
      <c r="V545" s="566"/>
    </row>
    <row r="546" spans="2:22" x14ac:dyDescent="0.3">
      <c r="B546" s="246"/>
      <c r="C546" s="437"/>
      <c r="D546" s="437"/>
      <c r="E546" s="248"/>
      <c r="F546" s="248"/>
      <c r="G546" s="248"/>
      <c r="H546" s="560"/>
      <c r="I546" s="561"/>
      <c r="J546" s="562"/>
      <c r="K546" s="563"/>
      <c r="L546" s="564"/>
      <c r="M546" s="564"/>
      <c r="N546" s="565"/>
      <c r="O546" s="565"/>
      <c r="P546" s="565"/>
      <c r="Q546" s="562"/>
      <c r="R546" s="565"/>
      <c r="S546" s="565"/>
      <c r="T546" s="565"/>
      <c r="U546" s="565"/>
      <c r="V546" s="566"/>
    </row>
    <row r="547" spans="2:22" x14ac:dyDescent="0.3">
      <c r="B547" s="246"/>
      <c r="C547" s="437"/>
      <c r="D547" s="437"/>
      <c r="E547" s="248"/>
      <c r="F547" s="248"/>
      <c r="G547" s="248"/>
      <c r="H547" s="560"/>
      <c r="I547" s="561"/>
      <c r="J547" s="562"/>
      <c r="K547" s="563"/>
      <c r="L547" s="564"/>
      <c r="M547" s="564"/>
      <c r="N547" s="565"/>
      <c r="O547" s="565"/>
      <c r="P547" s="565"/>
      <c r="Q547" s="562"/>
      <c r="R547" s="565"/>
      <c r="S547" s="565"/>
      <c r="T547" s="565"/>
      <c r="U547" s="565"/>
      <c r="V547" s="566"/>
    </row>
    <row r="548" spans="2:22" x14ac:dyDescent="0.3">
      <c r="B548" s="246"/>
      <c r="C548" s="437"/>
      <c r="D548" s="437"/>
      <c r="E548" s="248"/>
      <c r="F548" s="248"/>
      <c r="G548" s="248"/>
      <c r="H548" s="560"/>
      <c r="I548" s="561"/>
      <c r="J548" s="562"/>
      <c r="K548" s="563"/>
      <c r="L548" s="564"/>
      <c r="M548" s="564"/>
      <c r="N548" s="565"/>
      <c r="O548" s="565"/>
      <c r="P548" s="565"/>
      <c r="Q548" s="562"/>
      <c r="R548" s="565"/>
      <c r="S548" s="565"/>
      <c r="T548" s="565"/>
      <c r="U548" s="565"/>
      <c r="V548" s="566"/>
    </row>
    <row r="549" spans="2:22" x14ac:dyDescent="0.3">
      <c r="B549" s="246"/>
      <c r="C549" s="437"/>
      <c r="D549" s="437"/>
      <c r="E549" s="248"/>
      <c r="F549" s="248"/>
      <c r="G549" s="248"/>
      <c r="H549" s="560"/>
      <c r="I549" s="561"/>
      <c r="J549" s="562"/>
      <c r="K549" s="563"/>
      <c r="L549" s="564"/>
      <c r="M549" s="564"/>
      <c r="N549" s="565"/>
      <c r="O549" s="565"/>
      <c r="P549" s="565"/>
      <c r="Q549" s="562"/>
      <c r="R549" s="565"/>
      <c r="S549" s="565"/>
      <c r="T549" s="565"/>
      <c r="U549" s="565"/>
      <c r="V549" s="566"/>
    </row>
    <row r="550" spans="2:22" x14ac:dyDescent="0.3">
      <c r="B550" s="246"/>
      <c r="C550" s="437"/>
      <c r="D550" s="437"/>
      <c r="E550" s="248"/>
      <c r="F550" s="248"/>
      <c r="G550" s="248"/>
      <c r="H550" s="560"/>
      <c r="I550" s="561"/>
      <c r="J550" s="562"/>
      <c r="K550" s="563"/>
      <c r="L550" s="564"/>
      <c r="M550" s="564"/>
      <c r="N550" s="565"/>
      <c r="O550" s="565"/>
      <c r="P550" s="565"/>
      <c r="Q550" s="562"/>
      <c r="R550" s="565"/>
      <c r="S550" s="565"/>
      <c r="T550" s="565"/>
      <c r="U550" s="565"/>
      <c r="V550" s="566"/>
    </row>
    <row r="551" spans="2:22" x14ac:dyDescent="0.3">
      <c r="B551" s="246"/>
      <c r="C551" s="437"/>
      <c r="D551" s="437"/>
      <c r="E551" s="248"/>
      <c r="F551" s="248"/>
      <c r="G551" s="248"/>
      <c r="H551" s="560"/>
      <c r="I551" s="561"/>
      <c r="J551" s="562"/>
      <c r="K551" s="563"/>
      <c r="L551" s="564"/>
      <c r="M551" s="564"/>
      <c r="N551" s="565"/>
      <c r="O551" s="565"/>
      <c r="P551" s="565"/>
      <c r="Q551" s="562"/>
      <c r="R551" s="565"/>
      <c r="S551" s="565"/>
      <c r="T551" s="565"/>
      <c r="U551" s="565"/>
      <c r="V551" s="566"/>
    </row>
    <row r="552" spans="2:22" x14ac:dyDescent="0.3">
      <c r="B552" s="246"/>
      <c r="C552" s="437"/>
      <c r="D552" s="437"/>
      <c r="E552" s="248"/>
      <c r="F552" s="248"/>
      <c r="G552" s="248"/>
      <c r="H552" s="560"/>
      <c r="I552" s="561"/>
      <c r="J552" s="562"/>
      <c r="K552" s="563"/>
      <c r="L552" s="564"/>
      <c r="M552" s="564"/>
      <c r="N552" s="565"/>
      <c r="O552" s="565"/>
      <c r="P552" s="565"/>
      <c r="Q552" s="562"/>
      <c r="R552" s="565"/>
      <c r="S552" s="565"/>
      <c r="T552" s="565"/>
      <c r="U552" s="565"/>
      <c r="V552" s="566"/>
    </row>
    <row r="553" spans="2:22" x14ac:dyDescent="0.3">
      <c r="B553" s="246"/>
      <c r="C553" s="437"/>
      <c r="D553" s="437"/>
      <c r="E553" s="248"/>
      <c r="F553" s="248"/>
      <c r="G553" s="248"/>
      <c r="H553" s="560"/>
      <c r="I553" s="561"/>
      <c r="J553" s="562"/>
      <c r="K553" s="563"/>
      <c r="L553" s="564"/>
      <c r="M553" s="564"/>
      <c r="N553" s="565"/>
      <c r="O553" s="565"/>
      <c r="P553" s="565"/>
      <c r="Q553" s="562"/>
      <c r="R553" s="565"/>
      <c r="S553" s="565"/>
      <c r="T553" s="565"/>
      <c r="U553" s="565"/>
      <c r="V553" s="566"/>
    </row>
    <row r="554" spans="2:22" x14ac:dyDescent="0.3">
      <c r="B554" s="246"/>
      <c r="C554" s="437"/>
      <c r="D554" s="437"/>
      <c r="E554" s="248"/>
      <c r="F554" s="248"/>
      <c r="G554" s="248"/>
      <c r="H554" s="560"/>
      <c r="I554" s="561"/>
      <c r="J554" s="562"/>
      <c r="K554" s="563"/>
      <c r="L554" s="564"/>
      <c r="M554" s="564"/>
      <c r="N554" s="565"/>
      <c r="O554" s="565"/>
      <c r="P554" s="565"/>
      <c r="Q554" s="562"/>
      <c r="R554" s="565"/>
      <c r="S554" s="565"/>
      <c r="T554" s="565"/>
      <c r="U554" s="565"/>
      <c r="V554" s="566"/>
    </row>
    <row r="555" spans="2:22" x14ac:dyDescent="0.3">
      <c r="B555" s="246"/>
      <c r="C555" s="437"/>
      <c r="D555" s="437"/>
      <c r="E555" s="248"/>
      <c r="F555" s="248"/>
      <c r="G555" s="248"/>
      <c r="H555" s="560"/>
      <c r="I555" s="561"/>
      <c r="J555" s="562"/>
      <c r="K555" s="563"/>
      <c r="L555" s="564"/>
      <c r="M555" s="564"/>
      <c r="N555" s="565"/>
      <c r="O555" s="565"/>
      <c r="P555" s="565"/>
      <c r="Q555" s="562"/>
      <c r="R555" s="565"/>
      <c r="S555" s="565"/>
      <c r="T555" s="565"/>
      <c r="U555" s="565"/>
      <c r="V555" s="566"/>
    </row>
    <row r="556" spans="2:22" x14ac:dyDescent="0.3">
      <c r="B556" s="246"/>
      <c r="C556" s="437"/>
      <c r="D556" s="437"/>
      <c r="E556" s="248"/>
      <c r="F556" s="248"/>
      <c r="G556" s="248"/>
      <c r="H556" s="560"/>
      <c r="I556" s="561"/>
      <c r="J556" s="562"/>
      <c r="K556" s="563"/>
      <c r="L556" s="564"/>
      <c r="M556" s="564"/>
      <c r="N556" s="565"/>
      <c r="O556" s="565"/>
      <c r="P556" s="565"/>
      <c r="Q556" s="562"/>
      <c r="R556" s="565"/>
      <c r="S556" s="565"/>
      <c r="T556" s="565"/>
      <c r="U556" s="565"/>
      <c r="V556" s="566"/>
    </row>
    <row r="557" spans="2:22" x14ac:dyDescent="0.3">
      <c r="B557" s="246"/>
      <c r="C557" s="437"/>
      <c r="D557" s="437"/>
      <c r="E557" s="248"/>
      <c r="F557" s="248"/>
      <c r="G557" s="248"/>
      <c r="H557" s="560"/>
      <c r="I557" s="561"/>
      <c r="J557" s="562"/>
      <c r="K557" s="563"/>
      <c r="L557" s="564"/>
      <c r="M557" s="564"/>
      <c r="N557" s="565"/>
      <c r="O557" s="565"/>
      <c r="P557" s="565"/>
      <c r="Q557" s="562"/>
      <c r="R557" s="565"/>
      <c r="S557" s="565"/>
      <c r="T557" s="565"/>
      <c r="U557" s="565"/>
      <c r="V557" s="566"/>
    </row>
    <row r="558" spans="2:22" x14ac:dyDescent="0.3">
      <c r="B558" s="246"/>
      <c r="C558" s="437"/>
      <c r="D558" s="437"/>
      <c r="E558" s="248"/>
      <c r="F558" s="248"/>
      <c r="G558" s="248"/>
      <c r="H558" s="560"/>
      <c r="I558" s="561"/>
      <c r="J558" s="562"/>
      <c r="K558" s="563"/>
      <c r="L558" s="564"/>
      <c r="M558" s="564"/>
      <c r="N558" s="565"/>
      <c r="O558" s="565"/>
      <c r="P558" s="565"/>
      <c r="Q558" s="562"/>
      <c r="R558" s="565"/>
      <c r="S558" s="565"/>
      <c r="T558" s="565"/>
      <c r="U558" s="565"/>
      <c r="V558" s="566"/>
    </row>
    <row r="559" spans="2:22" x14ac:dyDescent="0.3">
      <c r="B559" s="246"/>
      <c r="C559" s="437"/>
      <c r="D559" s="437"/>
      <c r="E559" s="248"/>
      <c r="F559" s="248"/>
      <c r="G559" s="248"/>
      <c r="H559" s="560"/>
      <c r="I559" s="561"/>
      <c r="J559" s="562"/>
      <c r="K559" s="563"/>
      <c r="L559" s="564"/>
      <c r="M559" s="564"/>
      <c r="N559" s="565"/>
      <c r="O559" s="565"/>
      <c r="P559" s="565"/>
      <c r="Q559" s="562"/>
      <c r="R559" s="565"/>
      <c r="S559" s="565"/>
      <c r="T559" s="565"/>
      <c r="U559" s="565"/>
      <c r="V559" s="566"/>
    </row>
    <row r="560" spans="2:22" x14ac:dyDescent="0.3">
      <c r="B560" s="246"/>
      <c r="C560" s="437"/>
      <c r="D560" s="437"/>
      <c r="E560" s="248"/>
      <c r="F560" s="248"/>
      <c r="G560" s="248"/>
      <c r="H560" s="560"/>
      <c r="I560" s="561"/>
      <c r="J560" s="562"/>
      <c r="K560" s="563"/>
      <c r="L560" s="564"/>
      <c r="M560" s="564"/>
      <c r="N560" s="565"/>
      <c r="O560" s="565"/>
      <c r="P560" s="565"/>
      <c r="Q560" s="562"/>
      <c r="R560" s="565"/>
      <c r="S560" s="565"/>
      <c r="T560" s="565"/>
      <c r="U560" s="565"/>
      <c r="V560" s="566"/>
    </row>
    <row r="561" spans="2:22" x14ac:dyDescent="0.3">
      <c r="B561" s="246"/>
      <c r="C561" s="437"/>
      <c r="D561" s="437"/>
      <c r="E561" s="248"/>
      <c r="F561" s="248"/>
      <c r="G561" s="248"/>
      <c r="H561" s="560"/>
      <c r="I561" s="561"/>
      <c r="J561" s="562"/>
      <c r="K561" s="563"/>
      <c r="L561" s="564"/>
      <c r="M561" s="564"/>
      <c r="N561" s="565"/>
      <c r="O561" s="565"/>
      <c r="P561" s="565"/>
      <c r="Q561" s="562"/>
      <c r="R561" s="565"/>
      <c r="S561" s="565"/>
      <c r="T561" s="565"/>
      <c r="U561" s="565"/>
      <c r="V561" s="566"/>
    </row>
    <row r="562" spans="2:22" x14ac:dyDescent="0.3">
      <c r="B562" s="246"/>
      <c r="C562" s="437"/>
      <c r="D562" s="437"/>
      <c r="E562" s="248"/>
      <c r="F562" s="248"/>
      <c r="G562" s="248"/>
      <c r="H562" s="560"/>
      <c r="I562" s="561"/>
      <c r="J562" s="562"/>
      <c r="K562" s="563"/>
      <c r="L562" s="564"/>
      <c r="M562" s="564"/>
      <c r="N562" s="565"/>
      <c r="O562" s="565"/>
      <c r="P562" s="565"/>
      <c r="Q562" s="562"/>
      <c r="R562" s="565"/>
      <c r="S562" s="565"/>
      <c r="T562" s="565"/>
      <c r="U562" s="565"/>
      <c r="V562" s="566"/>
    </row>
    <row r="563" spans="2:22" x14ac:dyDescent="0.3">
      <c r="B563" s="246"/>
      <c r="C563" s="437"/>
      <c r="D563" s="437"/>
      <c r="E563" s="248"/>
      <c r="F563" s="248"/>
      <c r="G563" s="248"/>
      <c r="H563" s="560"/>
      <c r="I563" s="561"/>
      <c r="J563" s="562"/>
      <c r="K563" s="563"/>
      <c r="L563" s="564"/>
      <c r="M563" s="564"/>
      <c r="N563" s="565"/>
      <c r="O563" s="565"/>
      <c r="P563" s="565"/>
      <c r="Q563" s="562"/>
      <c r="R563" s="565"/>
      <c r="S563" s="565"/>
      <c r="T563" s="565"/>
      <c r="U563" s="565"/>
      <c r="V563" s="566"/>
    </row>
    <row r="564" spans="2:22" x14ac:dyDescent="0.3">
      <c r="B564" s="246"/>
      <c r="C564" s="437"/>
      <c r="D564" s="437"/>
      <c r="E564" s="248"/>
      <c r="F564" s="248"/>
      <c r="G564" s="248"/>
      <c r="H564" s="560"/>
      <c r="I564" s="561"/>
      <c r="J564" s="562"/>
      <c r="K564" s="563"/>
      <c r="L564" s="564"/>
      <c r="M564" s="564"/>
      <c r="N564" s="565"/>
      <c r="O564" s="565"/>
      <c r="P564" s="565"/>
      <c r="Q564" s="562"/>
      <c r="R564" s="565"/>
      <c r="S564" s="565"/>
      <c r="T564" s="565"/>
      <c r="U564" s="565"/>
      <c r="V564" s="566"/>
    </row>
    <row r="565" spans="2:22" x14ac:dyDescent="0.3">
      <c r="B565" s="246"/>
      <c r="C565" s="437"/>
      <c r="D565" s="437"/>
      <c r="E565" s="248"/>
      <c r="F565" s="248"/>
      <c r="G565" s="248"/>
      <c r="H565" s="560"/>
      <c r="I565" s="561"/>
      <c r="J565" s="562"/>
      <c r="K565" s="563"/>
      <c r="L565" s="564"/>
      <c r="M565" s="564"/>
      <c r="N565" s="565"/>
      <c r="O565" s="565"/>
      <c r="P565" s="565"/>
      <c r="Q565" s="562"/>
      <c r="R565" s="565"/>
      <c r="S565" s="565"/>
      <c r="T565" s="565"/>
      <c r="U565" s="565"/>
      <c r="V565" s="566"/>
    </row>
    <row r="566" spans="2:22" x14ac:dyDescent="0.3">
      <c r="B566" s="246"/>
      <c r="C566" s="437"/>
      <c r="D566" s="437"/>
      <c r="E566" s="248"/>
      <c r="F566" s="248"/>
      <c r="G566" s="248"/>
      <c r="H566" s="560"/>
      <c r="I566" s="561"/>
      <c r="J566" s="562"/>
      <c r="K566" s="563"/>
      <c r="L566" s="564"/>
      <c r="M566" s="564"/>
      <c r="N566" s="565"/>
      <c r="O566" s="565"/>
      <c r="P566" s="565"/>
      <c r="Q566" s="562"/>
      <c r="R566" s="565"/>
      <c r="S566" s="565"/>
      <c r="T566" s="565"/>
      <c r="U566" s="565"/>
      <c r="V566" s="566"/>
    </row>
    <row r="567" spans="2:22" x14ac:dyDescent="0.3">
      <c r="B567" s="246"/>
      <c r="C567" s="437"/>
      <c r="D567" s="437"/>
      <c r="E567" s="248"/>
      <c r="F567" s="248"/>
      <c r="G567" s="248"/>
      <c r="H567" s="560"/>
      <c r="I567" s="561"/>
      <c r="J567" s="562"/>
      <c r="K567" s="563"/>
      <c r="L567" s="564"/>
      <c r="M567" s="564"/>
      <c r="N567" s="565"/>
      <c r="O567" s="565"/>
      <c r="P567" s="565"/>
      <c r="Q567" s="562"/>
      <c r="R567" s="565"/>
      <c r="S567" s="565"/>
      <c r="T567" s="565"/>
      <c r="U567" s="565"/>
      <c r="V567" s="566"/>
    </row>
    <row r="568" spans="2:22" x14ac:dyDescent="0.3">
      <c r="B568" s="246"/>
      <c r="C568" s="437"/>
      <c r="D568" s="437"/>
      <c r="E568" s="248"/>
      <c r="F568" s="248"/>
      <c r="G568" s="248"/>
      <c r="H568" s="560"/>
      <c r="I568" s="561"/>
      <c r="J568" s="562"/>
      <c r="K568" s="563"/>
      <c r="L568" s="564"/>
      <c r="M568" s="564"/>
      <c r="N568" s="565"/>
      <c r="O568" s="565"/>
      <c r="P568" s="565"/>
      <c r="Q568" s="562"/>
      <c r="R568" s="565"/>
      <c r="S568" s="565"/>
      <c r="T568" s="565"/>
      <c r="U568" s="565"/>
      <c r="V568" s="566"/>
    </row>
    <row r="569" spans="2:22" x14ac:dyDescent="0.3">
      <c r="B569" s="246"/>
      <c r="C569" s="437"/>
      <c r="D569" s="437"/>
      <c r="E569" s="248"/>
      <c r="F569" s="248"/>
      <c r="G569" s="248"/>
      <c r="H569" s="560"/>
      <c r="I569" s="561"/>
      <c r="J569" s="562"/>
      <c r="K569" s="563"/>
      <c r="L569" s="564"/>
      <c r="M569" s="564"/>
      <c r="N569" s="565"/>
      <c r="O569" s="565"/>
      <c r="P569" s="565"/>
      <c r="Q569" s="562"/>
      <c r="R569" s="565"/>
      <c r="S569" s="565"/>
      <c r="T569" s="565"/>
      <c r="U569" s="565"/>
      <c r="V569" s="566"/>
    </row>
    <row r="570" spans="2:22" x14ac:dyDescent="0.3">
      <c r="B570" s="246"/>
      <c r="C570" s="437"/>
      <c r="D570" s="437"/>
      <c r="E570" s="248"/>
      <c r="F570" s="248"/>
      <c r="G570" s="248"/>
      <c r="H570" s="560"/>
      <c r="I570" s="561"/>
      <c r="J570" s="562"/>
      <c r="K570" s="563"/>
      <c r="L570" s="564"/>
      <c r="M570" s="564"/>
      <c r="N570" s="565"/>
      <c r="O570" s="565"/>
      <c r="P570" s="565"/>
      <c r="Q570" s="562"/>
      <c r="R570" s="565"/>
      <c r="S570" s="565"/>
      <c r="T570" s="565"/>
      <c r="U570" s="565"/>
      <c r="V570" s="566"/>
    </row>
    <row r="571" spans="2:22" x14ac:dyDescent="0.3">
      <c r="B571" s="246"/>
      <c r="C571" s="437"/>
      <c r="D571" s="437"/>
      <c r="E571" s="248"/>
      <c r="F571" s="248"/>
      <c r="G571" s="248"/>
      <c r="H571" s="560"/>
      <c r="I571" s="561"/>
      <c r="J571" s="562"/>
      <c r="K571" s="563"/>
      <c r="L571" s="564"/>
      <c r="M571" s="564"/>
      <c r="N571" s="565"/>
      <c r="O571" s="565"/>
      <c r="P571" s="565"/>
      <c r="Q571" s="562"/>
      <c r="R571" s="565"/>
      <c r="S571" s="565"/>
      <c r="T571" s="565"/>
      <c r="U571" s="565"/>
      <c r="V571" s="566"/>
    </row>
    <row r="572" spans="2:22" x14ac:dyDescent="0.3">
      <c r="B572" s="246"/>
      <c r="C572" s="437"/>
      <c r="D572" s="437"/>
      <c r="E572" s="248"/>
      <c r="F572" s="248"/>
      <c r="G572" s="248"/>
      <c r="H572" s="560"/>
      <c r="I572" s="561"/>
      <c r="J572" s="562"/>
      <c r="K572" s="563"/>
      <c r="L572" s="564"/>
      <c r="M572" s="564"/>
      <c r="N572" s="565"/>
      <c r="O572" s="565"/>
      <c r="P572" s="565"/>
      <c r="Q572" s="562"/>
      <c r="R572" s="565"/>
      <c r="S572" s="565"/>
      <c r="T572" s="565"/>
      <c r="U572" s="565"/>
      <c r="V572" s="566"/>
    </row>
    <row r="573" spans="2:22" x14ac:dyDescent="0.3">
      <c r="B573" s="246"/>
      <c r="C573" s="437"/>
      <c r="D573" s="437"/>
      <c r="E573" s="248"/>
      <c r="F573" s="248"/>
      <c r="G573" s="248"/>
      <c r="H573" s="560"/>
      <c r="I573" s="561"/>
      <c r="J573" s="562"/>
      <c r="K573" s="563"/>
      <c r="L573" s="564"/>
      <c r="M573" s="564"/>
      <c r="N573" s="565"/>
      <c r="O573" s="565"/>
      <c r="P573" s="565"/>
      <c r="Q573" s="562"/>
      <c r="R573" s="565"/>
      <c r="S573" s="565"/>
      <c r="T573" s="565"/>
      <c r="U573" s="565"/>
      <c r="V573" s="566"/>
    </row>
    <row r="574" spans="2:22" x14ac:dyDescent="0.3">
      <c r="B574" s="246"/>
      <c r="C574" s="437"/>
      <c r="D574" s="437"/>
      <c r="E574" s="248"/>
      <c r="F574" s="248"/>
      <c r="G574" s="248"/>
      <c r="H574" s="560"/>
      <c r="I574" s="561"/>
      <c r="J574" s="562"/>
      <c r="K574" s="563"/>
      <c r="L574" s="564"/>
      <c r="M574" s="564"/>
      <c r="N574" s="565"/>
      <c r="O574" s="565"/>
      <c r="P574" s="565"/>
      <c r="Q574" s="562"/>
      <c r="R574" s="565"/>
      <c r="S574" s="565"/>
      <c r="T574" s="565"/>
      <c r="U574" s="565"/>
      <c r="V574" s="566"/>
    </row>
    <row r="575" spans="2:22" x14ac:dyDescent="0.3">
      <c r="B575" s="246"/>
      <c r="C575" s="437"/>
      <c r="D575" s="437"/>
      <c r="E575" s="248"/>
      <c r="F575" s="248"/>
      <c r="G575" s="248"/>
      <c r="H575" s="560"/>
      <c r="I575" s="561"/>
      <c r="J575" s="562"/>
      <c r="K575" s="563"/>
      <c r="L575" s="564"/>
      <c r="M575" s="564"/>
      <c r="N575" s="565"/>
      <c r="O575" s="565"/>
      <c r="P575" s="565"/>
      <c r="Q575" s="562"/>
      <c r="R575" s="565"/>
      <c r="S575" s="565"/>
      <c r="T575" s="565"/>
      <c r="U575" s="565"/>
      <c r="V575" s="566"/>
    </row>
    <row r="576" spans="2:22" x14ac:dyDescent="0.3">
      <c r="B576" s="246"/>
      <c r="C576" s="437"/>
      <c r="D576" s="437"/>
      <c r="E576" s="248"/>
      <c r="F576" s="248"/>
      <c r="G576" s="248"/>
      <c r="H576" s="560"/>
      <c r="I576" s="561"/>
      <c r="J576" s="562"/>
      <c r="K576" s="563"/>
      <c r="L576" s="564"/>
      <c r="M576" s="564"/>
      <c r="N576" s="565"/>
      <c r="O576" s="565"/>
      <c r="P576" s="565"/>
      <c r="Q576" s="562"/>
      <c r="R576" s="565"/>
      <c r="S576" s="565"/>
      <c r="T576" s="565"/>
      <c r="U576" s="565"/>
      <c r="V576" s="566"/>
    </row>
    <row r="577" spans="2:22" x14ac:dyDescent="0.3">
      <c r="B577" s="246"/>
      <c r="C577" s="437"/>
      <c r="D577" s="437"/>
      <c r="E577" s="248"/>
      <c r="F577" s="248"/>
      <c r="G577" s="248"/>
      <c r="H577" s="560"/>
      <c r="I577" s="561"/>
      <c r="J577" s="562"/>
      <c r="K577" s="563"/>
      <c r="L577" s="564"/>
      <c r="M577" s="564"/>
      <c r="N577" s="565"/>
      <c r="O577" s="565"/>
      <c r="P577" s="565"/>
      <c r="Q577" s="562"/>
      <c r="R577" s="565"/>
      <c r="S577" s="565"/>
      <c r="T577" s="565"/>
      <c r="U577" s="565"/>
      <c r="V577" s="566"/>
    </row>
    <row r="578" spans="2:22" x14ac:dyDescent="0.3">
      <c r="B578" s="246"/>
      <c r="C578" s="437"/>
      <c r="D578" s="437"/>
      <c r="E578" s="248"/>
      <c r="F578" s="248"/>
      <c r="G578" s="248"/>
      <c r="H578" s="560"/>
      <c r="I578" s="561"/>
      <c r="J578" s="562"/>
      <c r="K578" s="563"/>
      <c r="L578" s="564"/>
      <c r="M578" s="564"/>
      <c r="N578" s="565"/>
      <c r="O578" s="565"/>
      <c r="P578" s="565"/>
      <c r="Q578" s="562"/>
      <c r="R578" s="565"/>
      <c r="S578" s="565"/>
      <c r="T578" s="565"/>
      <c r="U578" s="565"/>
      <c r="V578" s="566"/>
    </row>
    <row r="579" spans="2:22" x14ac:dyDescent="0.3">
      <c r="B579" s="246"/>
      <c r="C579" s="437"/>
      <c r="D579" s="437"/>
      <c r="E579" s="248"/>
      <c r="F579" s="248"/>
      <c r="G579" s="248"/>
      <c r="H579" s="560"/>
      <c r="I579" s="561"/>
      <c r="J579" s="562"/>
      <c r="K579" s="563"/>
      <c r="L579" s="564"/>
      <c r="M579" s="564"/>
      <c r="N579" s="565"/>
      <c r="O579" s="565"/>
      <c r="P579" s="565"/>
      <c r="Q579" s="562"/>
      <c r="R579" s="565"/>
      <c r="S579" s="565"/>
      <c r="T579" s="565"/>
      <c r="U579" s="565"/>
      <c r="V579" s="566"/>
    </row>
    <row r="580" spans="2:22" x14ac:dyDescent="0.3">
      <c r="B580" s="246"/>
      <c r="C580" s="437"/>
      <c r="D580" s="437"/>
      <c r="E580" s="248"/>
      <c r="F580" s="248"/>
      <c r="G580" s="248"/>
      <c r="H580" s="560"/>
      <c r="I580" s="561"/>
      <c r="J580" s="562"/>
      <c r="K580" s="563"/>
      <c r="L580" s="564"/>
      <c r="M580" s="564"/>
      <c r="N580" s="565"/>
      <c r="O580" s="565"/>
      <c r="P580" s="565"/>
      <c r="Q580" s="562"/>
      <c r="R580" s="565"/>
      <c r="S580" s="565"/>
      <c r="T580" s="565"/>
      <c r="U580" s="565"/>
      <c r="V580" s="566"/>
    </row>
    <row r="581" spans="2:22" x14ac:dyDescent="0.3">
      <c r="B581" s="246"/>
      <c r="C581" s="437"/>
      <c r="D581" s="437"/>
      <c r="E581" s="248"/>
      <c r="F581" s="248"/>
      <c r="G581" s="248"/>
      <c r="H581" s="560"/>
      <c r="I581" s="561"/>
      <c r="J581" s="562"/>
      <c r="K581" s="563"/>
      <c r="L581" s="564"/>
      <c r="M581" s="564"/>
      <c r="N581" s="565"/>
      <c r="O581" s="565"/>
      <c r="P581" s="565"/>
      <c r="Q581" s="562"/>
      <c r="R581" s="565"/>
      <c r="S581" s="565"/>
      <c r="T581" s="565"/>
      <c r="U581" s="565"/>
      <c r="V581" s="566"/>
    </row>
    <row r="582" spans="2:22" x14ac:dyDescent="0.3">
      <c r="B582" s="246"/>
      <c r="C582" s="437"/>
      <c r="D582" s="437"/>
      <c r="E582" s="248"/>
      <c r="F582" s="248"/>
      <c r="G582" s="248"/>
      <c r="H582" s="560"/>
      <c r="I582" s="561"/>
      <c r="J582" s="562"/>
      <c r="K582" s="563"/>
      <c r="L582" s="564"/>
      <c r="M582" s="564"/>
      <c r="N582" s="565"/>
      <c r="O582" s="565"/>
      <c r="P582" s="565"/>
      <c r="Q582" s="562"/>
      <c r="R582" s="565"/>
      <c r="S582" s="565"/>
      <c r="T582" s="565"/>
      <c r="U582" s="565"/>
      <c r="V582" s="566"/>
    </row>
    <row r="583" spans="2:22" x14ac:dyDescent="0.3">
      <c r="B583" s="246"/>
      <c r="C583" s="437"/>
      <c r="D583" s="437"/>
      <c r="E583" s="248"/>
      <c r="F583" s="248"/>
      <c r="G583" s="248"/>
      <c r="H583" s="560"/>
      <c r="I583" s="561"/>
      <c r="J583" s="562"/>
      <c r="K583" s="563"/>
      <c r="L583" s="564"/>
      <c r="M583" s="564"/>
      <c r="N583" s="565"/>
      <c r="O583" s="565"/>
      <c r="P583" s="565"/>
      <c r="Q583" s="562"/>
      <c r="R583" s="565"/>
      <c r="S583" s="565"/>
      <c r="T583" s="565"/>
      <c r="U583" s="565"/>
      <c r="V583" s="566"/>
    </row>
    <row r="584" spans="2:22" x14ac:dyDescent="0.3">
      <c r="B584" s="246"/>
      <c r="C584" s="437"/>
      <c r="D584" s="437"/>
      <c r="E584" s="248"/>
      <c r="F584" s="248"/>
      <c r="G584" s="248"/>
      <c r="H584" s="560"/>
      <c r="I584" s="561"/>
      <c r="J584" s="562"/>
      <c r="K584" s="563"/>
      <c r="L584" s="564"/>
      <c r="M584" s="564"/>
      <c r="N584" s="565"/>
      <c r="O584" s="565"/>
      <c r="P584" s="565"/>
      <c r="Q584" s="562"/>
      <c r="R584" s="565"/>
      <c r="S584" s="565"/>
      <c r="T584" s="565"/>
      <c r="U584" s="565"/>
      <c r="V584" s="566"/>
    </row>
    <row r="585" spans="2:22" x14ac:dyDescent="0.3">
      <c r="B585" s="246"/>
      <c r="C585" s="437"/>
      <c r="D585" s="437"/>
      <c r="E585" s="248"/>
      <c r="F585" s="248"/>
      <c r="G585" s="248"/>
      <c r="H585" s="560"/>
      <c r="I585" s="561"/>
      <c r="J585" s="562"/>
      <c r="K585" s="563"/>
      <c r="L585" s="564"/>
      <c r="M585" s="564"/>
      <c r="N585" s="565"/>
      <c r="O585" s="565"/>
      <c r="P585" s="565"/>
      <c r="Q585" s="562"/>
      <c r="R585" s="565"/>
      <c r="S585" s="565"/>
      <c r="T585" s="565"/>
      <c r="U585" s="565"/>
      <c r="V585" s="566"/>
    </row>
    <row r="586" spans="2:22" x14ac:dyDescent="0.3">
      <c r="B586" s="246"/>
      <c r="C586" s="437"/>
      <c r="D586" s="437"/>
      <c r="E586" s="248"/>
      <c r="F586" s="248"/>
      <c r="G586" s="248"/>
      <c r="H586" s="560"/>
      <c r="I586" s="561"/>
      <c r="J586" s="562"/>
      <c r="K586" s="563"/>
      <c r="L586" s="564"/>
      <c r="M586" s="564"/>
      <c r="N586" s="565"/>
      <c r="O586" s="565"/>
      <c r="P586" s="565"/>
      <c r="Q586" s="562"/>
      <c r="R586" s="565"/>
      <c r="S586" s="565"/>
      <c r="T586" s="565"/>
      <c r="U586" s="565"/>
      <c r="V586" s="566"/>
    </row>
    <row r="587" spans="2:22" x14ac:dyDescent="0.3">
      <c r="B587" s="246"/>
      <c r="C587" s="437"/>
      <c r="D587" s="437"/>
      <c r="E587" s="248"/>
      <c r="F587" s="248"/>
      <c r="G587" s="248"/>
      <c r="H587" s="560"/>
      <c r="I587" s="561"/>
      <c r="J587" s="562"/>
      <c r="K587" s="563"/>
      <c r="L587" s="564"/>
      <c r="M587" s="564"/>
      <c r="N587" s="565"/>
      <c r="O587" s="565"/>
      <c r="P587" s="565"/>
      <c r="Q587" s="562"/>
      <c r="R587" s="565"/>
      <c r="S587" s="565"/>
      <c r="T587" s="565"/>
      <c r="U587" s="565"/>
      <c r="V587" s="566"/>
    </row>
    <row r="588" spans="2:22" x14ac:dyDescent="0.3">
      <c r="B588" s="246"/>
      <c r="C588" s="437"/>
      <c r="D588" s="437"/>
      <c r="E588" s="248"/>
      <c r="F588" s="248"/>
      <c r="G588" s="248"/>
      <c r="H588" s="560"/>
      <c r="I588" s="561"/>
      <c r="J588" s="562"/>
      <c r="K588" s="563"/>
      <c r="L588" s="564"/>
      <c r="M588" s="564"/>
      <c r="N588" s="565"/>
      <c r="O588" s="565"/>
      <c r="P588" s="565"/>
      <c r="Q588" s="562"/>
      <c r="R588" s="565"/>
      <c r="S588" s="565"/>
      <c r="T588" s="565"/>
      <c r="U588" s="565"/>
      <c r="V588" s="566"/>
    </row>
    <row r="589" spans="2:22" x14ac:dyDescent="0.3">
      <c r="B589" s="246"/>
      <c r="C589" s="437"/>
      <c r="D589" s="437"/>
      <c r="E589" s="248"/>
      <c r="F589" s="248"/>
      <c r="G589" s="248"/>
      <c r="H589" s="560"/>
      <c r="I589" s="561"/>
      <c r="J589" s="562"/>
      <c r="K589" s="563"/>
      <c r="L589" s="564"/>
      <c r="M589" s="564"/>
      <c r="N589" s="565"/>
      <c r="O589" s="565"/>
      <c r="P589" s="565"/>
      <c r="Q589" s="562"/>
      <c r="R589" s="565"/>
      <c r="S589" s="565"/>
      <c r="T589" s="565"/>
      <c r="U589" s="565"/>
      <c r="V589" s="566"/>
    </row>
    <row r="590" spans="2:22" x14ac:dyDescent="0.3">
      <c r="B590" s="246"/>
      <c r="C590" s="437"/>
      <c r="D590" s="437"/>
      <c r="E590" s="248"/>
      <c r="F590" s="248"/>
      <c r="G590" s="248"/>
      <c r="H590" s="560"/>
      <c r="I590" s="561"/>
      <c r="J590" s="562"/>
      <c r="K590" s="563"/>
      <c r="L590" s="564"/>
      <c r="M590" s="564"/>
      <c r="N590" s="565"/>
      <c r="O590" s="565"/>
      <c r="P590" s="565"/>
      <c r="Q590" s="562"/>
      <c r="R590" s="565"/>
      <c r="S590" s="565"/>
      <c r="T590" s="565"/>
      <c r="U590" s="565"/>
      <c r="V590" s="566"/>
    </row>
    <row r="591" spans="2:22" x14ac:dyDescent="0.3">
      <c r="B591" s="246"/>
      <c r="C591" s="437"/>
      <c r="D591" s="437"/>
      <c r="E591" s="248"/>
      <c r="F591" s="248"/>
      <c r="G591" s="248"/>
      <c r="H591" s="560"/>
      <c r="I591" s="561"/>
      <c r="J591" s="562"/>
      <c r="K591" s="563"/>
      <c r="L591" s="564"/>
      <c r="M591" s="564"/>
      <c r="N591" s="565"/>
      <c r="O591" s="565"/>
      <c r="P591" s="565"/>
      <c r="Q591" s="562"/>
      <c r="R591" s="565"/>
      <c r="S591" s="565"/>
      <c r="T591" s="565"/>
      <c r="U591" s="565"/>
      <c r="V591" s="566"/>
    </row>
    <row r="592" spans="2:22" x14ac:dyDescent="0.3">
      <c r="B592" s="246"/>
      <c r="C592" s="437"/>
      <c r="D592" s="437"/>
      <c r="E592" s="248"/>
      <c r="F592" s="248"/>
      <c r="G592" s="248"/>
      <c r="H592" s="560"/>
      <c r="I592" s="561"/>
      <c r="J592" s="562"/>
      <c r="K592" s="563"/>
      <c r="L592" s="564"/>
      <c r="M592" s="564"/>
      <c r="N592" s="565"/>
      <c r="O592" s="565"/>
      <c r="P592" s="565"/>
      <c r="Q592" s="562"/>
      <c r="R592" s="565"/>
      <c r="S592" s="565"/>
      <c r="T592" s="565"/>
      <c r="U592" s="565"/>
      <c r="V592" s="566"/>
    </row>
    <row r="593" spans="2:22" x14ac:dyDescent="0.3">
      <c r="B593" s="246"/>
      <c r="C593" s="437"/>
      <c r="D593" s="437"/>
      <c r="E593" s="248"/>
      <c r="F593" s="248"/>
      <c r="G593" s="248"/>
      <c r="H593" s="560"/>
      <c r="I593" s="561"/>
      <c r="J593" s="562"/>
      <c r="K593" s="563"/>
      <c r="L593" s="564"/>
      <c r="M593" s="564"/>
      <c r="N593" s="565"/>
      <c r="O593" s="565"/>
      <c r="P593" s="565"/>
      <c r="Q593" s="562"/>
      <c r="R593" s="565"/>
      <c r="S593" s="565"/>
      <c r="T593" s="565"/>
      <c r="U593" s="565"/>
      <c r="V593" s="566"/>
    </row>
    <row r="594" spans="2:22" x14ac:dyDescent="0.3">
      <c r="B594" s="246"/>
      <c r="C594" s="437"/>
      <c r="D594" s="437"/>
      <c r="E594" s="248"/>
      <c r="F594" s="248"/>
      <c r="G594" s="248"/>
      <c r="H594" s="560"/>
      <c r="I594" s="561"/>
      <c r="J594" s="562"/>
      <c r="K594" s="563"/>
      <c r="L594" s="564"/>
      <c r="M594" s="564"/>
      <c r="N594" s="565"/>
      <c r="O594" s="565"/>
      <c r="P594" s="565"/>
      <c r="Q594" s="562"/>
      <c r="R594" s="565"/>
      <c r="S594" s="565"/>
      <c r="T594" s="565"/>
      <c r="U594" s="565"/>
      <c r="V594" s="566"/>
    </row>
    <row r="595" spans="2:22" x14ac:dyDescent="0.3">
      <c r="B595" s="246"/>
      <c r="C595" s="437"/>
      <c r="D595" s="437"/>
      <c r="E595" s="248"/>
      <c r="F595" s="248"/>
      <c r="G595" s="248"/>
      <c r="H595" s="560"/>
      <c r="I595" s="561"/>
      <c r="J595" s="562"/>
      <c r="K595" s="563"/>
      <c r="L595" s="564"/>
      <c r="M595" s="564"/>
      <c r="N595" s="565"/>
      <c r="O595" s="565"/>
      <c r="P595" s="565"/>
      <c r="Q595" s="562"/>
      <c r="R595" s="565"/>
      <c r="S595" s="565"/>
      <c r="T595" s="565"/>
      <c r="U595" s="565"/>
      <c r="V595" s="566"/>
    </row>
    <row r="596" spans="2:22" x14ac:dyDescent="0.3">
      <c r="B596" s="246"/>
      <c r="C596" s="437"/>
      <c r="D596" s="437"/>
      <c r="E596" s="248"/>
      <c r="F596" s="248"/>
      <c r="G596" s="248"/>
      <c r="H596" s="560"/>
      <c r="I596" s="561"/>
      <c r="J596" s="562"/>
      <c r="K596" s="563"/>
      <c r="L596" s="564"/>
      <c r="M596" s="564"/>
      <c r="N596" s="565"/>
      <c r="O596" s="565"/>
      <c r="P596" s="565"/>
      <c r="Q596" s="562"/>
      <c r="R596" s="565"/>
      <c r="S596" s="565"/>
      <c r="T596" s="565"/>
      <c r="U596" s="565"/>
      <c r="V596" s="566"/>
    </row>
    <row r="597" spans="2:22" x14ac:dyDescent="0.3">
      <c r="B597" s="246"/>
      <c r="C597" s="437"/>
      <c r="D597" s="437"/>
      <c r="E597" s="248"/>
      <c r="F597" s="248"/>
      <c r="G597" s="248"/>
      <c r="H597" s="560"/>
      <c r="I597" s="561"/>
      <c r="J597" s="562"/>
      <c r="K597" s="563"/>
      <c r="L597" s="564"/>
      <c r="M597" s="564"/>
      <c r="N597" s="565"/>
      <c r="O597" s="565"/>
      <c r="P597" s="565"/>
      <c r="Q597" s="562"/>
      <c r="R597" s="565"/>
      <c r="S597" s="565"/>
      <c r="T597" s="565"/>
      <c r="U597" s="565"/>
      <c r="V597" s="566"/>
    </row>
    <row r="598" spans="2:22" x14ac:dyDescent="0.3">
      <c r="B598" s="246"/>
      <c r="C598" s="437"/>
      <c r="D598" s="437"/>
      <c r="E598" s="248"/>
      <c r="F598" s="248"/>
      <c r="G598" s="248"/>
      <c r="H598" s="560"/>
      <c r="I598" s="561"/>
      <c r="J598" s="562"/>
      <c r="K598" s="563"/>
      <c r="L598" s="564"/>
      <c r="M598" s="564"/>
      <c r="N598" s="565"/>
      <c r="O598" s="565"/>
      <c r="P598" s="565"/>
      <c r="Q598" s="562"/>
      <c r="R598" s="565"/>
      <c r="S598" s="565"/>
      <c r="T598" s="565"/>
      <c r="U598" s="565"/>
      <c r="V598" s="566"/>
    </row>
    <row r="599" spans="2:22" x14ac:dyDescent="0.3">
      <c r="B599" s="246"/>
      <c r="C599" s="437"/>
      <c r="D599" s="437"/>
      <c r="E599" s="248"/>
      <c r="F599" s="248"/>
      <c r="G599" s="248"/>
      <c r="H599" s="560"/>
      <c r="I599" s="561"/>
      <c r="J599" s="562"/>
      <c r="K599" s="563"/>
      <c r="L599" s="564"/>
      <c r="M599" s="564"/>
      <c r="N599" s="565"/>
      <c r="O599" s="565"/>
      <c r="P599" s="565"/>
      <c r="Q599" s="562"/>
      <c r="R599" s="565"/>
      <c r="S599" s="565"/>
      <c r="T599" s="565"/>
      <c r="U599" s="565"/>
      <c r="V599" s="566"/>
    </row>
    <row r="600" spans="2:22" x14ac:dyDescent="0.3">
      <c r="B600" s="246"/>
      <c r="C600" s="437"/>
      <c r="D600" s="437"/>
      <c r="E600" s="248"/>
      <c r="F600" s="248"/>
      <c r="G600" s="248"/>
      <c r="H600" s="560"/>
      <c r="I600" s="561"/>
      <c r="J600" s="562"/>
      <c r="K600" s="563"/>
      <c r="L600" s="564"/>
      <c r="M600" s="564"/>
      <c r="N600" s="565"/>
      <c r="O600" s="565"/>
      <c r="P600" s="565"/>
      <c r="Q600" s="562"/>
      <c r="R600" s="565"/>
      <c r="S600" s="565"/>
      <c r="T600" s="565"/>
      <c r="U600" s="565"/>
      <c r="V600" s="566"/>
    </row>
    <row r="601" spans="2:22" x14ac:dyDescent="0.3">
      <c r="B601" s="246"/>
      <c r="C601" s="437"/>
      <c r="D601" s="437"/>
      <c r="E601" s="248"/>
      <c r="F601" s="248"/>
      <c r="G601" s="248"/>
      <c r="H601" s="560"/>
      <c r="I601" s="561"/>
      <c r="J601" s="562"/>
      <c r="K601" s="563"/>
      <c r="L601" s="564"/>
      <c r="M601" s="564"/>
      <c r="N601" s="565"/>
      <c r="O601" s="565"/>
      <c r="P601" s="565"/>
      <c r="Q601" s="562"/>
      <c r="R601" s="565"/>
      <c r="S601" s="565"/>
      <c r="T601" s="565"/>
      <c r="U601" s="565"/>
      <c r="V601" s="566"/>
    </row>
    <row r="602" spans="2:22" x14ac:dyDescent="0.3">
      <c r="B602" s="246"/>
      <c r="C602" s="437"/>
      <c r="D602" s="437"/>
      <c r="E602" s="248"/>
      <c r="F602" s="248"/>
      <c r="G602" s="248"/>
      <c r="H602" s="560"/>
      <c r="I602" s="561"/>
      <c r="J602" s="562"/>
      <c r="K602" s="563"/>
      <c r="L602" s="564"/>
      <c r="M602" s="564"/>
      <c r="N602" s="565"/>
      <c r="O602" s="565"/>
      <c r="P602" s="565"/>
      <c r="Q602" s="562"/>
      <c r="R602" s="565"/>
      <c r="S602" s="565"/>
      <c r="T602" s="565"/>
      <c r="U602" s="565"/>
      <c r="V602" s="566"/>
    </row>
    <row r="603" spans="2:22" x14ac:dyDescent="0.3">
      <c r="B603" s="246"/>
      <c r="C603" s="437"/>
      <c r="D603" s="437"/>
      <c r="E603" s="248"/>
      <c r="F603" s="248"/>
      <c r="G603" s="248"/>
      <c r="H603" s="560"/>
      <c r="I603" s="561"/>
      <c r="J603" s="562"/>
      <c r="K603" s="563"/>
      <c r="L603" s="564"/>
      <c r="M603" s="564"/>
      <c r="N603" s="565"/>
      <c r="O603" s="565"/>
      <c r="P603" s="565"/>
      <c r="Q603" s="562"/>
      <c r="R603" s="565"/>
      <c r="S603" s="565"/>
      <c r="T603" s="565"/>
      <c r="U603" s="565"/>
      <c r="V603" s="566"/>
    </row>
    <row r="604" spans="2:22" x14ac:dyDescent="0.3">
      <c r="B604" s="246"/>
      <c r="C604" s="437"/>
      <c r="D604" s="437"/>
      <c r="E604" s="248"/>
      <c r="F604" s="248"/>
      <c r="G604" s="248"/>
      <c r="H604" s="560"/>
      <c r="I604" s="561"/>
      <c r="J604" s="562"/>
      <c r="K604" s="563"/>
      <c r="L604" s="564"/>
      <c r="M604" s="564"/>
      <c r="N604" s="565"/>
      <c r="O604" s="565"/>
      <c r="P604" s="565"/>
      <c r="Q604" s="562"/>
      <c r="R604" s="565"/>
      <c r="S604" s="565"/>
      <c r="T604" s="565"/>
      <c r="U604" s="565"/>
      <c r="V604" s="566"/>
    </row>
    <row r="605" spans="2:22" x14ac:dyDescent="0.3">
      <c r="B605" s="246"/>
      <c r="C605" s="437"/>
      <c r="D605" s="437"/>
      <c r="E605" s="248"/>
      <c r="F605" s="248"/>
      <c r="G605" s="248"/>
      <c r="H605" s="560"/>
      <c r="I605" s="561"/>
      <c r="J605" s="562"/>
      <c r="K605" s="563"/>
      <c r="L605" s="564"/>
      <c r="M605" s="564"/>
      <c r="N605" s="565"/>
      <c r="O605" s="565"/>
      <c r="P605" s="565"/>
      <c r="Q605" s="562"/>
      <c r="R605" s="565"/>
      <c r="S605" s="565"/>
      <c r="T605" s="565"/>
      <c r="U605" s="565"/>
      <c r="V605" s="566"/>
    </row>
    <row r="606" spans="2:22" x14ac:dyDescent="0.3">
      <c r="B606" s="246"/>
      <c r="C606" s="437"/>
      <c r="D606" s="437"/>
      <c r="E606" s="248"/>
      <c r="F606" s="248"/>
      <c r="G606" s="248"/>
      <c r="H606" s="560"/>
      <c r="I606" s="561"/>
      <c r="J606" s="562"/>
      <c r="K606" s="563"/>
      <c r="L606" s="564"/>
      <c r="M606" s="564"/>
      <c r="N606" s="565"/>
      <c r="O606" s="565"/>
      <c r="P606" s="565"/>
      <c r="Q606" s="562"/>
      <c r="R606" s="565"/>
      <c r="S606" s="565"/>
      <c r="T606" s="565"/>
      <c r="U606" s="565"/>
      <c r="V606" s="566"/>
    </row>
    <row r="607" spans="2:22" x14ac:dyDescent="0.3">
      <c r="B607" s="246"/>
      <c r="C607" s="437"/>
      <c r="D607" s="437"/>
      <c r="E607" s="248"/>
      <c r="F607" s="248"/>
      <c r="G607" s="248"/>
      <c r="H607" s="560"/>
      <c r="I607" s="561"/>
      <c r="J607" s="562"/>
      <c r="K607" s="563"/>
      <c r="L607" s="564"/>
      <c r="M607" s="564"/>
      <c r="N607" s="565"/>
      <c r="O607" s="565"/>
      <c r="P607" s="565"/>
      <c r="Q607" s="562"/>
      <c r="R607" s="565"/>
      <c r="S607" s="565"/>
      <c r="T607" s="565"/>
      <c r="U607" s="565"/>
      <c r="V607" s="566"/>
    </row>
    <row r="608" spans="2:22" x14ac:dyDescent="0.3">
      <c r="B608" s="246"/>
      <c r="C608" s="437"/>
      <c r="D608" s="437"/>
      <c r="E608" s="248"/>
      <c r="F608" s="248"/>
      <c r="G608" s="248"/>
      <c r="H608" s="560"/>
      <c r="I608" s="561"/>
      <c r="J608" s="562"/>
      <c r="K608" s="563"/>
      <c r="L608" s="564"/>
      <c r="M608" s="564"/>
      <c r="N608" s="565"/>
      <c r="O608" s="565"/>
      <c r="P608" s="565"/>
      <c r="Q608" s="562"/>
      <c r="R608" s="565"/>
      <c r="S608" s="565"/>
      <c r="T608" s="565"/>
      <c r="U608" s="565"/>
      <c r="V608" s="566"/>
    </row>
    <row r="609" spans="2:22" x14ac:dyDescent="0.3">
      <c r="B609" s="246"/>
      <c r="C609" s="437"/>
      <c r="D609" s="437"/>
      <c r="E609" s="248"/>
      <c r="F609" s="248"/>
      <c r="G609" s="248"/>
      <c r="H609" s="560"/>
      <c r="I609" s="561"/>
      <c r="J609" s="562"/>
      <c r="K609" s="563"/>
      <c r="L609" s="564"/>
      <c r="M609" s="564"/>
      <c r="N609" s="565"/>
      <c r="O609" s="565"/>
      <c r="P609" s="565"/>
      <c r="Q609" s="562"/>
      <c r="R609" s="565"/>
      <c r="S609" s="565"/>
      <c r="T609" s="565"/>
      <c r="U609" s="565"/>
      <c r="V609" s="566"/>
    </row>
    <row r="610" spans="2:22" x14ac:dyDescent="0.3">
      <c r="B610" s="246"/>
      <c r="C610" s="437"/>
      <c r="D610" s="437"/>
      <c r="E610" s="248"/>
      <c r="F610" s="248"/>
      <c r="G610" s="248"/>
      <c r="H610" s="560"/>
      <c r="I610" s="561"/>
      <c r="J610" s="562"/>
      <c r="K610" s="563"/>
      <c r="L610" s="564"/>
      <c r="M610" s="564"/>
      <c r="N610" s="565"/>
      <c r="O610" s="565"/>
      <c r="P610" s="565"/>
      <c r="Q610" s="562"/>
      <c r="R610" s="565"/>
      <c r="S610" s="565"/>
      <c r="T610" s="565"/>
      <c r="U610" s="565"/>
      <c r="V610" s="566"/>
    </row>
    <row r="611" spans="2:22" x14ac:dyDescent="0.3">
      <c r="B611" s="246"/>
      <c r="C611" s="437"/>
      <c r="D611" s="437"/>
      <c r="E611" s="248"/>
      <c r="F611" s="248"/>
      <c r="G611" s="248"/>
      <c r="H611" s="560"/>
      <c r="I611" s="561"/>
      <c r="J611" s="562"/>
      <c r="K611" s="563"/>
      <c r="L611" s="564"/>
      <c r="M611" s="564"/>
      <c r="N611" s="565"/>
      <c r="O611" s="565"/>
      <c r="P611" s="565"/>
      <c r="Q611" s="562"/>
      <c r="R611" s="565"/>
      <c r="S611" s="565"/>
      <c r="T611" s="565"/>
      <c r="U611" s="565"/>
      <c r="V611" s="566"/>
    </row>
    <row r="612" spans="2:22" x14ac:dyDescent="0.3">
      <c r="B612" s="246"/>
      <c r="C612" s="437"/>
      <c r="D612" s="437"/>
      <c r="E612" s="248"/>
      <c r="F612" s="248"/>
      <c r="G612" s="248"/>
      <c r="H612" s="560"/>
      <c r="I612" s="561"/>
      <c r="J612" s="562"/>
      <c r="K612" s="563"/>
      <c r="L612" s="564"/>
      <c r="M612" s="564"/>
      <c r="N612" s="565"/>
      <c r="O612" s="565"/>
      <c r="P612" s="565"/>
      <c r="Q612" s="562"/>
      <c r="R612" s="565"/>
      <c r="S612" s="565"/>
      <c r="T612" s="565"/>
      <c r="U612" s="565"/>
      <c r="V612" s="566"/>
    </row>
    <row r="613" spans="2:22" x14ac:dyDescent="0.3">
      <c r="B613" s="246"/>
      <c r="C613" s="437"/>
      <c r="D613" s="437"/>
      <c r="E613" s="248"/>
      <c r="F613" s="248"/>
      <c r="G613" s="248"/>
      <c r="H613" s="560"/>
      <c r="I613" s="561"/>
      <c r="J613" s="562"/>
      <c r="K613" s="563"/>
      <c r="L613" s="564"/>
      <c r="M613" s="564"/>
      <c r="N613" s="565"/>
      <c r="O613" s="565"/>
      <c r="P613" s="565"/>
      <c r="Q613" s="562"/>
      <c r="R613" s="565"/>
      <c r="S613" s="565"/>
      <c r="T613" s="565"/>
      <c r="U613" s="565"/>
      <c r="V613" s="566"/>
    </row>
    <row r="614" spans="2:22" x14ac:dyDescent="0.3">
      <c r="B614" s="246"/>
      <c r="C614" s="437"/>
      <c r="D614" s="437"/>
      <c r="E614" s="248"/>
      <c r="F614" s="248"/>
      <c r="G614" s="248"/>
      <c r="H614" s="560"/>
      <c r="I614" s="561"/>
      <c r="J614" s="562"/>
      <c r="K614" s="563"/>
      <c r="L614" s="564"/>
      <c r="M614" s="564"/>
      <c r="N614" s="565"/>
      <c r="O614" s="565"/>
      <c r="P614" s="565"/>
      <c r="Q614" s="562"/>
      <c r="R614" s="565"/>
      <c r="S614" s="565"/>
      <c r="T614" s="565"/>
      <c r="U614" s="565"/>
      <c r="V614" s="566"/>
    </row>
    <row r="615" spans="2:22" x14ac:dyDescent="0.3">
      <c r="B615" s="246"/>
      <c r="C615" s="437"/>
      <c r="D615" s="437"/>
      <c r="E615" s="248"/>
      <c r="F615" s="248"/>
      <c r="G615" s="248"/>
      <c r="H615" s="560"/>
      <c r="I615" s="561"/>
      <c r="J615" s="562"/>
      <c r="K615" s="563"/>
      <c r="L615" s="564"/>
      <c r="M615" s="564"/>
      <c r="N615" s="565"/>
      <c r="O615" s="565"/>
      <c r="P615" s="565"/>
      <c r="Q615" s="562"/>
      <c r="R615" s="565"/>
      <c r="S615" s="565"/>
      <c r="T615" s="565"/>
      <c r="U615" s="565"/>
      <c r="V615" s="566"/>
    </row>
    <row r="616" spans="2:22" x14ac:dyDescent="0.3">
      <c r="B616" s="246"/>
      <c r="C616" s="437"/>
      <c r="D616" s="437"/>
      <c r="E616" s="248"/>
      <c r="F616" s="248"/>
      <c r="G616" s="248"/>
      <c r="H616" s="560"/>
      <c r="I616" s="561"/>
      <c r="J616" s="562"/>
      <c r="K616" s="563"/>
      <c r="L616" s="564"/>
      <c r="M616" s="564"/>
      <c r="N616" s="565"/>
      <c r="O616" s="565"/>
      <c r="P616" s="565"/>
      <c r="Q616" s="562"/>
      <c r="R616" s="565"/>
      <c r="S616" s="565"/>
      <c r="T616" s="565"/>
      <c r="U616" s="565"/>
      <c r="V616" s="566"/>
    </row>
    <row r="617" spans="2:22" x14ac:dyDescent="0.3">
      <c r="B617" s="246"/>
      <c r="C617" s="437"/>
      <c r="D617" s="437"/>
      <c r="E617" s="248"/>
      <c r="F617" s="248"/>
      <c r="G617" s="248"/>
      <c r="H617" s="560"/>
      <c r="I617" s="561"/>
      <c r="J617" s="562"/>
      <c r="K617" s="563"/>
      <c r="L617" s="564"/>
      <c r="M617" s="564"/>
      <c r="N617" s="565"/>
      <c r="O617" s="565"/>
      <c r="P617" s="565"/>
      <c r="Q617" s="562"/>
      <c r="R617" s="565"/>
      <c r="S617" s="565"/>
      <c r="T617" s="565"/>
      <c r="U617" s="565"/>
      <c r="V617" s="566"/>
    </row>
    <row r="618" spans="2:22" x14ac:dyDescent="0.3">
      <c r="B618" s="246"/>
      <c r="C618" s="437"/>
      <c r="D618" s="437"/>
      <c r="E618" s="248"/>
      <c r="F618" s="248"/>
      <c r="G618" s="248"/>
      <c r="H618" s="560"/>
      <c r="I618" s="561"/>
      <c r="J618" s="562"/>
      <c r="K618" s="563"/>
      <c r="L618" s="564"/>
      <c r="M618" s="564"/>
      <c r="N618" s="565"/>
      <c r="O618" s="565"/>
      <c r="P618" s="565"/>
      <c r="Q618" s="562"/>
      <c r="R618" s="565"/>
      <c r="S618" s="565"/>
      <c r="T618" s="565"/>
      <c r="U618" s="565"/>
      <c r="V618" s="566"/>
    </row>
    <row r="619" spans="2:22" x14ac:dyDescent="0.3">
      <c r="B619" s="246"/>
      <c r="C619" s="437"/>
      <c r="D619" s="437"/>
      <c r="E619" s="248"/>
      <c r="F619" s="248"/>
      <c r="G619" s="248"/>
      <c r="H619" s="560"/>
      <c r="I619" s="561"/>
      <c r="J619" s="562"/>
      <c r="K619" s="563"/>
      <c r="L619" s="564"/>
      <c r="M619" s="564"/>
      <c r="N619" s="565"/>
      <c r="O619" s="565"/>
      <c r="P619" s="565"/>
      <c r="Q619" s="562"/>
      <c r="R619" s="565"/>
      <c r="S619" s="565"/>
      <c r="T619" s="565"/>
      <c r="U619" s="565"/>
      <c r="V619" s="566"/>
    </row>
    <row r="620" spans="2:22" x14ac:dyDescent="0.3">
      <c r="B620" s="246"/>
      <c r="C620" s="437"/>
      <c r="D620" s="437"/>
      <c r="E620" s="248"/>
      <c r="F620" s="248"/>
      <c r="G620" s="248"/>
      <c r="H620" s="560"/>
      <c r="I620" s="561"/>
      <c r="J620" s="562"/>
      <c r="K620" s="563"/>
      <c r="L620" s="564"/>
      <c r="M620" s="564"/>
      <c r="N620" s="565"/>
      <c r="O620" s="565"/>
      <c r="P620" s="565"/>
      <c r="Q620" s="562"/>
      <c r="R620" s="565"/>
      <c r="S620" s="565"/>
      <c r="T620" s="565"/>
      <c r="U620" s="565"/>
      <c r="V620" s="566"/>
    </row>
    <row r="621" spans="2:22" x14ac:dyDescent="0.3">
      <c r="B621" s="246"/>
      <c r="C621" s="437"/>
      <c r="D621" s="437"/>
      <c r="E621" s="248"/>
      <c r="F621" s="248"/>
      <c r="G621" s="248"/>
      <c r="H621" s="560"/>
      <c r="I621" s="561"/>
      <c r="J621" s="562"/>
      <c r="K621" s="563"/>
      <c r="L621" s="564"/>
      <c r="M621" s="564"/>
      <c r="N621" s="565"/>
      <c r="O621" s="565"/>
      <c r="P621" s="565"/>
      <c r="Q621" s="562"/>
      <c r="R621" s="565"/>
      <c r="S621" s="565"/>
      <c r="T621" s="565"/>
      <c r="U621" s="565"/>
      <c r="V621" s="566"/>
    </row>
    <row r="622" spans="2:22" x14ac:dyDescent="0.3">
      <c r="B622" s="246"/>
      <c r="C622" s="437"/>
      <c r="D622" s="437"/>
      <c r="E622" s="248"/>
      <c r="F622" s="248"/>
      <c r="G622" s="248"/>
      <c r="H622" s="560"/>
      <c r="I622" s="561"/>
      <c r="J622" s="562"/>
      <c r="K622" s="563"/>
      <c r="L622" s="564"/>
      <c r="M622" s="564"/>
      <c r="N622" s="565"/>
      <c r="O622" s="565"/>
      <c r="P622" s="565"/>
      <c r="Q622" s="562"/>
      <c r="R622" s="565"/>
      <c r="S622" s="565"/>
      <c r="T622" s="565"/>
      <c r="U622" s="565"/>
      <c r="V622" s="566"/>
    </row>
    <row r="623" spans="2:22" x14ac:dyDescent="0.3">
      <c r="B623" s="246"/>
      <c r="C623" s="437"/>
      <c r="D623" s="437"/>
      <c r="E623" s="248"/>
      <c r="F623" s="248"/>
      <c r="G623" s="248"/>
      <c r="H623" s="560"/>
      <c r="I623" s="561"/>
      <c r="J623" s="562"/>
      <c r="K623" s="563"/>
      <c r="L623" s="564"/>
      <c r="M623" s="564"/>
      <c r="N623" s="565"/>
      <c r="O623" s="565"/>
      <c r="P623" s="565"/>
      <c r="Q623" s="562"/>
      <c r="R623" s="565"/>
      <c r="S623" s="565"/>
      <c r="T623" s="565"/>
      <c r="U623" s="565"/>
      <c r="V623" s="566"/>
    </row>
    <row r="624" spans="2:22" x14ac:dyDescent="0.3">
      <c r="B624" s="246"/>
      <c r="C624" s="437"/>
      <c r="D624" s="437"/>
      <c r="E624" s="248"/>
      <c r="F624" s="248"/>
      <c r="G624" s="248"/>
      <c r="H624" s="560"/>
      <c r="I624" s="561"/>
      <c r="J624" s="562"/>
      <c r="K624" s="563"/>
      <c r="L624" s="564"/>
      <c r="M624" s="564"/>
      <c r="N624" s="565"/>
      <c r="O624" s="565"/>
      <c r="P624" s="565"/>
      <c r="Q624" s="562"/>
      <c r="R624" s="565"/>
      <c r="S624" s="565"/>
      <c r="T624" s="565"/>
      <c r="U624" s="565"/>
      <c r="V624" s="566"/>
    </row>
    <row r="625" spans="2:22" x14ac:dyDescent="0.3">
      <c r="B625" s="246"/>
      <c r="C625" s="437"/>
      <c r="D625" s="437"/>
      <c r="E625" s="248"/>
      <c r="F625" s="248"/>
      <c r="G625" s="248"/>
      <c r="H625" s="560"/>
      <c r="I625" s="561"/>
      <c r="J625" s="562"/>
      <c r="K625" s="563"/>
      <c r="L625" s="564"/>
      <c r="M625" s="564"/>
      <c r="N625" s="565"/>
      <c r="O625" s="565"/>
      <c r="P625" s="565"/>
      <c r="Q625" s="562"/>
      <c r="R625" s="565"/>
      <c r="S625" s="565"/>
      <c r="T625" s="565"/>
      <c r="U625" s="565"/>
      <c r="V625" s="566"/>
    </row>
    <row r="626" spans="2:22" x14ac:dyDescent="0.3">
      <c r="B626" s="246"/>
      <c r="C626" s="437"/>
      <c r="D626" s="437"/>
      <c r="E626" s="248"/>
      <c r="F626" s="248"/>
      <c r="G626" s="248"/>
      <c r="H626" s="560"/>
      <c r="I626" s="561"/>
      <c r="J626" s="562"/>
      <c r="K626" s="563"/>
      <c r="L626" s="564"/>
      <c r="M626" s="564"/>
      <c r="N626" s="565"/>
      <c r="O626" s="565"/>
      <c r="P626" s="565"/>
      <c r="Q626" s="562"/>
      <c r="R626" s="565"/>
      <c r="S626" s="565"/>
      <c r="T626" s="565"/>
      <c r="U626" s="565"/>
      <c r="V626" s="566"/>
    </row>
    <row r="627" spans="2:22" x14ac:dyDescent="0.3">
      <c r="B627" s="246"/>
      <c r="C627" s="437"/>
      <c r="D627" s="437"/>
      <c r="E627" s="248"/>
      <c r="F627" s="248"/>
      <c r="G627" s="248"/>
      <c r="H627" s="560"/>
      <c r="I627" s="561"/>
      <c r="J627" s="562"/>
      <c r="K627" s="563"/>
      <c r="L627" s="564"/>
      <c r="M627" s="564"/>
      <c r="N627" s="565"/>
      <c r="O627" s="565"/>
      <c r="P627" s="565"/>
      <c r="Q627" s="562"/>
      <c r="R627" s="565"/>
      <c r="S627" s="565"/>
      <c r="T627" s="565"/>
      <c r="U627" s="565"/>
      <c r="V627" s="566"/>
    </row>
    <row r="628" spans="2:22" x14ac:dyDescent="0.3">
      <c r="B628" s="246"/>
      <c r="C628" s="437"/>
      <c r="D628" s="437"/>
      <c r="E628" s="248"/>
      <c r="F628" s="248"/>
      <c r="G628" s="248"/>
      <c r="H628" s="560"/>
      <c r="I628" s="561"/>
      <c r="J628" s="562"/>
      <c r="K628" s="563"/>
      <c r="L628" s="564"/>
      <c r="M628" s="564"/>
      <c r="N628" s="565"/>
      <c r="O628" s="565"/>
      <c r="P628" s="565"/>
      <c r="Q628" s="562"/>
      <c r="R628" s="565"/>
      <c r="S628" s="565"/>
      <c r="T628" s="565"/>
      <c r="U628" s="565"/>
      <c r="V628" s="566"/>
    </row>
    <row r="629" spans="2:22" x14ac:dyDescent="0.3">
      <c r="B629" s="246"/>
      <c r="C629" s="437"/>
      <c r="D629" s="437"/>
      <c r="E629" s="248"/>
      <c r="F629" s="248"/>
      <c r="G629" s="248"/>
      <c r="H629" s="560"/>
      <c r="I629" s="561"/>
      <c r="J629" s="562"/>
      <c r="K629" s="563"/>
      <c r="L629" s="564"/>
      <c r="M629" s="564"/>
      <c r="N629" s="565"/>
      <c r="O629" s="565"/>
      <c r="P629" s="565"/>
      <c r="Q629" s="562"/>
      <c r="R629" s="565"/>
      <c r="S629" s="565"/>
      <c r="T629" s="565"/>
      <c r="U629" s="565"/>
      <c r="V629" s="566"/>
    </row>
    <row r="630" spans="2:22" x14ac:dyDescent="0.3">
      <c r="B630" s="246"/>
      <c r="C630" s="437"/>
      <c r="D630" s="437"/>
      <c r="E630" s="248"/>
      <c r="F630" s="248"/>
      <c r="G630" s="248"/>
      <c r="H630" s="560"/>
      <c r="I630" s="561"/>
      <c r="J630" s="562"/>
      <c r="K630" s="563"/>
      <c r="L630" s="564"/>
      <c r="M630" s="564"/>
      <c r="N630" s="565"/>
      <c r="O630" s="565"/>
      <c r="P630" s="565"/>
      <c r="Q630" s="562"/>
      <c r="R630" s="565"/>
      <c r="S630" s="565"/>
      <c r="T630" s="565"/>
      <c r="U630" s="565"/>
      <c r="V630" s="566"/>
    </row>
    <row r="631" spans="2:22" x14ac:dyDescent="0.3">
      <c r="B631" s="246"/>
      <c r="C631" s="437"/>
      <c r="D631" s="437"/>
      <c r="E631" s="248"/>
      <c r="F631" s="248"/>
      <c r="G631" s="248"/>
      <c r="H631" s="560"/>
      <c r="I631" s="561"/>
      <c r="J631" s="562"/>
      <c r="K631" s="563"/>
      <c r="L631" s="564"/>
      <c r="M631" s="564"/>
      <c r="N631" s="565"/>
      <c r="O631" s="565"/>
      <c r="P631" s="565"/>
      <c r="Q631" s="562"/>
      <c r="R631" s="565"/>
      <c r="S631" s="565"/>
      <c r="T631" s="565"/>
      <c r="U631" s="565"/>
      <c r="V631" s="566"/>
    </row>
    <row r="632" spans="2:22" x14ac:dyDescent="0.3">
      <c r="B632" s="246"/>
      <c r="C632" s="437"/>
      <c r="D632" s="437"/>
      <c r="E632" s="248"/>
      <c r="F632" s="248"/>
      <c r="G632" s="248"/>
      <c r="H632" s="560"/>
      <c r="I632" s="561"/>
      <c r="J632" s="562"/>
      <c r="K632" s="563"/>
      <c r="L632" s="564"/>
      <c r="M632" s="564"/>
      <c r="N632" s="565"/>
      <c r="O632" s="565"/>
      <c r="P632" s="565"/>
      <c r="Q632" s="562"/>
      <c r="R632" s="565"/>
      <c r="S632" s="565"/>
      <c r="T632" s="565"/>
      <c r="U632" s="565"/>
      <c r="V632" s="566"/>
    </row>
    <row r="633" spans="2:22" x14ac:dyDescent="0.3">
      <c r="B633" s="246"/>
      <c r="C633" s="437"/>
      <c r="D633" s="437"/>
      <c r="E633" s="248"/>
      <c r="F633" s="248"/>
      <c r="G633" s="248"/>
      <c r="H633" s="560"/>
      <c r="I633" s="561"/>
      <c r="J633" s="562"/>
      <c r="K633" s="563"/>
      <c r="L633" s="564"/>
      <c r="M633" s="564"/>
      <c r="N633" s="565"/>
      <c r="O633" s="565"/>
      <c r="P633" s="565"/>
      <c r="Q633" s="562"/>
      <c r="R633" s="565"/>
      <c r="S633" s="565"/>
      <c r="T633" s="565"/>
      <c r="U633" s="565"/>
      <c r="V633" s="566"/>
    </row>
    <row r="634" spans="2:22" x14ac:dyDescent="0.3">
      <c r="B634" s="246"/>
      <c r="C634" s="437"/>
      <c r="D634" s="437"/>
      <c r="E634" s="248"/>
      <c r="F634" s="248"/>
      <c r="G634" s="248"/>
      <c r="H634" s="560"/>
      <c r="I634" s="561"/>
      <c r="J634" s="562"/>
      <c r="K634" s="563"/>
      <c r="L634" s="564"/>
      <c r="M634" s="564"/>
      <c r="N634" s="565"/>
      <c r="O634" s="565"/>
      <c r="P634" s="565"/>
      <c r="Q634" s="562"/>
      <c r="R634" s="565"/>
      <c r="S634" s="565"/>
      <c r="T634" s="565"/>
      <c r="U634" s="565"/>
      <c r="V634" s="566"/>
    </row>
    <row r="635" spans="2:22" x14ac:dyDescent="0.3">
      <c r="B635" s="246"/>
      <c r="C635" s="437"/>
      <c r="D635" s="437"/>
      <c r="E635" s="248"/>
      <c r="F635" s="248"/>
      <c r="G635" s="248"/>
      <c r="H635" s="560"/>
      <c r="I635" s="561"/>
      <c r="J635" s="562"/>
      <c r="K635" s="563"/>
      <c r="L635" s="564"/>
      <c r="M635" s="564"/>
      <c r="N635" s="565"/>
      <c r="O635" s="565"/>
      <c r="P635" s="565"/>
      <c r="Q635" s="562"/>
      <c r="R635" s="565"/>
      <c r="S635" s="565"/>
      <c r="T635" s="565"/>
      <c r="U635" s="565"/>
      <c r="V635" s="566"/>
    </row>
    <row r="636" spans="2:22" x14ac:dyDescent="0.3">
      <c r="B636" s="246"/>
      <c r="C636" s="437"/>
      <c r="D636" s="437"/>
      <c r="E636" s="248"/>
      <c r="F636" s="248"/>
      <c r="G636" s="248"/>
      <c r="H636" s="560"/>
      <c r="I636" s="561"/>
      <c r="J636" s="562"/>
      <c r="K636" s="563"/>
      <c r="L636" s="564"/>
      <c r="M636" s="564"/>
      <c r="N636" s="565"/>
      <c r="O636" s="565"/>
      <c r="P636" s="565"/>
      <c r="Q636" s="562"/>
      <c r="R636" s="565"/>
      <c r="S636" s="565"/>
      <c r="T636" s="565"/>
      <c r="U636" s="565"/>
      <c r="V636" s="566"/>
    </row>
    <row r="637" spans="2:22" x14ac:dyDescent="0.3">
      <c r="B637" s="246"/>
      <c r="C637" s="437"/>
      <c r="D637" s="437"/>
      <c r="E637" s="248"/>
      <c r="F637" s="248"/>
      <c r="G637" s="248"/>
      <c r="H637" s="560"/>
      <c r="I637" s="561"/>
      <c r="J637" s="562"/>
      <c r="K637" s="563"/>
      <c r="L637" s="564"/>
      <c r="M637" s="564"/>
      <c r="N637" s="565"/>
      <c r="O637" s="565"/>
      <c r="P637" s="565"/>
      <c r="Q637" s="562"/>
      <c r="R637" s="565"/>
      <c r="S637" s="565"/>
      <c r="T637" s="565"/>
      <c r="U637" s="565"/>
      <c r="V637" s="566"/>
    </row>
    <row r="638" spans="2:22" x14ac:dyDescent="0.3">
      <c r="B638" s="246"/>
      <c r="C638" s="437"/>
      <c r="D638" s="437"/>
      <c r="E638" s="248"/>
      <c r="F638" s="248"/>
      <c r="G638" s="248"/>
      <c r="H638" s="560"/>
      <c r="I638" s="561"/>
      <c r="J638" s="562"/>
      <c r="K638" s="563"/>
      <c r="L638" s="564"/>
      <c r="M638" s="564"/>
      <c r="N638" s="565"/>
      <c r="O638" s="565"/>
      <c r="P638" s="565"/>
      <c r="Q638" s="562"/>
      <c r="R638" s="565"/>
      <c r="S638" s="565"/>
      <c r="T638" s="565"/>
      <c r="U638" s="565"/>
      <c r="V638" s="566"/>
    </row>
    <row r="639" spans="2:22" x14ac:dyDescent="0.3">
      <c r="B639" s="246"/>
      <c r="C639" s="437"/>
      <c r="D639" s="437"/>
      <c r="E639" s="248"/>
      <c r="F639" s="248"/>
      <c r="G639" s="248"/>
      <c r="H639" s="560"/>
      <c r="I639" s="561"/>
      <c r="J639" s="562"/>
      <c r="K639" s="563"/>
      <c r="L639" s="564"/>
      <c r="M639" s="564"/>
      <c r="N639" s="565"/>
      <c r="O639" s="565"/>
      <c r="P639" s="565"/>
      <c r="Q639" s="562"/>
      <c r="R639" s="565"/>
      <c r="S639" s="565"/>
      <c r="T639" s="565"/>
      <c r="U639" s="565"/>
      <c r="V639" s="566"/>
    </row>
    <row r="640" spans="2:22" x14ac:dyDescent="0.3">
      <c r="B640" s="246"/>
      <c r="C640" s="437"/>
      <c r="D640" s="437"/>
      <c r="E640" s="248"/>
      <c r="F640" s="248"/>
      <c r="G640" s="248"/>
      <c r="H640" s="560"/>
      <c r="I640" s="561"/>
      <c r="J640" s="562"/>
      <c r="K640" s="563"/>
      <c r="L640" s="564"/>
      <c r="M640" s="564"/>
      <c r="N640" s="565"/>
      <c r="O640" s="565"/>
      <c r="P640" s="565"/>
      <c r="Q640" s="562"/>
      <c r="R640" s="565"/>
      <c r="S640" s="565"/>
      <c r="T640" s="565"/>
      <c r="U640" s="565"/>
      <c r="V640" s="566"/>
    </row>
    <row r="641" spans="2:22" x14ac:dyDescent="0.3">
      <c r="B641" s="246"/>
      <c r="C641" s="437"/>
      <c r="D641" s="437"/>
      <c r="E641" s="248"/>
      <c r="F641" s="248"/>
      <c r="G641" s="248"/>
      <c r="H641" s="560"/>
      <c r="I641" s="561"/>
      <c r="J641" s="562"/>
      <c r="K641" s="563"/>
      <c r="L641" s="564"/>
      <c r="M641" s="564"/>
      <c r="N641" s="565"/>
      <c r="O641" s="565"/>
      <c r="P641" s="565"/>
      <c r="Q641" s="562"/>
      <c r="R641" s="565"/>
      <c r="S641" s="565"/>
      <c r="T641" s="565"/>
      <c r="U641" s="565"/>
      <c r="V641" s="566"/>
    </row>
    <row r="642" spans="2:22" x14ac:dyDescent="0.3">
      <c r="B642" s="246"/>
      <c r="C642" s="437"/>
      <c r="D642" s="437"/>
      <c r="E642" s="248"/>
      <c r="F642" s="248"/>
      <c r="G642" s="248"/>
      <c r="H642" s="560"/>
      <c r="I642" s="561"/>
      <c r="J642" s="562"/>
      <c r="K642" s="563"/>
      <c r="L642" s="564"/>
      <c r="M642" s="564"/>
      <c r="N642" s="565"/>
      <c r="O642" s="565"/>
      <c r="P642" s="565"/>
      <c r="Q642" s="562"/>
      <c r="R642" s="565"/>
      <c r="S642" s="565"/>
      <c r="T642" s="565"/>
      <c r="U642" s="565"/>
      <c r="V642" s="566"/>
    </row>
    <row r="643" spans="2:22" x14ac:dyDescent="0.3">
      <c r="B643" s="246"/>
      <c r="C643" s="437"/>
      <c r="D643" s="437"/>
      <c r="E643" s="248"/>
      <c r="F643" s="248"/>
      <c r="G643" s="248"/>
      <c r="H643" s="560"/>
      <c r="I643" s="561"/>
      <c r="J643" s="562"/>
      <c r="K643" s="563"/>
      <c r="L643" s="564"/>
      <c r="M643" s="564"/>
      <c r="N643" s="565"/>
      <c r="O643" s="565"/>
      <c r="P643" s="565"/>
      <c r="Q643" s="562"/>
      <c r="R643" s="565"/>
      <c r="S643" s="565"/>
      <c r="T643" s="565"/>
      <c r="U643" s="565"/>
      <c r="V643" s="566"/>
    </row>
    <row r="644" spans="2:22" x14ac:dyDescent="0.3">
      <c r="B644" s="246"/>
      <c r="C644" s="437"/>
      <c r="D644" s="437"/>
      <c r="E644" s="248"/>
      <c r="F644" s="248"/>
      <c r="G644" s="248"/>
      <c r="H644" s="560"/>
      <c r="I644" s="561"/>
      <c r="J644" s="562"/>
      <c r="K644" s="563"/>
      <c r="L644" s="564"/>
      <c r="M644" s="564"/>
      <c r="N644" s="565"/>
      <c r="O644" s="565"/>
      <c r="P644" s="565"/>
      <c r="Q644" s="562"/>
      <c r="R644" s="565"/>
      <c r="S644" s="565"/>
      <c r="T644" s="565"/>
      <c r="U644" s="565"/>
      <c r="V644" s="566"/>
    </row>
    <row r="645" spans="2:22" x14ac:dyDescent="0.3">
      <c r="B645" s="246"/>
      <c r="C645" s="437"/>
      <c r="D645" s="437"/>
      <c r="E645" s="248"/>
      <c r="F645" s="248"/>
      <c r="G645" s="248"/>
      <c r="H645" s="560"/>
      <c r="I645" s="561"/>
      <c r="J645" s="562"/>
      <c r="K645" s="563"/>
      <c r="L645" s="564"/>
      <c r="M645" s="564"/>
      <c r="N645" s="565"/>
      <c r="O645" s="565"/>
      <c r="P645" s="565"/>
      <c r="Q645" s="562"/>
      <c r="R645" s="565"/>
      <c r="S645" s="565"/>
      <c r="T645" s="565"/>
      <c r="U645" s="565"/>
      <c r="V645" s="566"/>
    </row>
    <row r="646" spans="2:22" x14ac:dyDescent="0.3">
      <c r="B646" s="246"/>
      <c r="C646" s="437"/>
      <c r="D646" s="437"/>
      <c r="E646" s="248"/>
      <c r="F646" s="248"/>
      <c r="G646" s="248"/>
      <c r="H646" s="560"/>
      <c r="I646" s="561"/>
      <c r="J646" s="562"/>
      <c r="K646" s="563"/>
      <c r="L646" s="564"/>
      <c r="M646" s="564"/>
      <c r="N646" s="565"/>
      <c r="O646" s="565"/>
      <c r="P646" s="565"/>
      <c r="Q646" s="562"/>
      <c r="R646" s="565"/>
      <c r="S646" s="565"/>
      <c r="T646" s="565"/>
      <c r="U646" s="565"/>
      <c r="V646" s="566"/>
    </row>
    <row r="647" spans="2:22" x14ac:dyDescent="0.3">
      <c r="B647" s="246"/>
      <c r="C647" s="437"/>
      <c r="D647" s="437"/>
      <c r="E647" s="248"/>
      <c r="F647" s="248"/>
      <c r="G647" s="248"/>
      <c r="H647" s="560"/>
      <c r="I647" s="561"/>
      <c r="J647" s="562"/>
      <c r="K647" s="563"/>
      <c r="L647" s="564"/>
      <c r="M647" s="564"/>
      <c r="N647" s="565"/>
      <c r="O647" s="565"/>
      <c r="P647" s="565"/>
      <c r="Q647" s="562"/>
      <c r="R647" s="565"/>
      <c r="S647" s="565"/>
      <c r="T647" s="565"/>
      <c r="U647" s="565"/>
      <c r="V647" s="566"/>
    </row>
    <row r="648" spans="2:22" x14ac:dyDescent="0.3">
      <c r="B648" s="246"/>
      <c r="C648" s="437"/>
      <c r="D648" s="437"/>
      <c r="E648" s="248"/>
      <c r="F648" s="248"/>
      <c r="G648" s="248"/>
      <c r="H648" s="560"/>
      <c r="I648" s="561"/>
      <c r="J648" s="562"/>
      <c r="K648" s="563"/>
      <c r="L648" s="564"/>
      <c r="M648" s="564"/>
      <c r="N648" s="565"/>
      <c r="O648" s="565"/>
      <c r="P648" s="565"/>
      <c r="Q648" s="562"/>
      <c r="R648" s="565"/>
      <c r="S648" s="565"/>
      <c r="T648" s="565"/>
      <c r="U648" s="565"/>
      <c r="V648" s="566"/>
    </row>
    <row r="649" spans="2:22" x14ac:dyDescent="0.3">
      <c r="B649" s="246"/>
      <c r="C649" s="437"/>
      <c r="D649" s="437"/>
      <c r="E649" s="248"/>
      <c r="F649" s="248"/>
      <c r="G649" s="248"/>
      <c r="H649" s="560"/>
      <c r="I649" s="561"/>
      <c r="J649" s="562"/>
      <c r="K649" s="563"/>
      <c r="L649" s="564"/>
      <c r="M649" s="564"/>
      <c r="N649" s="565"/>
      <c r="O649" s="565"/>
      <c r="P649" s="565"/>
      <c r="Q649" s="562"/>
      <c r="R649" s="565"/>
      <c r="S649" s="565"/>
      <c r="T649" s="565"/>
      <c r="U649" s="565"/>
      <c r="V649" s="566"/>
    </row>
    <row r="650" spans="2:22" x14ac:dyDescent="0.3">
      <c r="B650" s="246"/>
      <c r="C650" s="437"/>
      <c r="D650" s="437"/>
      <c r="E650" s="248"/>
      <c r="F650" s="248"/>
      <c r="G650" s="248"/>
      <c r="H650" s="560"/>
      <c r="I650" s="561"/>
      <c r="J650" s="562"/>
      <c r="K650" s="563"/>
      <c r="L650" s="564"/>
      <c r="M650" s="564"/>
      <c r="N650" s="565"/>
      <c r="O650" s="565"/>
      <c r="P650" s="565"/>
      <c r="Q650" s="562"/>
      <c r="R650" s="565"/>
      <c r="S650" s="565"/>
      <c r="T650" s="565"/>
      <c r="U650" s="565"/>
      <c r="V650" s="566"/>
    </row>
    <row r="651" spans="2:22" x14ac:dyDescent="0.3">
      <c r="B651" s="246"/>
      <c r="C651" s="437"/>
      <c r="D651" s="437"/>
      <c r="E651" s="248"/>
      <c r="F651" s="248"/>
      <c r="G651" s="248"/>
      <c r="H651" s="560"/>
      <c r="I651" s="561"/>
      <c r="J651" s="562"/>
      <c r="K651" s="563"/>
      <c r="L651" s="564"/>
      <c r="M651" s="564"/>
      <c r="N651" s="565"/>
      <c r="O651" s="565"/>
      <c r="P651" s="565"/>
      <c r="Q651" s="562"/>
      <c r="R651" s="565"/>
      <c r="S651" s="565"/>
      <c r="T651" s="565"/>
      <c r="U651" s="565"/>
      <c r="V651" s="566"/>
    </row>
    <row r="652" spans="2:22" x14ac:dyDescent="0.3">
      <c r="B652" s="246"/>
      <c r="C652" s="437"/>
      <c r="D652" s="437"/>
      <c r="E652" s="248"/>
      <c r="F652" s="248"/>
      <c r="G652" s="248"/>
      <c r="H652" s="560"/>
      <c r="I652" s="561"/>
      <c r="J652" s="562"/>
      <c r="K652" s="563"/>
      <c r="L652" s="564"/>
      <c r="M652" s="564"/>
      <c r="N652" s="565"/>
      <c r="O652" s="565"/>
      <c r="P652" s="565"/>
      <c r="Q652" s="562"/>
      <c r="R652" s="565"/>
      <c r="S652" s="565"/>
      <c r="T652" s="565"/>
      <c r="U652" s="565"/>
      <c r="V652" s="566"/>
    </row>
    <row r="653" spans="2:22" x14ac:dyDescent="0.3">
      <c r="B653" s="246"/>
      <c r="C653" s="437"/>
      <c r="D653" s="437"/>
      <c r="E653" s="248"/>
      <c r="F653" s="248"/>
      <c r="G653" s="248"/>
      <c r="H653" s="560"/>
      <c r="I653" s="561"/>
      <c r="J653" s="562"/>
      <c r="K653" s="563"/>
      <c r="L653" s="564"/>
      <c r="M653" s="564"/>
      <c r="N653" s="565"/>
      <c r="O653" s="565"/>
      <c r="P653" s="565"/>
      <c r="Q653" s="562"/>
      <c r="R653" s="565"/>
      <c r="S653" s="565"/>
      <c r="T653" s="565"/>
      <c r="U653" s="565"/>
      <c r="V653" s="566"/>
    </row>
    <row r="654" spans="2:22" x14ac:dyDescent="0.3">
      <c r="B654" s="246"/>
      <c r="C654" s="437"/>
      <c r="D654" s="437"/>
      <c r="E654" s="248"/>
      <c r="F654" s="248"/>
      <c r="G654" s="248"/>
      <c r="H654" s="560"/>
      <c r="I654" s="561"/>
      <c r="J654" s="562"/>
      <c r="K654" s="563"/>
      <c r="L654" s="564"/>
      <c r="M654" s="564"/>
      <c r="N654" s="565"/>
      <c r="O654" s="565"/>
      <c r="P654" s="565"/>
      <c r="Q654" s="562"/>
      <c r="R654" s="565"/>
      <c r="S654" s="565"/>
      <c r="T654" s="565"/>
      <c r="U654" s="565"/>
      <c r="V654" s="566"/>
    </row>
    <row r="655" spans="2:22" x14ac:dyDescent="0.3">
      <c r="B655" s="246"/>
      <c r="C655" s="437"/>
      <c r="D655" s="437"/>
      <c r="E655" s="248"/>
      <c r="F655" s="248"/>
      <c r="G655" s="248"/>
      <c r="H655" s="560"/>
      <c r="I655" s="561"/>
      <c r="J655" s="562"/>
      <c r="K655" s="563"/>
      <c r="L655" s="564"/>
      <c r="M655" s="564"/>
      <c r="N655" s="565"/>
      <c r="O655" s="565"/>
      <c r="P655" s="565"/>
      <c r="Q655" s="562"/>
      <c r="R655" s="565"/>
      <c r="S655" s="565"/>
      <c r="T655" s="565"/>
      <c r="U655" s="565"/>
      <c r="V655" s="566"/>
    </row>
    <row r="656" spans="2:22" x14ac:dyDescent="0.3">
      <c r="B656" s="246"/>
      <c r="C656" s="437"/>
      <c r="D656" s="437"/>
      <c r="E656" s="248"/>
      <c r="F656" s="248"/>
      <c r="G656" s="248"/>
      <c r="H656" s="560"/>
      <c r="I656" s="561"/>
      <c r="J656" s="562"/>
      <c r="K656" s="563"/>
      <c r="L656" s="564"/>
      <c r="M656" s="564"/>
      <c r="N656" s="565"/>
      <c r="O656" s="565"/>
      <c r="P656" s="565"/>
      <c r="Q656" s="562"/>
      <c r="R656" s="565"/>
      <c r="S656" s="565"/>
      <c r="T656" s="565"/>
      <c r="U656" s="565"/>
      <c r="V656" s="566"/>
    </row>
    <row r="657" spans="2:22" x14ac:dyDescent="0.3">
      <c r="B657" s="246"/>
      <c r="C657" s="437"/>
      <c r="D657" s="437"/>
      <c r="E657" s="248"/>
      <c r="F657" s="248"/>
      <c r="G657" s="248"/>
      <c r="H657" s="560"/>
      <c r="I657" s="561"/>
      <c r="J657" s="562"/>
      <c r="K657" s="563"/>
      <c r="L657" s="564"/>
      <c r="M657" s="564"/>
      <c r="N657" s="565"/>
      <c r="O657" s="565"/>
      <c r="P657" s="565"/>
      <c r="Q657" s="562"/>
      <c r="R657" s="565"/>
      <c r="S657" s="565"/>
      <c r="T657" s="565"/>
      <c r="U657" s="565"/>
      <c r="V657" s="566"/>
    </row>
    <row r="658" spans="2:22" x14ac:dyDescent="0.3">
      <c r="B658" s="246"/>
      <c r="C658" s="437"/>
      <c r="D658" s="437"/>
      <c r="E658" s="248"/>
      <c r="F658" s="248"/>
      <c r="G658" s="248"/>
      <c r="H658" s="560"/>
      <c r="I658" s="561"/>
      <c r="J658" s="562"/>
      <c r="K658" s="563"/>
      <c r="L658" s="564"/>
      <c r="M658" s="564"/>
      <c r="N658" s="565"/>
      <c r="O658" s="565"/>
      <c r="P658" s="565"/>
      <c r="Q658" s="562"/>
      <c r="R658" s="565"/>
      <c r="S658" s="565"/>
      <c r="T658" s="565"/>
      <c r="U658" s="565"/>
      <c r="V658" s="566"/>
    </row>
    <row r="659" spans="2:22" x14ac:dyDescent="0.3">
      <c r="B659" s="246"/>
      <c r="C659" s="437"/>
      <c r="D659" s="437"/>
      <c r="E659" s="248"/>
      <c r="F659" s="248"/>
      <c r="G659" s="248"/>
      <c r="H659" s="560"/>
      <c r="I659" s="561"/>
      <c r="J659" s="562"/>
      <c r="K659" s="563"/>
      <c r="L659" s="564"/>
      <c r="M659" s="564"/>
      <c r="N659" s="565"/>
      <c r="O659" s="565"/>
      <c r="P659" s="565"/>
      <c r="Q659" s="562"/>
      <c r="R659" s="565"/>
      <c r="S659" s="565"/>
      <c r="T659" s="565"/>
      <c r="U659" s="565"/>
      <c r="V659" s="566"/>
    </row>
    <row r="660" spans="2:22" x14ac:dyDescent="0.3">
      <c r="B660" s="246"/>
      <c r="C660" s="437"/>
      <c r="D660" s="437"/>
      <c r="E660" s="248"/>
      <c r="F660" s="248"/>
      <c r="G660" s="248"/>
      <c r="H660" s="560"/>
      <c r="I660" s="561"/>
      <c r="J660" s="562"/>
      <c r="K660" s="563"/>
      <c r="L660" s="564"/>
      <c r="M660" s="564"/>
      <c r="N660" s="565"/>
      <c r="O660" s="565"/>
      <c r="P660" s="565"/>
      <c r="Q660" s="562"/>
      <c r="R660" s="565"/>
      <c r="S660" s="565"/>
      <c r="T660" s="565"/>
      <c r="U660" s="565"/>
      <c r="V660" s="566"/>
    </row>
    <row r="661" spans="2:22" x14ac:dyDescent="0.3">
      <c r="B661" s="246"/>
      <c r="C661" s="437"/>
      <c r="D661" s="437"/>
      <c r="E661" s="248"/>
      <c r="F661" s="248"/>
      <c r="G661" s="248"/>
      <c r="H661" s="560"/>
      <c r="I661" s="561"/>
      <c r="J661" s="562"/>
      <c r="K661" s="563"/>
      <c r="L661" s="564"/>
      <c r="M661" s="564"/>
      <c r="N661" s="565"/>
      <c r="O661" s="565"/>
      <c r="P661" s="565"/>
      <c r="Q661" s="562"/>
      <c r="R661" s="565"/>
      <c r="S661" s="565"/>
      <c r="T661" s="565"/>
      <c r="U661" s="565"/>
      <c r="V661" s="566"/>
    </row>
    <row r="662" spans="2:22" x14ac:dyDescent="0.3">
      <c r="B662" s="246"/>
      <c r="C662" s="437"/>
      <c r="D662" s="437"/>
      <c r="E662" s="248"/>
      <c r="F662" s="248"/>
      <c r="G662" s="248"/>
      <c r="H662" s="560"/>
      <c r="I662" s="561"/>
      <c r="J662" s="562"/>
      <c r="K662" s="563"/>
      <c r="L662" s="564"/>
      <c r="M662" s="564"/>
      <c r="N662" s="565"/>
      <c r="O662" s="565"/>
      <c r="P662" s="565"/>
      <c r="Q662" s="562"/>
      <c r="R662" s="565"/>
      <c r="S662" s="565"/>
      <c r="T662" s="565"/>
      <c r="U662" s="565"/>
      <c r="V662" s="566"/>
    </row>
    <row r="663" spans="2:22" x14ac:dyDescent="0.3">
      <c r="B663" s="246"/>
      <c r="C663" s="437"/>
      <c r="D663" s="437"/>
      <c r="E663" s="248"/>
      <c r="F663" s="248"/>
      <c r="G663" s="248"/>
      <c r="H663" s="560"/>
      <c r="I663" s="561"/>
      <c r="J663" s="562"/>
      <c r="K663" s="563"/>
      <c r="L663" s="564"/>
      <c r="M663" s="564"/>
      <c r="N663" s="565"/>
      <c r="O663" s="565"/>
      <c r="P663" s="565"/>
      <c r="Q663" s="562"/>
      <c r="R663" s="565"/>
      <c r="S663" s="565"/>
      <c r="T663" s="565"/>
      <c r="U663" s="565"/>
      <c r="V663" s="566"/>
    </row>
    <row r="664" spans="2:22" x14ac:dyDescent="0.3">
      <c r="B664" s="246"/>
      <c r="C664" s="437"/>
      <c r="D664" s="437"/>
      <c r="E664" s="248"/>
      <c r="F664" s="248"/>
      <c r="G664" s="248"/>
      <c r="H664" s="560"/>
      <c r="I664" s="561"/>
      <c r="J664" s="562"/>
      <c r="K664" s="563"/>
      <c r="L664" s="564"/>
      <c r="M664" s="564"/>
      <c r="N664" s="565"/>
      <c r="O664" s="565"/>
      <c r="P664" s="565"/>
      <c r="Q664" s="562"/>
      <c r="R664" s="565"/>
      <c r="S664" s="565"/>
      <c r="T664" s="565"/>
      <c r="U664" s="565"/>
      <c r="V664" s="566"/>
    </row>
    <row r="665" spans="2:22" x14ac:dyDescent="0.3">
      <c r="B665" s="246"/>
      <c r="C665" s="437"/>
      <c r="D665" s="437"/>
      <c r="E665" s="248"/>
      <c r="F665" s="248"/>
      <c r="G665" s="248"/>
      <c r="H665" s="560"/>
      <c r="I665" s="561"/>
      <c r="J665" s="562"/>
      <c r="K665" s="563"/>
      <c r="L665" s="564"/>
      <c r="M665" s="564"/>
      <c r="N665" s="565"/>
      <c r="O665" s="565"/>
      <c r="P665" s="565"/>
      <c r="Q665" s="562"/>
      <c r="R665" s="565"/>
      <c r="S665" s="565"/>
      <c r="T665" s="565"/>
      <c r="U665" s="565"/>
      <c r="V665" s="566"/>
    </row>
    <row r="666" spans="2:22" x14ac:dyDescent="0.3">
      <c r="B666" s="246"/>
      <c r="C666" s="437"/>
      <c r="D666" s="437"/>
      <c r="E666" s="248"/>
      <c r="F666" s="248"/>
      <c r="G666" s="248"/>
      <c r="H666" s="560"/>
      <c r="I666" s="561"/>
      <c r="J666" s="562"/>
      <c r="K666" s="563"/>
      <c r="L666" s="564"/>
      <c r="M666" s="564"/>
      <c r="N666" s="565"/>
      <c r="O666" s="565"/>
      <c r="P666" s="565"/>
      <c r="Q666" s="562"/>
      <c r="R666" s="565"/>
      <c r="S666" s="565"/>
      <c r="T666" s="565"/>
      <c r="U666" s="565"/>
      <c r="V666" s="566"/>
    </row>
    <row r="667" spans="2:22" x14ac:dyDescent="0.3">
      <c r="B667" s="246"/>
      <c r="C667" s="437"/>
      <c r="D667" s="437"/>
      <c r="E667" s="248"/>
      <c r="F667" s="248"/>
      <c r="G667" s="248"/>
      <c r="H667" s="560"/>
      <c r="I667" s="561"/>
      <c r="J667" s="562"/>
      <c r="K667" s="563"/>
      <c r="L667" s="564"/>
      <c r="M667" s="564"/>
      <c r="N667" s="565"/>
      <c r="O667" s="565"/>
      <c r="P667" s="565"/>
      <c r="Q667" s="562"/>
      <c r="R667" s="565"/>
      <c r="S667" s="565"/>
      <c r="T667" s="565"/>
      <c r="U667" s="565"/>
      <c r="V667" s="566"/>
    </row>
    <row r="668" spans="2:22" x14ac:dyDescent="0.3">
      <c r="B668" s="246"/>
      <c r="C668" s="437"/>
      <c r="D668" s="437"/>
      <c r="E668" s="248"/>
      <c r="F668" s="248"/>
      <c r="G668" s="248"/>
      <c r="H668" s="560"/>
      <c r="I668" s="561"/>
      <c r="J668" s="562"/>
      <c r="K668" s="563"/>
      <c r="L668" s="564"/>
      <c r="M668" s="564"/>
      <c r="N668" s="565"/>
      <c r="O668" s="565"/>
      <c r="P668" s="565"/>
      <c r="Q668" s="562"/>
      <c r="R668" s="565"/>
      <c r="S668" s="565"/>
      <c r="T668" s="565"/>
      <c r="U668" s="565"/>
      <c r="V668" s="566"/>
    </row>
    <row r="669" spans="2:22" x14ac:dyDescent="0.3">
      <c r="B669" s="246"/>
      <c r="C669" s="437"/>
      <c r="D669" s="437"/>
      <c r="E669" s="248"/>
      <c r="F669" s="248"/>
      <c r="G669" s="248"/>
      <c r="H669" s="560"/>
      <c r="I669" s="561"/>
      <c r="J669" s="562"/>
      <c r="K669" s="563"/>
      <c r="L669" s="564"/>
      <c r="M669" s="564"/>
      <c r="N669" s="565"/>
      <c r="O669" s="565"/>
      <c r="P669" s="565"/>
      <c r="Q669" s="562"/>
      <c r="R669" s="565"/>
      <c r="S669" s="565"/>
      <c r="T669" s="565"/>
      <c r="U669" s="565"/>
      <c r="V669" s="566"/>
    </row>
    <row r="670" spans="2:22" x14ac:dyDescent="0.3">
      <c r="B670" s="246"/>
      <c r="C670" s="437"/>
      <c r="D670" s="437"/>
      <c r="E670" s="248"/>
      <c r="F670" s="248"/>
      <c r="G670" s="248"/>
      <c r="H670" s="560"/>
      <c r="I670" s="561"/>
      <c r="J670" s="562"/>
      <c r="K670" s="563"/>
      <c r="L670" s="564"/>
      <c r="M670" s="564"/>
      <c r="N670" s="565"/>
      <c r="O670" s="565"/>
      <c r="P670" s="565"/>
      <c r="Q670" s="562"/>
      <c r="R670" s="565"/>
      <c r="S670" s="565"/>
      <c r="T670" s="565"/>
      <c r="U670" s="565"/>
      <c r="V670" s="566"/>
    </row>
    <row r="671" spans="2:22" x14ac:dyDescent="0.3">
      <c r="B671" s="246"/>
      <c r="C671" s="437"/>
      <c r="D671" s="437"/>
      <c r="E671" s="248"/>
      <c r="F671" s="248"/>
      <c r="G671" s="248"/>
      <c r="H671" s="560"/>
      <c r="I671" s="561"/>
      <c r="J671" s="562"/>
      <c r="K671" s="563"/>
      <c r="L671" s="564"/>
      <c r="M671" s="564"/>
      <c r="N671" s="565"/>
      <c r="O671" s="565"/>
      <c r="P671" s="565"/>
      <c r="Q671" s="562"/>
      <c r="R671" s="565"/>
      <c r="S671" s="565"/>
      <c r="T671" s="565"/>
      <c r="U671" s="565"/>
      <c r="V671" s="566"/>
    </row>
    <row r="672" spans="2:22" x14ac:dyDescent="0.3">
      <c r="B672" s="246"/>
      <c r="C672" s="437"/>
      <c r="D672" s="437"/>
      <c r="E672" s="248"/>
      <c r="F672" s="248"/>
      <c r="G672" s="248"/>
      <c r="H672" s="560"/>
      <c r="I672" s="561"/>
      <c r="J672" s="562"/>
      <c r="K672" s="563"/>
      <c r="L672" s="564"/>
      <c r="M672" s="564"/>
      <c r="N672" s="565"/>
      <c r="O672" s="565"/>
      <c r="P672" s="565"/>
      <c r="Q672" s="562"/>
      <c r="R672" s="565"/>
      <c r="S672" s="565"/>
      <c r="T672" s="565"/>
      <c r="U672" s="565"/>
      <c r="V672" s="566"/>
    </row>
    <row r="673" spans="2:22" x14ac:dyDescent="0.3">
      <c r="B673" s="246"/>
      <c r="C673" s="437"/>
      <c r="D673" s="437"/>
      <c r="E673" s="248"/>
      <c r="F673" s="248"/>
      <c r="G673" s="248"/>
      <c r="H673" s="560"/>
      <c r="I673" s="561"/>
      <c r="J673" s="562"/>
      <c r="K673" s="563"/>
      <c r="L673" s="564"/>
      <c r="M673" s="564"/>
      <c r="N673" s="565"/>
      <c r="O673" s="565"/>
      <c r="P673" s="565"/>
      <c r="Q673" s="562"/>
      <c r="R673" s="565"/>
      <c r="S673" s="565"/>
      <c r="T673" s="565"/>
      <c r="U673" s="565"/>
      <c r="V673" s="566"/>
    </row>
    <row r="674" spans="2:22" x14ac:dyDescent="0.3">
      <c r="B674" s="246"/>
      <c r="C674" s="437"/>
      <c r="D674" s="437"/>
      <c r="E674" s="248"/>
      <c r="F674" s="248"/>
      <c r="G674" s="248"/>
      <c r="H674" s="560"/>
      <c r="I674" s="561"/>
      <c r="J674" s="562"/>
      <c r="K674" s="563"/>
      <c r="L674" s="564"/>
      <c r="M674" s="564"/>
      <c r="N674" s="565"/>
      <c r="O674" s="565"/>
      <c r="P674" s="565"/>
      <c r="Q674" s="562"/>
      <c r="R674" s="565"/>
      <c r="S674" s="565"/>
      <c r="T674" s="565"/>
      <c r="U674" s="565"/>
      <c r="V674" s="566"/>
    </row>
    <row r="675" spans="2:22" x14ac:dyDescent="0.3">
      <c r="B675" s="246"/>
      <c r="C675" s="437"/>
      <c r="D675" s="437"/>
      <c r="E675" s="248"/>
      <c r="F675" s="248"/>
      <c r="G675" s="248"/>
      <c r="H675" s="560"/>
      <c r="I675" s="561"/>
      <c r="J675" s="562"/>
      <c r="K675" s="563"/>
      <c r="L675" s="564"/>
      <c r="M675" s="564"/>
      <c r="N675" s="565"/>
      <c r="O675" s="565"/>
      <c r="P675" s="565"/>
      <c r="Q675" s="562"/>
      <c r="R675" s="565"/>
      <c r="S675" s="565"/>
      <c r="T675" s="565"/>
      <c r="U675" s="565"/>
      <c r="V675" s="566"/>
    </row>
    <row r="676" spans="2:22" x14ac:dyDescent="0.3">
      <c r="B676" s="246"/>
      <c r="C676" s="437"/>
      <c r="D676" s="437"/>
      <c r="E676" s="248"/>
      <c r="F676" s="248"/>
      <c r="G676" s="248"/>
      <c r="H676" s="560"/>
      <c r="I676" s="561"/>
      <c r="J676" s="562"/>
      <c r="K676" s="563"/>
      <c r="L676" s="564"/>
      <c r="M676" s="564"/>
      <c r="N676" s="565"/>
      <c r="O676" s="565"/>
      <c r="P676" s="565"/>
      <c r="Q676" s="562"/>
      <c r="R676" s="565"/>
      <c r="S676" s="565"/>
      <c r="T676" s="565"/>
      <c r="U676" s="565"/>
      <c r="V676" s="566"/>
    </row>
    <row r="677" spans="2:22" x14ac:dyDescent="0.3">
      <c r="B677" s="246"/>
      <c r="C677" s="437"/>
      <c r="D677" s="437"/>
      <c r="E677" s="248"/>
      <c r="F677" s="248"/>
      <c r="G677" s="248"/>
      <c r="H677" s="560"/>
      <c r="I677" s="561"/>
      <c r="J677" s="562"/>
      <c r="K677" s="563"/>
      <c r="L677" s="564"/>
      <c r="M677" s="564"/>
      <c r="N677" s="565"/>
      <c r="O677" s="565"/>
      <c r="P677" s="565"/>
      <c r="Q677" s="562"/>
      <c r="R677" s="565"/>
      <c r="S677" s="565"/>
      <c r="T677" s="565"/>
      <c r="U677" s="565"/>
      <c r="V677" s="566"/>
    </row>
    <row r="678" spans="2:22" x14ac:dyDescent="0.3">
      <c r="B678" s="246"/>
      <c r="C678" s="437"/>
      <c r="D678" s="437"/>
      <c r="E678" s="248"/>
      <c r="F678" s="248"/>
      <c r="G678" s="248"/>
      <c r="H678" s="560"/>
      <c r="I678" s="561"/>
      <c r="J678" s="562"/>
      <c r="K678" s="563"/>
      <c r="L678" s="564"/>
      <c r="M678" s="564"/>
      <c r="N678" s="565"/>
      <c r="O678" s="565"/>
      <c r="P678" s="565"/>
      <c r="Q678" s="562"/>
      <c r="R678" s="565"/>
      <c r="S678" s="565"/>
      <c r="T678" s="565"/>
      <c r="U678" s="565"/>
      <c r="V678" s="566"/>
    </row>
    <row r="679" spans="2:22" x14ac:dyDescent="0.3">
      <c r="B679" s="246"/>
      <c r="C679" s="437"/>
      <c r="D679" s="437"/>
      <c r="E679" s="248"/>
      <c r="F679" s="248"/>
      <c r="G679" s="248"/>
      <c r="H679" s="560"/>
      <c r="I679" s="561"/>
      <c r="J679" s="562"/>
      <c r="K679" s="563"/>
      <c r="L679" s="564"/>
      <c r="M679" s="564"/>
      <c r="N679" s="565"/>
      <c r="O679" s="565"/>
      <c r="P679" s="565"/>
      <c r="Q679" s="562"/>
      <c r="R679" s="565"/>
      <c r="S679" s="565"/>
      <c r="T679" s="565"/>
      <c r="U679" s="565"/>
      <c r="V679" s="566"/>
    </row>
    <row r="680" spans="2:22" x14ac:dyDescent="0.3">
      <c r="B680" s="246"/>
      <c r="C680" s="437"/>
      <c r="D680" s="437"/>
      <c r="E680" s="248"/>
      <c r="F680" s="248"/>
      <c r="G680" s="248"/>
      <c r="H680" s="560"/>
      <c r="I680" s="561"/>
      <c r="J680" s="562"/>
      <c r="K680" s="563"/>
      <c r="L680" s="564"/>
      <c r="M680" s="564"/>
      <c r="N680" s="565"/>
      <c r="O680" s="565"/>
      <c r="P680" s="565"/>
      <c r="Q680" s="562"/>
      <c r="R680" s="565"/>
      <c r="S680" s="565"/>
      <c r="T680" s="565"/>
      <c r="U680" s="565"/>
      <c r="V680" s="566"/>
    </row>
    <row r="681" spans="2:22" x14ac:dyDescent="0.3">
      <c r="B681" s="246"/>
      <c r="C681" s="437"/>
      <c r="D681" s="437"/>
      <c r="E681" s="248"/>
      <c r="F681" s="248"/>
      <c r="G681" s="248"/>
      <c r="H681" s="560"/>
      <c r="I681" s="561"/>
      <c r="J681" s="562"/>
      <c r="K681" s="563"/>
      <c r="L681" s="564"/>
      <c r="M681" s="564"/>
      <c r="N681" s="565"/>
      <c r="O681" s="565"/>
      <c r="P681" s="565"/>
      <c r="Q681" s="562"/>
      <c r="R681" s="565"/>
      <c r="S681" s="565"/>
      <c r="T681" s="565"/>
      <c r="U681" s="565"/>
      <c r="V681" s="566"/>
    </row>
    <row r="682" spans="2:22" x14ac:dyDescent="0.3">
      <c r="B682" s="246"/>
      <c r="C682" s="437"/>
      <c r="D682" s="437"/>
      <c r="E682" s="248"/>
      <c r="F682" s="248"/>
      <c r="G682" s="248"/>
      <c r="H682" s="560"/>
      <c r="I682" s="561"/>
      <c r="J682" s="562"/>
      <c r="K682" s="563"/>
      <c r="L682" s="564"/>
      <c r="M682" s="564"/>
      <c r="N682" s="565"/>
      <c r="O682" s="565"/>
      <c r="P682" s="565"/>
      <c r="Q682" s="562"/>
      <c r="R682" s="565"/>
      <c r="S682" s="565"/>
      <c r="T682" s="565"/>
      <c r="U682" s="565"/>
      <c r="V682" s="566"/>
    </row>
    <row r="683" spans="2:22" x14ac:dyDescent="0.3">
      <c r="B683" s="246"/>
      <c r="C683" s="437"/>
      <c r="D683" s="437"/>
      <c r="E683" s="248"/>
      <c r="F683" s="248"/>
      <c r="G683" s="248"/>
      <c r="H683" s="560"/>
      <c r="I683" s="561"/>
      <c r="J683" s="562"/>
      <c r="K683" s="563"/>
      <c r="L683" s="564"/>
      <c r="M683" s="564"/>
      <c r="N683" s="565"/>
      <c r="O683" s="565"/>
      <c r="P683" s="565"/>
      <c r="Q683" s="562"/>
      <c r="R683" s="565"/>
      <c r="S683" s="565"/>
      <c r="T683" s="565"/>
      <c r="U683" s="565"/>
      <c r="V683" s="566"/>
    </row>
    <row r="684" spans="2:22" x14ac:dyDescent="0.3">
      <c r="B684" s="246"/>
      <c r="C684" s="437"/>
      <c r="D684" s="437"/>
      <c r="E684" s="248"/>
      <c r="F684" s="248"/>
      <c r="G684" s="248"/>
      <c r="H684" s="560"/>
      <c r="I684" s="561"/>
      <c r="J684" s="562"/>
      <c r="K684" s="563"/>
      <c r="L684" s="564"/>
      <c r="M684" s="564"/>
      <c r="N684" s="565"/>
      <c r="O684" s="565"/>
      <c r="P684" s="565"/>
      <c r="Q684" s="562"/>
      <c r="R684" s="565"/>
      <c r="S684" s="565"/>
      <c r="T684" s="565"/>
      <c r="U684" s="565"/>
      <c r="V684" s="566"/>
    </row>
    <row r="685" spans="2:22" x14ac:dyDescent="0.3">
      <c r="B685" s="246"/>
      <c r="C685" s="437"/>
      <c r="D685" s="437"/>
      <c r="E685" s="248"/>
      <c r="F685" s="248"/>
      <c r="G685" s="248"/>
      <c r="H685" s="560"/>
      <c r="I685" s="561"/>
      <c r="J685" s="562"/>
      <c r="K685" s="563"/>
      <c r="L685" s="564"/>
      <c r="M685" s="564"/>
      <c r="N685" s="565"/>
      <c r="O685" s="565"/>
      <c r="P685" s="565"/>
      <c r="Q685" s="562"/>
      <c r="R685" s="565"/>
      <c r="S685" s="565"/>
      <c r="T685" s="565"/>
      <c r="U685" s="565"/>
      <c r="V685" s="566"/>
    </row>
    <row r="686" spans="2:22" x14ac:dyDescent="0.3">
      <c r="B686" s="246"/>
      <c r="C686" s="437"/>
      <c r="D686" s="437"/>
      <c r="E686" s="248"/>
      <c r="F686" s="248"/>
      <c r="G686" s="248"/>
      <c r="H686" s="560"/>
      <c r="I686" s="561"/>
      <c r="J686" s="562"/>
      <c r="K686" s="563"/>
      <c r="L686" s="564"/>
      <c r="M686" s="564"/>
      <c r="N686" s="565"/>
      <c r="O686" s="565"/>
      <c r="P686" s="565"/>
      <c r="Q686" s="562"/>
      <c r="R686" s="565"/>
      <c r="S686" s="565"/>
      <c r="T686" s="565"/>
      <c r="U686" s="565"/>
      <c r="V686" s="566"/>
    </row>
    <row r="687" spans="2:22" x14ac:dyDescent="0.3">
      <c r="B687" s="246"/>
      <c r="C687" s="437"/>
      <c r="D687" s="437"/>
      <c r="E687" s="248"/>
      <c r="F687" s="248"/>
      <c r="G687" s="248"/>
      <c r="H687" s="560"/>
      <c r="I687" s="561"/>
      <c r="J687" s="562"/>
      <c r="K687" s="563"/>
      <c r="L687" s="564"/>
      <c r="M687" s="564"/>
      <c r="N687" s="565"/>
      <c r="O687" s="565"/>
      <c r="P687" s="565"/>
      <c r="Q687" s="562"/>
      <c r="R687" s="565"/>
      <c r="S687" s="565"/>
      <c r="T687" s="565"/>
      <c r="U687" s="565"/>
      <c r="V687" s="566"/>
    </row>
    <row r="688" spans="2:22" x14ac:dyDescent="0.3">
      <c r="B688" s="246"/>
      <c r="C688" s="437"/>
      <c r="D688" s="437"/>
      <c r="E688" s="248"/>
      <c r="F688" s="248"/>
      <c r="G688" s="248"/>
      <c r="H688" s="560"/>
      <c r="I688" s="561"/>
      <c r="J688" s="562"/>
      <c r="K688" s="563"/>
      <c r="L688" s="564"/>
      <c r="M688" s="564"/>
      <c r="N688" s="565"/>
      <c r="O688" s="565"/>
      <c r="P688" s="565"/>
      <c r="Q688" s="562"/>
      <c r="R688" s="565"/>
      <c r="S688" s="565"/>
      <c r="T688" s="565"/>
      <c r="U688" s="565"/>
      <c r="V688" s="566"/>
    </row>
    <row r="689" spans="2:22" x14ac:dyDescent="0.3">
      <c r="B689" s="246"/>
      <c r="C689" s="437"/>
      <c r="D689" s="437"/>
      <c r="E689" s="248"/>
      <c r="F689" s="248"/>
      <c r="G689" s="248"/>
      <c r="H689" s="560"/>
      <c r="I689" s="561"/>
      <c r="J689" s="562"/>
      <c r="K689" s="563"/>
      <c r="L689" s="564"/>
      <c r="M689" s="564"/>
      <c r="N689" s="565"/>
      <c r="O689" s="565"/>
      <c r="P689" s="565"/>
      <c r="Q689" s="562"/>
      <c r="R689" s="565"/>
      <c r="S689" s="565"/>
      <c r="T689" s="565"/>
      <c r="U689" s="565"/>
      <c r="V689" s="566"/>
    </row>
    <row r="690" spans="2:22" x14ac:dyDescent="0.3">
      <c r="B690" s="246"/>
      <c r="C690" s="437"/>
      <c r="D690" s="437"/>
      <c r="E690" s="248"/>
      <c r="F690" s="248"/>
      <c r="G690" s="248"/>
      <c r="H690" s="560"/>
      <c r="I690" s="561"/>
      <c r="J690" s="562"/>
      <c r="K690" s="563"/>
      <c r="L690" s="564"/>
      <c r="M690" s="564"/>
      <c r="N690" s="565"/>
      <c r="O690" s="565"/>
      <c r="P690" s="565"/>
      <c r="Q690" s="562"/>
      <c r="R690" s="565"/>
      <c r="S690" s="565"/>
      <c r="T690" s="565"/>
      <c r="U690" s="565"/>
      <c r="V690" s="566"/>
    </row>
    <row r="691" spans="2:22" x14ac:dyDescent="0.3">
      <c r="B691" s="246"/>
      <c r="C691" s="437"/>
      <c r="D691" s="437"/>
      <c r="E691" s="248"/>
      <c r="F691" s="248"/>
      <c r="G691" s="248"/>
      <c r="H691" s="560"/>
      <c r="I691" s="561"/>
      <c r="J691" s="562"/>
      <c r="K691" s="563"/>
      <c r="L691" s="564"/>
      <c r="M691" s="564"/>
      <c r="N691" s="565"/>
      <c r="O691" s="565"/>
      <c r="P691" s="565"/>
      <c r="Q691" s="562"/>
      <c r="R691" s="565"/>
      <c r="S691" s="565"/>
      <c r="T691" s="565"/>
      <c r="U691" s="565"/>
      <c r="V691" s="566"/>
    </row>
    <row r="692" spans="2:22" x14ac:dyDescent="0.3">
      <c r="B692" s="246"/>
      <c r="C692" s="437"/>
      <c r="D692" s="437"/>
      <c r="E692" s="248"/>
      <c r="F692" s="248"/>
      <c r="G692" s="248"/>
      <c r="H692" s="560"/>
      <c r="I692" s="561"/>
      <c r="J692" s="562"/>
      <c r="K692" s="563"/>
      <c r="L692" s="564"/>
      <c r="M692" s="564"/>
      <c r="N692" s="565"/>
      <c r="O692" s="565"/>
      <c r="P692" s="565"/>
      <c r="Q692" s="562"/>
      <c r="R692" s="565"/>
      <c r="S692" s="565"/>
      <c r="T692" s="565"/>
      <c r="U692" s="565"/>
      <c r="V692" s="566"/>
    </row>
    <row r="693" spans="2:22" x14ac:dyDescent="0.3">
      <c r="B693" s="246"/>
      <c r="C693" s="437"/>
      <c r="D693" s="437"/>
      <c r="E693" s="248"/>
      <c r="F693" s="248"/>
      <c r="G693" s="248"/>
      <c r="H693" s="560"/>
      <c r="I693" s="561"/>
      <c r="J693" s="562"/>
      <c r="K693" s="563"/>
      <c r="L693" s="564"/>
      <c r="M693" s="564"/>
      <c r="N693" s="565"/>
      <c r="O693" s="565"/>
      <c r="P693" s="565"/>
      <c r="Q693" s="562"/>
      <c r="R693" s="565"/>
      <c r="S693" s="565"/>
      <c r="T693" s="565"/>
      <c r="U693" s="565"/>
      <c r="V693" s="566"/>
    </row>
    <row r="694" spans="2:22" x14ac:dyDescent="0.3">
      <c r="B694" s="246"/>
      <c r="C694" s="437"/>
      <c r="D694" s="437"/>
      <c r="E694" s="248"/>
      <c r="F694" s="248"/>
      <c r="G694" s="248"/>
      <c r="H694" s="560"/>
      <c r="I694" s="561"/>
      <c r="J694" s="562"/>
      <c r="K694" s="563"/>
      <c r="L694" s="564"/>
      <c r="M694" s="564"/>
      <c r="N694" s="565"/>
      <c r="O694" s="565"/>
      <c r="P694" s="565"/>
      <c r="Q694" s="562"/>
      <c r="R694" s="565"/>
      <c r="S694" s="565"/>
      <c r="T694" s="565"/>
      <c r="U694" s="565"/>
      <c r="V694" s="566"/>
    </row>
    <row r="695" spans="2:22" x14ac:dyDescent="0.3">
      <c r="B695" s="246"/>
      <c r="C695" s="437"/>
      <c r="D695" s="437"/>
      <c r="E695" s="248"/>
      <c r="F695" s="248"/>
      <c r="G695" s="248"/>
      <c r="H695" s="560"/>
      <c r="I695" s="561"/>
      <c r="J695" s="562"/>
      <c r="K695" s="563"/>
      <c r="L695" s="564"/>
      <c r="M695" s="564"/>
      <c r="N695" s="565"/>
      <c r="O695" s="565"/>
      <c r="P695" s="565"/>
      <c r="Q695" s="562"/>
      <c r="R695" s="565"/>
      <c r="S695" s="565"/>
      <c r="T695" s="565"/>
      <c r="U695" s="565"/>
      <c r="V695" s="566"/>
    </row>
    <row r="696" spans="2:22" x14ac:dyDescent="0.3">
      <c r="B696" s="246"/>
      <c r="C696" s="437"/>
      <c r="D696" s="437"/>
      <c r="E696" s="248"/>
      <c r="F696" s="248"/>
      <c r="G696" s="248"/>
      <c r="H696" s="560"/>
      <c r="I696" s="561"/>
      <c r="J696" s="562"/>
      <c r="K696" s="563"/>
      <c r="L696" s="564"/>
      <c r="M696" s="564"/>
      <c r="N696" s="565"/>
      <c r="O696" s="565"/>
      <c r="P696" s="565"/>
      <c r="Q696" s="562"/>
      <c r="R696" s="565"/>
      <c r="S696" s="565"/>
      <c r="T696" s="565"/>
      <c r="U696" s="565"/>
      <c r="V696" s="566"/>
    </row>
    <row r="697" spans="2:22" x14ac:dyDescent="0.3">
      <c r="B697" s="246"/>
      <c r="C697" s="437"/>
      <c r="D697" s="437"/>
      <c r="E697" s="248"/>
      <c r="F697" s="248"/>
      <c r="G697" s="248"/>
      <c r="H697" s="560"/>
      <c r="I697" s="561"/>
      <c r="J697" s="562"/>
      <c r="K697" s="563"/>
      <c r="L697" s="564"/>
      <c r="M697" s="564"/>
      <c r="N697" s="565"/>
      <c r="O697" s="565"/>
      <c r="P697" s="565"/>
      <c r="Q697" s="562"/>
      <c r="R697" s="565"/>
      <c r="S697" s="565"/>
      <c r="T697" s="565"/>
      <c r="U697" s="565"/>
      <c r="V697" s="566"/>
    </row>
    <row r="698" spans="2:22" x14ac:dyDescent="0.3">
      <c r="B698" s="246"/>
      <c r="C698" s="437"/>
      <c r="D698" s="437"/>
      <c r="E698" s="248"/>
      <c r="F698" s="248"/>
      <c r="G698" s="248"/>
      <c r="H698" s="560"/>
      <c r="I698" s="561"/>
      <c r="J698" s="562"/>
      <c r="K698" s="563"/>
      <c r="L698" s="564"/>
      <c r="M698" s="564"/>
      <c r="N698" s="565"/>
      <c r="O698" s="565"/>
      <c r="P698" s="565"/>
      <c r="Q698" s="562"/>
      <c r="R698" s="565"/>
      <c r="S698" s="565"/>
      <c r="T698" s="565"/>
      <c r="U698" s="565"/>
      <c r="V698" s="566"/>
    </row>
    <row r="699" spans="2:22" x14ac:dyDescent="0.3">
      <c r="B699" s="246"/>
      <c r="C699" s="437"/>
      <c r="D699" s="437"/>
      <c r="E699" s="248"/>
      <c r="F699" s="248"/>
      <c r="G699" s="248"/>
      <c r="H699" s="560"/>
      <c r="I699" s="561"/>
      <c r="J699" s="562"/>
      <c r="K699" s="563"/>
      <c r="L699" s="564"/>
      <c r="M699" s="564"/>
      <c r="N699" s="565"/>
      <c r="O699" s="565"/>
      <c r="P699" s="565"/>
      <c r="Q699" s="562"/>
      <c r="R699" s="565"/>
      <c r="S699" s="565"/>
      <c r="T699" s="565"/>
      <c r="U699" s="565"/>
      <c r="V699" s="566"/>
    </row>
    <row r="700" spans="2:22" x14ac:dyDescent="0.3">
      <c r="B700" s="246"/>
      <c r="C700" s="437"/>
      <c r="D700" s="437"/>
      <c r="E700" s="248"/>
      <c r="F700" s="248"/>
      <c r="G700" s="248"/>
      <c r="H700" s="560"/>
      <c r="I700" s="561"/>
      <c r="J700" s="562"/>
      <c r="K700" s="563"/>
      <c r="L700" s="564"/>
      <c r="M700" s="564"/>
      <c r="N700" s="565"/>
      <c r="O700" s="565"/>
      <c r="P700" s="565"/>
      <c r="Q700" s="562"/>
      <c r="R700" s="565"/>
      <c r="S700" s="565"/>
      <c r="T700" s="565"/>
      <c r="U700" s="565"/>
      <c r="V700" s="566"/>
    </row>
    <row r="701" spans="2:22" x14ac:dyDescent="0.3">
      <c r="B701" s="246"/>
      <c r="C701" s="437"/>
      <c r="D701" s="437"/>
      <c r="E701" s="248"/>
      <c r="F701" s="248"/>
      <c r="G701" s="248"/>
      <c r="H701" s="560"/>
      <c r="I701" s="561"/>
      <c r="J701" s="562"/>
      <c r="K701" s="563"/>
      <c r="L701" s="564"/>
      <c r="M701" s="564"/>
      <c r="N701" s="565"/>
      <c r="O701" s="565"/>
      <c r="P701" s="565"/>
      <c r="Q701" s="562"/>
      <c r="R701" s="565"/>
      <c r="S701" s="565"/>
      <c r="T701" s="565"/>
      <c r="U701" s="565"/>
      <c r="V701" s="566"/>
    </row>
    <row r="702" spans="2:22" x14ac:dyDescent="0.3">
      <c r="B702" s="246"/>
      <c r="C702" s="437"/>
      <c r="D702" s="437"/>
      <c r="E702" s="248"/>
      <c r="F702" s="248"/>
      <c r="G702" s="248"/>
      <c r="H702" s="560"/>
      <c r="I702" s="561"/>
      <c r="J702" s="562"/>
      <c r="K702" s="563"/>
      <c r="L702" s="564"/>
      <c r="M702" s="564"/>
      <c r="N702" s="565"/>
      <c r="O702" s="565"/>
      <c r="P702" s="565"/>
      <c r="Q702" s="562"/>
      <c r="R702" s="565"/>
      <c r="S702" s="565"/>
      <c r="T702" s="565"/>
      <c r="U702" s="565"/>
      <c r="V702" s="566"/>
    </row>
    <row r="703" spans="2:22" x14ac:dyDescent="0.3">
      <c r="B703" s="246"/>
      <c r="C703" s="437"/>
      <c r="D703" s="437"/>
      <c r="E703" s="248"/>
      <c r="F703" s="248"/>
      <c r="G703" s="248"/>
      <c r="H703" s="560"/>
      <c r="I703" s="561"/>
      <c r="J703" s="562"/>
      <c r="K703" s="563"/>
      <c r="L703" s="564"/>
      <c r="M703" s="564"/>
      <c r="N703" s="565"/>
      <c r="O703" s="565"/>
      <c r="P703" s="565"/>
      <c r="Q703" s="562"/>
      <c r="R703" s="565"/>
      <c r="S703" s="565"/>
      <c r="T703" s="565"/>
      <c r="U703" s="565"/>
      <c r="V703" s="566"/>
    </row>
    <row r="704" spans="2:22" x14ac:dyDescent="0.3">
      <c r="B704" s="246"/>
      <c r="C704" s="437"/>
      <c r="D704" s="437"/>
      <c r="E704" s="248"/>
      <c r="F704" s="248"/>
      <c r="G704" s="248"/>
      <c r="H704" s="560"/>
      <c r="I704" s="561"/>
      <c r="J704" s="562"/>
      <c r="K704" s="563"/>
      <c r="L704" s="564"/>
      <c r="M704" s="564"/>
      <c r="N704" s="565"/>
      <c r="O704" s="565"/>
      <c r="P704" s="565"/>
      <c r="Q704" s="562"/>
      <c r="R704" s="565"/>
      <c r="S704" s="565"/>
      <c r="T704" s="565"/>
      <c r="U704" s="565"/>
      <c r="V704" s="566"/>
    </row>
    <row r="705" spans="2:22" x14ac:dyDescent="0.3">
      <c r="B705" s="246"/>
      <c r="C705" s="437"/>
      <c r="D705" s="437"/>
      <c r="E705" s="248"/>
      <c r="F705" s="248"/>
      <c r="G705" s="248"/>
      <c r="H705" s="560"/>
      <c r="I705" s="561"/>
      <c r="J705" s="562"/>
      <c r="K705" s="563"/>
      <c r="L705" s="564"/>
      <c r="M705" s="564"/>
      <c r="N705" s="565"/>
      <c r="O705" s="565"/>
      <c r="P705" s="565"/>
      <c r="Q705" s="562"/>
      <c r="R705" s="565"/>
      <c r="S705" s="565"/>
      <c r="T705" s="565"/>
      <c r="U705" s="565"/>
      <c r="V705" s="566"/>
    </row>
    <row r="706" spans="2:22" x14ac:dyDescent="0.3">
      <c r="B706" s="246"/>
      <c r="C706" s="437"/>
      <c r="D706" s="437"/>
      <c r="E706" s="248"/>
      <c r="F706" s="248"/>
      <c r="G706" s="248"/>
      <c r="H706" s="560"/>
      <c r="I706" s="561"/>
      <c r="J706" s="562"/>
      <c r="K706" s="563"/>
      <c r="L706" s="564"/>
      <c r="M706" s="564"/>
      <c r="N706" s="565"/>
      <c r="O706" s="565"/>
      <c r="P706" s="565"/>
      <c r="Q706" s="562"/>
      <c r="R706" s="565"/>
      <c r="S706" s="565"/>
      <c r="T706" s="565"/>
      <c r="U706" s="565"/>
      <c r="V706" s="566"/>
    </row>
    <row r="707" spans="2:22" x14ac:dyDescent="0.3">
      <c r="B707" s="246"/>
      <c r="C707" s="437"/>
      <c r="D707" s="437"/>
      <c r="E707" s="248"/>
      <c r="F707" s="248"/>
      <c r="G707" s="248"/>
      <c r="H707" s="560"/>
      <c r="I707" s="561"/>
      <c r="J707" s="562"/>
      <c r="K707" s="563"/>
      <c r="L707" s="564"/>
      <c r="M707" s="564"/>
      <c r="N707" s="565"/>
      <c r="O707" s="565"/>
      <c r="P707" s="565"/>
      <c r="Q707" s="562"/>
      <c r="R707" s="565"/>
      <c r="S707" s="565"/>
      <c r="T707" s="565"/>
      <c r="U707" s="565"/>
      <c r="V707" s="566"/>
    </row>
    <row r="708" spans="2:22" x14ac:dyDescent="0.3">
      <c r="B708" s="246"/>
      <c r="C708" s="437"/>
      <c r="D708" s="437"/>
      <c r="E708" s="248"/>
      <c r="F708" s="248"/>
      <c r="G708" s="248"/>
      <c r="H708" s="560"/>
      <c r="I708" s="561"/>
      <c r="J708" s="562"/>
      <c r="K708" s="563"/>
      <c r="L708" s="564"/>
      <c r="M708" s="564"/>
      <c r="N708" s="565"/>
      <c r="O708" s="565"/>
      <c r="P708" s="565"/>
      <c r="Q708" s="562"/>
      <c r="R708" s="565"/>
      <c r="S708" s="565"/>
      <c r="T708" s="565"/>
      <c r="U708" s="565"/>
      <c r="V708" s="566"/>
    </row>
    <row r="709" spans="2:22" x14ac:dyDescent="0.3">
      <c r="B709" s="246"/>
      <c r="C709" s="437"/>
      <c r="D709" s="437"/>
      <c r="E709" s="248"/>
      <c r="F709" s="248"/>
      <c r="G709" s="248"/>
      <c r="H709" s="560"/>
      <c r="I709" s="561"/>
      <c r="J709" s="562"/>
      <c r="K709" s="563"/>
      <c r="L709" s="564"/>
      <c r="M709" s="564"/>
      <c r="N709" s="565"/>
      <c r="O709" s="565"/>
      <c r="P709" s="565"/>
      <c r="Q709" s="562"/>
      <c r="R709" s="565"/>
      <c r="S709" s="565"/>
      <c r="T709" s="565"/>
      <c r="U709" s="565"/>
      <c r="V709" s="566"/>
    </row>
    <row r="710" spans="2:22" x14ac:dyDescent="0.3">
      <c r="B710" s="246"/>
      <c r="C710" s="437"/>
      <c r="D710" s="437"/>
      <c r="E710" s="248"/>
      <c r="F710" s="248"/>
      <c r="G710" s="248"/>
      <c r="H710" s="560"/>
      <c r="I710" s="561"/>
      <c r="J710" s="562"/>
      <c r="K710" s="563"/>
      <c r="L710" s="564"/>
      <c r="M710" s="564"/>
      <c r="N710" s="565"/>
      <c r="O710" s="565"/>
      <c r="P710" s="565"/>
      <c r="Q710" s="562"/>
      <c r="R710" s="565"/>
      <c r="S710" s="565"/>
      <c r="T710" s="565"/>
      <c r="U710" s="565"/>
      <c r="V710" s="566"/>
    </row>
    <row r="711" spans="2:22" x14ac:dyDescent="0.3">
      <c r="B711" s="246"/>
      <c r="C711" s="437"/>
      <c r="D711" s="437"/>
      <c r="E711" s="248"/>
      <c r="F711" s="248"/>
      <c r="G711" s="248"/>
      <c r="H711" s="560"/>
      <c r="I711" s="561"/>
      <c r="J711" s="562"/>
      <c r="K711" s="563"/>
      <c r="L711" s="564"/>
      <c r="M711" s="564"/>
      <c r="N711" s="565"/>
      <c r="O711" s="565"/>
      <c r="P711" s="565"/>
      <c r="Q711" s="562"/>
      <c r="R711" s="565"/>
      <c r="S711" s="565"/>
      <c r="T711" s="565"/>
      <c r="U711" s="565"/>
      <c r="V711" s="566"/>
    </row>
    <row r="712" spans="2:22" x14ac:dyDescent="0.3">
      <c r="B712" s="246"/>
      <c r="C712" s="437"/>
      <c r="D712" s="437"/>
      <c r="E712" s="248"/>
      <c r="F712" s="248"/>
      <c r="G712" s="248"/>
      <c r="H712" s="560"/>
      <c r="I712" s="561"/>
      <c r="J712" s="562"/>
      <c r="K712" s="563"/>
      <c r="L712" s="564"/>
      <c r="M712" s="564"/>
      <c r="N712" s="565"/>
      <c r="O712" s="565"/>
      <c r="P712" s="565"/>
      <c r="Q712" s="562"/>
      <c r="R712" s="565"/>
      <c r="S712" s="565"/>
      <c r="T712" s="565"/>
      <c r="U712" s="565"/>
      <c r="V712" s="566"/>
    </row>
    <row r="713" spans="2:22" x14ac:dyDescent="0.3">
      <c r="B713" s="246"/>
      <c r="C713" s="437"/>
      <c r="D713" s="437"/>
      <c r="E713" s="248"/>
      <c r="F713" s="248"/>
      <c r="G713" s="248"/>
      <c r="H713" s="560"/>
      <c r="I713" s="561"/>
      <c r="J713" s="562"/>
      <c r="K713" s="563"/>
      <c r="L713" s="564"/>
      <c r="M713" s="564"/>
      <c r="N713" s="565"/>
      <c r="O713" s="565"/>
      <c r="P713" s="565"/>
      <c r="Q713" s="562"/>
      <c r="R713" s="565"/>
      <c r="S713" s="565"/>
      <c r="T713" s="565"/>
      <c r="U713" s="565"/>
      <c r="V713" s="566"/>
    </row>
    <row r="714" spans="2:22" x14ac:dyDescent="0.3">
      <c r="B714" s="246"/>
      <c r="C714" s="437"/>
      <c r="D714" s="437"/>
      <c r="E714" s="248"/>
      <c r="F714" s="248"/>
      <c r="G714" s="248"/>
      <c r="H714" s="560"/>
      <c r="I714" s="561"/>
      <c r="J714" s="562"/>
      <c r="K714" s="563"/>
      <c r="L714" s="564"/>
      <c r="M714" s="564"/>
      <c r="N714" s="565"/>
      <c r="O714" s="565"/>
      <c r="P714" s="565"/>
      <c r="Q714" s="562"/>
      <c r="R714" s="565"/>
      <c r="S714" s="565"/>
      <c r="T714" s="565"/>
      <c r="U714" s="565"/>
      <c r="V714" s="566"/>
    </row>
    <row r="715" spans="2:22" x14ac:dyDescent="0.3">
      <c r="B715" s="246"/>
      <c r="C715" s="437"/>
      <c r="D715" s="437"/>
      <c r="E715" s="248"/>
      <c r="F715" s="248"/>
      <c r="G715" s="248"/>
      <c r="H715" s="560"/>
      <c r="I715" s="561"/>
      <c r="J715" s="562"/>
      <c r="K715" s="563"/>
      <c r="L715" s="564"/>
      <c r="M715" s="564"/>
      <c r="N715" s="565"/>
      <c r="O715" s="565"/>
      <c r="P715" s="565"/>
      <c r="Q715" s="562"/>
      <c r="R715" s="565"/>
      <c r="S715" s="565"/>
      <c r="T715" s="565"/>
      <c r="U715" s="565"/>
      <c r="V715" s="566"/>
    </row>
    <row r="716" spans="2:22" x14ac:dyDescent="0.3">
      <c r="B716" s="246"/>
      <c r="C716" s="437"/>
      <c r="D716" s="437"/>
      <c r="E716" s="248"/>
      <c r="F716" s="248"/>
      <c r="G716" s="248"/>
      <c r="H716" s="560"/>
      <c r="I716" s="561"/>
      <c r="J716" s="562"/>
      <c r="K716" s="563"/>
      <c r="L716" s="564"/>
      <c r="M716" s="564"/>
      <c r="N716" s="565"/>
      <c r="O716" s="565"/>
      <c r="P716" s="565"/>
      <c r="Q716" s="562"/>
      <c r="R716" s="565"/>
      <c r="S716" s="565"/>
      <c r="T716" s="565"/>
      <c r="U716" s="565"/>
      <c r="V716" s="566"/>
    </row>
    <row r="717" spans="2:22" x14ac:dyDescent="0.3">
      <c r="B717" s="553"/>
      <c r="C717" s="510"/>
      <c r="D717" s="510"/>
      <c r="E717" s="509"/>
      <c r="F717" s="509"/>
      <c r="G717" s="509"/>
      <c r="H717" s="560"/>
      <c r="I717" s="561"/>
      <c r="J717" s="562"/>
      <c r="K717" s="563"/>
      <c r="L717" s="564"/>
      <c r="M717" s="564"/>
      <c r="N717" s="565"/>
      <c r="O717" s="565"/>
      <c r="P717" s="565"/>
      <c r="Q717" s="562"/>
      <c r="R717" s="565"/>
      <c r="S717" s="565"/>
      <c r="T717" s="565"/>
      <c r="U717" s="565"/>
      <c r="V717" s="566"/>
    </row>
    <row r="718" spans="2:22" x14ac:dyDescent="0.3">
      <c r="B718" s="229"/>
      <c r="C718" s="228"/>
      <c r="D718" s="228"/>
      <c r="E718" s="229"/>
      <c r="F718" s="229"/>
      <c r="G718" s="229"/>
      <c r="H718" s="250"/>
      <c r="I718" s="251"/>
      <c r="J718" s="251"/>
      <c r="K718" s="252"/>
      <c r="L718" s="229"/>
      <c r="M718" s="229"/>
      <c r="N718" s="229"/>
      <c r="O718" s="229"/>
      <c r="P718" s="229"/>
      <c r="Q718" s="229"/>
      <c r="R718" s="229"/>
      <c r="S718" s="229"/>
      <c r="T718" s="229"/>
      <c r="U718" s="229"/>
      <c r="V718" s="229"/>
    </row>
    <row r="719" spans="2:22" x14ac:dyDescent="0.3">
      <c r="B719" s="229"/>
      <c r="C719" s="228"/>
      <c r="D719" s="228"/>
      <c r="E719" s="229"/>
      <c r="F719" s="229"/>
      <c r="G719" s="229"/>
      <c r="H719" s="250"/>
      <c r="I719" s="251"/>
      <c r="J719" s="251"/>
      <c r="K719" s="252"/>
      <c r="L719" s="229"/>
      <c r="M719" s="229"/>
      <c r="N719" s="229"/>
      <c r="O719" s="229"/>
      <c r="P719" s="229"/>
      <c r="Q719" s="229"/>
      <c r="R719" s="229"/>
      <c r="S719" s="229"/>
      <c r="T719" s="229"/>
      <c r="U719" s="229"/>
      <c r="V719" s="229"/>
    </row>
    <row r="720" spans="2:22" x14ac:dyDescent="0.3">
      <c r="B720" s="229"/>
      <c r="C720" s="228"/>
      <c r="D720" s="228"/>
      <c r="E720" s="229"/>
      <c r="F720" s="229"/>
      <c r="G720" s="229"/>
      <c r="H720" s="250"/>
      <c r="I720" s="251"/>
      <c r="J720" s="251"/>
      <c r="K720" s="252"/>
      <c r="L720" s="229"/>
      <c r="M720" s="229"/>
      <c r="N720" s="229"/>
      <c r="O720" s="229"/>
      <c r="P720" s="229"/>
      <c r="Q720" s="229"/>
      <c r="R720" s="229"/>
      <c r="S720" s="229"/>
      <c r="T720" s="229"/>
      <c r="U720" s="229"/>
      <c r="V720" s="229"/>
    </row>
    <row r="721" spans="2:22" x14ac:dyDescent="0.3">
      <c r="B721" s="229"/>
      <c r="C721" s="228"/>
      <c r="D721" s="228"/>
      <c r="E721" s="229"/>
      <c r="F721" s="229"/>
      <c r="G721" s="229"/>
      <c r="H721" s="250"/>
      <c r="I721" s="251"/>
      <c r="J721" s="251"/>
      <c r="K721" s="252"/>
      <c r="L721" s="229"/>
      <c r="M721" s="229"/>
      <c r="N721" s="229"/>
      <c r="O721" s="229"/>
      <c r="P721" s="229"/>
      <c r="Q721" s="229"/>
      <c r="R721" s="229"/>
      <c r="S721" s="229"/>
      <c r="T721" s="229"/>
      <c r="U721" s="229"/>
      <c r="V721" s="229"/>
    </row>
    <row r="722" spans="2:22" x14ac:dyDescent="0.3">
      <c r="B722" s="229"/>
      <c r="C722" s="228"/>
      <c r="D722" s="228"/>
      <c r="E722" s="229"/>
      <c r="F722" s="229"/>
      <c r="G722" s="229"/>
      <c r="H722" s="250"/>
      <c r="I722" s="251"/>
      <c r="J722" s="251"/>
      <c r="K722" s="252"/>
      <c r="L722" s="229"/>
      <c r="M722" s="229"/>
      <c r="N722" s="229"/>
      <c r="O722" s="229"/>
      <c r="P722" s="229"/>
      <c r="Q722" s="229"/>
      <c r="R722" s="229"/>
      <c r="S722" s="229"/>
      <c r="T722" s="229"/>
      <c r="U722" s="229"/>
      <c r="V722" s="229"/>
    </row>
    <row r="723" spans="2:22" x14ac:dyDescent="0.3">
      <c r="B723" s="229"/>
      <c r="C723" s="228"/>
      <c r="D723" s="228"/>
      <c r="E723" s="229"/>
      <c r="F723" s="229"/>
      <c r="G723" s="229"/>
      <c r="H723" s="250"/>
      <c r="I723" s="251"/>
      <c r="J723" s="251"/>
      <c r="K723" s="252"/>
      <c r="L723" s="229"/>
      <c r="M723" s="229"/>
      <c r="N723" s="229"/>
      <c r="O723" s="229"/>
      <c r="P723" s="229"/>
      <c r="Q723" s="229"/>
      <c r="R723" s="229"/>
      <c r="S723" s="229"/>
      <c r="T723" s="229"/>
      <c r="U723" s="229"/>
      <c r="V723" s="229"/>
    </row>
    <row r="724" spans="2:22" x14ac:dyDescent="0.3">
      <c r="B724" s="229"/>
      <c r="C724" s="228"/>
      <c r="D724" s="228"/>
      <c r="E724" s="229"/>
      <c r="F724" s="229"/>
      <c r="G724" s="229"/>
      <c r="H724" s="250"/>
      <c r="I724" s="251"/>
      <c r="J724" s="251"/>
      <c r="K724" s="252"/>
      <c r="L724" s="229"/>
      <c r="M724" s="229"/>
      <c r="N724" s="229"/>
      <c r="O724" s="229"/>
      <c r="P724" s="229"/>
      <c r="Q724" s="229"/>
      <c r="R724" s="229"/>
      <c r="S724" s="229"/>
      <c r="T724" s="229"/>
      <c r="U724" s="229"/>
      <c r="V724" s="229"/>
    </row>
    <row r="725" spans="2:22" x14ac:dyDescent="0.3">
      <c r="B725" s="229"/>
      <c r="C725" s="228"/>
      <c r="D725" s="228"/>
      <c r="E725" s="229"/>
      <c r="F725" s="229"/>
      <c r="G725" s="229"/>
      <c r="H725" s="250"/>
      <c r="I725" s="251"/>
      <c r="J725" s="251"/>
      <c r="K725" s="252"/>
      <c r="L725" s="229"/>
      <c r="M725" s="229"/>
      <c r="N725" s="229"/>
      <c r="O725" s="229"/>
      <c r="P725" s="229"/>
      <c r="Q725" s="229"/>
      <c r="R725" s="229"/>
      <c r="S725" s="229"/>
      <c r="T725" s="229"/>
      <c r="U725" s="229"/>
      <c r="V725" s="229"/>
    </row>
    <row r="726" spans="2:22" x14ac:dyDescent="0.3">
      <c r="B726" s="229"/>
      <c r="C726" s="228"/>
      <c r="D726" s="228"/>
      <c r="E726" s="229"/>
      <c r="F726" s="229"/>
      <c r="G726" s="229"/>
      <c r="H726" s="250"/>
      <c r="I726" s="251"/>
      <c r="J726" s="251"/>
      <c r="K726" s="252"/>
      <c r="L726" s="229"/>
      <c r="M726" s="229"/>
      <c r="N726" s="229"/>
      <c r="O726" s="229"/>
      <c r="P726" s="229"/>
      <c r="Q726" s="229"/>
      <c r="R726" s="229"/>
      <c r="S726" s="229"/>
      <c r="T726" s="229"/>
      <c r="U726" s="229"/>
      <c r="V726" s="229"/>
    </row>
    <row r="727" spans="2:22" x14ac:dyDescent="0.3">
      <c r="B727" s="229"/>
      <c r="C727" s="228"/>
      <c r="D727" s="228"/>
      <c r="E727" s="229"/>
      <c r="F727" s="229"/>
      <c r="G727" s="229"/>
      <c r="H727" s="250"/>
      <c r="I727" s="251"/>
      <c r="J727" s="251"/>
      <c r="K727" s="252"/>
      <c r="L727" s="229"/>
      <c r="M727" s="229"/>
      <c r="N727" s="229"/>
      <c r="O727" s="229"/>
      <c r="P727" s="229"/>
      <c r="Q727" s="229"/>
      <c r="R727" s="229"/>
      <c r="S727" s="229"/>
      <c r="T727" s="229"/>
      <c r="U727" s="229"/>
      <c r="V727" s="229"/>
    </row>
    <row r="728" spans="2:22" x14ac:dyDescent="0.3">
      <c r="B728" s="229"/>
      <c r="C728" s="228"/>
      <c r="D728" s="228"/>
      <c r="E728" s="229"/>
      <c r="F728" s="229"/>
      <c r="G728" s="229"/>
      <c r="H728" s="250"/>
      <c r="I728" s="251"/>
      <c r="J728" s="251"/>
      <c r="K728" s="252"/>
      <c r="L728" s="229"/>
      <c r="M728" s="229"/>
      <c r="N728" s="229"/>
      <c r="O728" s="229"/>
      <c r="P728" s="229"/>
      <c r="Q728" s="229"/>
      <c r="R728" s="229"/>
      <c r="S728" s="229"/>
      <c r="T728" s="229"/>
      <c r="U728" s="229"/>
      <c r="V728" s="229"/>
    </row>
    <row r="729" spans="2:22" x14ac:dyDescent="0.3">
      <c r="B729" s="229"/>
      <c r="C729" s="228"/>
      <c r="D729" s="228"/>
      <c r="E729" s="229"/>
      <c r="F729" s="229"/>
      <c r="G729" s="229"/>
      <c r="H729" s="250"/>
      <c r="I729" s="251"/>
      <c r="J729" s="251"/>
      <c r="K729" s="252"/>
      <c r="L729" s="229"/>
      <c r="M729" s="229"/>
      <c r="N729" s="229"/>
      <c r="O729" s="229"/>
      <c r="P729" s="229"/>
      <c r="Q729" s="229"/>
      <c r="R729" s="229"/>
      <c r="S729" s="229"/>
      <c r="T729" s="229"/>
      <c r="U729" s="229"/>
      <c r="V729" s="229"/>
    </row>
    <row r="730" spans="2:22" x14ac:dyDescent="0.3">
      <c r="B730" s="229"/>
      <c r="C730" s="228"/>
      <c r="D730" s="228"/>
      <c r="E730" s="229"/>
      <c r="F730" s="229"/>
      <c r="G730" s="229"/>
      <c r="H730" s="250"/>
      <c r="I730" s="251"/>
      <c r="J730" s="251"/>
      <c r="K730" s="252"/>
      <c r="L730" s="229"/>
      <c r="M730" s="229"/>
      <c r="N730" s="229"/>
      <c r="O730" s="229"/>
      <c r="P730" s="229"/>
      <c r="Q730" s="229"/>
      <c r="R730" s="229"/>
      <c r="S730" s="229"/>
      <c r="T730" s="229"/>
      <c r="U730" s="229"/>
      <c r="V730" s="229"/>
    </row>
    <row r="731" spans="2:22" x14ac:dyDescent="0.3">
      <c r="B731" s="229"/>
      <c r="C731" s="228"/>
      <c r="D731" s="228"/>
      <c r="E731" s="229"/>
      <c r="F731" s="229"/>
      <c r="G731" s="229"/>
      <c r="H731" s="250"/>
      <c r="I731" s="251"/>
      <c r="J731" s="251"/>
      <c r="K731" s="252"/>
      <c r="L731" s="229"/>
      <c r="M731" s="229"/>
      <c r="N731" s="229"/>
      <c r="O731" s="229"/>
      <c r="P731" s="229"/>
      <c r="Q731" s="229"/>
      <c r="R731" s="229"/>
      <c r="S731" s="229"/>
      <c r="T731" s="229"/>
      <c r="U731" s="229"/>
      <c r="V731" s="229"/>
    </row>
    <row r="732" spans="2:22" x14ac:dyDescent="0.3">
      <c r="B732" s="229"/>
      <c r="C732" s="228"/>
      <c r="D732" s="228"/>
      <c r="E732" s="229"/>
      <c r="F732" s="229"/>
      <c r="G732" s="229"/>
      <c r="H732" s="250"/>
      <c r="I732" s="251"/>
      <c r="J732" s="251"/>
      <c r="K732" s="252"/>
      <c r="L732" s="229"/>
      <c r="M732" s="229"/>
      <c r="N732" s="229"/>
      <c r="O732" s="229"/>
      <c r="P732" s="229"/>
      <c r="Q732" s="229"/>
      <c r="R732" s="229"/>
      <c r="S732" s="229"/>
      <c r="T732" s="229"/>
      <c r="U732" s="229"/>
      <c r="V732" s="229"/>
    </row>
    <row r="733" spans="2:22" x14ac:dyDescent="0.3">
      <c r="B733" s="229"/>
      <c r="C733" s="228"/>
      <c r="D733" s="228"/>
      <c r="E733" s="229"/>
      <c r="F733" s="229"/>
      <c r="G733" s="229"/>
      <c r="H733" s="250"/>
      <c r="I733" s="251"/>
      <c r="J733" s="251"/>
      <c r="K733" s="252"/>
      <c r="L733" s="229"/>
      <c r="M733" s="229"/>
      <c r="N733" s="229"/>
      <c r="O733" s="229"/>
      <c r="P733" s="229"/>
      <c r="Q733" s="229"/>
      <c r="R733" s="229"/>
      <c r="S733" s="229"/>
      <c r="T733" s="229"/>
      <c r="U733" s="229"/>
      <c r="V733" s="229"/>
    </row>
    <row r="734" spans="2:22" x14ac:dyDescent="0.3">
      <c r="B734" s="229"/>
      <c r="C734" s="228"/>
      <c r="D734" s="228"/>
      <c r="E734" s="229"/>
      <c r="F734" s="229"/>
      <c r="G734" s="229"/>
      <c r="H734" s="250"/>
      <c r="I734" s="251"/>
      <c r="J734" s="251"/>
      <c r="K734" s="252"/>
      <c r="L734" s="229"/>
      <c r="M734" s="229"/>
      <c r="N734" s="229"/>
      <c r="O734" s="229"/>
      <c r="P734" s="229"/>
      <c r="Q734" s="229"/>
      <c r="R734" s="229"/>
      <c r="S734" s="229"/>
      <c r="T734" s="229"/>
      <c r="U734" s="229"/>
      <c r="V734" s="229"/>
    </row>
    <row r="735" spans="2:22" x14ac:dyDescent="0.3">
      <c r="B735" s="229"/>
      <c r="C735" s="228"/>
      <c r="D735" s="228"/>
      <c r="E735" s="229"/>
      <c r="F735" s="229"/>
      <c r="G735" s="229"/>
      <c r="H735" s="250"/>
      <c r="I735" s="251"/>
      <c r="J735" s="251"/>
      <c r="K735" s="252"/>
      <c r="L735" s="229"/>
      <c r="M735" s="229"/>
      <c r="N735" s="229"/>
      <c r="O735" s="229"/>
      <c r="P735" s="229"/>
      <c r="Q735" s="229"/>
      <c r="R735" s="229"/>
      <c r="S735" s="229"/>
      <c r="T735" s="229"/>
      <c r="U735" s="229"/>
      <c r="V735" s="229"/>
    </row>
    <row r="736" spans="2:22" x14ac:dyDescent="0.3">
      <c r="B736" s="229"/>
      <c r="C736" s="228"/>
      <c r="D736" s="228"/>
      <c r="E736" s="229"/>
      <c r="F736" s="229"/>
      <c r="G736" s="229"/>
      <c r="H736" s="250"/>
      <c r="I736" s="251"/>
      <c r="J736" s="251"/>
      <c r="K736" s="252"/>
      <c r="L736" s="229"/>
      <c r="M736" s="229"/>
      <c r="N736" s="229"/>
      <c r="O736" s="229"/>
      <c r="P736" s="229"/>
      <c r="Q736" s="229"/>
      <c r="R736" s="229"/>
      <c r="S736" s="229"/>
      <c r="T736" s="229"/>
      <c r="U736" s="229"/>
      <c r="V736" s="229"/>
    </row>
    <row r="737" spans="2:22" x14ac:dyDescent="0.3">
      <c r="B737" s="229"/>
      <c r="C737" s="228"/>
      <c r="D737" s="228"/>
      <c r="E737" s="229"/>
      <c r="F737" s="229"/>
      <c r="G737" s="229"/>
      <c r="H737" s="250"/>
      <c r="I737" s="251"/>
      <c r="J737" s="251"/>
      <c r="K737" s="252"/>
      <c r="L737" s="229"/>
      <c r="M737" s="229"/>
      <c r="N737" s="229"/>
      <c r="O737" s="229"/>
      <c r="P737" s="229"/>
      <c r="Q737" s="229"/>
      <c r="R737" s="229"/>
      <c r="S737" s="229"/>
      <c r="T737" s="229"/>
      <c r="U737" s="229"/>
      <c r="V737" s="229"/>
    </row>
    <row r="738" spans="2:22" x14ac:dyDescent="0.3">
      <c r="B738" s="229"/>
      <c r="C738" s="228"/>
      <c r="D738" s="228"/>
      <c r="E738" s="229"/>
      <c r="F738" s="229"/>
      <c r="G738" s="229"/>
      <c r="H738" s="250"/>
      <c r="I738" s="251"/>
      <c r="J738" s="251"/>
      <c r="K738" s="252"/>
      <c r="L738" s="229"/>
      <c r="M738" s="229"/>
      <c r="N738" s="229"/>
      <c r="O738" s="229"/>
      <c r="P738" s="229"/>
      <c r="Q738" s="229"/>
      <c r="R738" s="229"/>
      <c r="S738" s="229"/>
      <c r="T738" s="229"/>
      <c r="U738" s="229"/>
      <c r="V738" s="229"/>
    </row>
    <row r="739" spans="2:22" x14ac:dyDescent="0.3">
      <c r="B739" s="229"/>
      <c r="C739" s="228"/>
      <c r="D739" s="228"/>
      <c r="E739" s="229"/>
      <c r="F739" s="229"/>
      <c r="G739" s="229"/>
      <c r="H739" s="250"/>
      <c r="I739" s="251"/>
      <c r="J739" s="251"/>
      <c r="K739" s="252"/>
      <c r="L739" s="229"/>
      <c r="M739" s="229"/>
      <c r="N739" s="229"/>
      <c r="O739" s="229"/>
      <c r="P739" s="229"/>
      <c r="Q739" s="229"/>
      <c r="R739" s="229"/>
      <c r="S739" s="229"/>
      <c r="T739" s="229"/>
      <c r="U739" s="229"/>
      <c r="V739" s="229"/>
    </row>
    <row r="740" spans="2:22" x14ac:dyDescent="0.3">
      <c r="B740" s="229"/>
      <c r="C740" s="228"/>
      <c r="D740" s="228"/>
      <c r="E740" s="229"/>
      <c r="F740" s="229"/>
      <c r="G740" s="229"/>
      <c r="H740" s="250"/>
      <c r="I740" s="251"/>
      <c r="J740" s="251"/>
      <c r="K740" s="252"/>
      <c r="L740" s="229"/>
      <c r="M740" s="229"/>
      <c r="N740" s="229"/>
      <c r="O740" s="229"/>
      <c r="P740" s="229"/>
      <c r="Q740" s="229"/>
      <c r="R740" s="229"/>
      <c r="S740" s="229"/>
      <c r="T740" s="229"/>
      <c r="U740" s="229"/>
      <c r="V740" s="229"/>
    </row>
    <row r="741" spans="2:22" x14ac:dyDescent="0.3">
      <c r="B741" s="229"/>
      <c r="C741" s="228"/>
      <c r="D741" s="228"/>
      <c r="E741" s="229"/>
      <c r="F741" s="229"/>
      <c r="G741" s="229"/>
      <c r="H741" s="250"/>
      <c r="I741" s="251"/>
      <c r="J741" s="251"/>
      <c r="K741" s="252"/>
      <c r="L741" s="229"/>
      <c r="M741" s="229"/>
      <c r="N741" s="229"/>
      <c r="O741" s="229"/>
      <c r="P741" s="229"/>
      <c r="Q741" s="229"/>
      <c r="R741" s="229"/>
      <c r="S741" s="229"/>
      <c r="T741" s="229"/>
      <c r="U741" s="229"/>
      <c r="V741" s="229"/>
    </row>
    <row r="742" spans="2:22" x14ac:dyDescent="0.3">
      <c r="B742" s="229"/>
      <c r="C742" s="228"/>
      <c r="D742" s="228"/>
      <c r="E742" s="229"/>
      <c r="F742" s="229"/>
      <c r="G742" s="229"/>
      <c r="H742" s="250"/>
      <c r="I742" s="251"/>
      <c r="J742" s="251"/>
      <c r="K742" s="252"/>
      <c r="L742" s="229"/>
      <c r="M742" s="229"/>
      <c r="N742" s="229"/>
      <c r="O742" s="229"/>
      <c r="P742" s="229"/>
      <c r="Q742" s="229"/>
      <c r="R742" s="229"/>
      <c r="S742" s="229"/>
      <c r="T742" s="229"/>
      <c r="U742" s="229"/>
      <c r="V742" s="229"/>
    </row>
    <row r="743" spans="2:22" x14ac:dyDescent="0.3">
      <c r="B743" s="229"/>
      <c r="C743" s="228"/>
      <c r="D743" s="228"/>
      <c r="E743" s="229"/>
      <c r="F743" s="229"/>
      <c r="G743" s="229"/>
      <c r="H743" s="250"/>
      <c r="I743" s="251"/>
      <c r="J743" s="251"/>
      <c r="K743" s="252"/>
      <c r="L743" s="229"/>
      <c r="M743" s="229"/>
      <c r="N743" s="229"/>
      <c r="O743" s="229"/>
      <c r="P743" s="229"/>
      <c r="Q743" s="229"/>
      <c r="R743" s="229"/>
      <c r="S743" s="229"/>
      <c r="T743" s="229"/>
      <c r="U743" s="229"/>
      <c r="V743" s="229"/>
    </row>
    <row r="744" spans="2:22" x14ac:dyDescent="0.3">
      <c r="B744" s="229"/>
      <c r="C744" s="228"/>
      <c r="D744" s="228"/>
      <c r="E744" s="229"/>
      <c r="F744" s="229"/>
      <c r="G744" s="229"/>
      <c r="H744" s="250"/>
      <c r="I744" s="251"/>
      <c r="J744" s="251"/>
      <c r="K744" s="252"/>
      <c r="L744" s="229"/>
      <c r="M744" s="229"/>
      <c r="N744" s="229"/>
      <c r="O744" s="229"/>
      <c r="P744" s="229"/>
      <c r="Q744" s="229"/>
      <c r="R744" s="229"/>
      <c r="S744" s="229"/>
      <c r="T744" s="229"/>
      <c r="U744" s="229"/>
      <c r="V744" s="229"/>
    </row>
    <row r="745" spans="2:22" x14ac:dyDescent="0.3">
      <c r="B745" s="229"/>
      <c r="C745" s="228"/>
      <c r="D745" s="228"/>
      <c r="E745" s="229"/>
      <c r="F745" s="229"/>
      <c r="G745" s="229"/>
      <c r="H745" s="250"/>
      <c r="I745" s="251"/>
      <c r="J745" s="251"/>
      <c r="K745" s="252"/>
      <c r="L745" s="229"/>
      <c r="M745" s="229"/>
      <c r="N745" s="229"/>
      <c r="O745" s="229"/>
      <c r="P745" s="229"/>
      <c r="Q745" s="229"/>
      <c r="R745" s="229"/>
      <c r="S745" s="229"/>
      <c r="T745" s="229"/>
      <c r="U745" s="229"/>
      <c r="V745" s="229"/>
    </row>
    <row r="746" spans="2:22" x14ac:dyDescent="0.3">
      <c r="B746" s="229"/>
      <c r="C746" s="228"/>
      <c r="D746" s="228"/>
      <c r="E746" s="229"/>
      <c r="F746" s="229"/>
      <c r="G746" s="229"/>
      <c r="H746" s="250"/>
      <c r="I746" s="251"/>
      <c r="J746" s="251"/>
      <c r="K746" s="252"/>
      <c r="L746" s="229"/>
      <c r="M746" s="229"/>
      <c r="N746" s="229"/>
      <c r="O746" s="229"/>
      <c r="P746" s="229"/>
      <c r="Q746" s="229"/>
      <c r="R746" s="229"/>
      <c r="S746" s="229"/>
      <c r="T746" s="229"/>
      <c r="U746" s="229"/>
      <c r="V746" s="229"/>
    </row>
    <row r="747" spans="2:22" x14ac:dyDescent="0.3">
      <c r="B747" s="229"/>
      <c r="C747" s="228"/>
      <c r="D747" s="228"/>
      <c r="E747" s="229"/>
      <c r="F747" s="229"/>
      <c r="G747" s="229"/>
      <c r="H747" s="250"/>
      <c r="I747" s="251"/>
      <c r="J747" s="251"/>
      <c r="K747" s="252"/>
      <c r="L747" s="229"/>
      <c r="M747" s="229"/>
      <c r="N747" s="229"/>
      <c r="O747" s="229"/>
      <c r="P747" s="229"/>
      <c r="Q747" s="229"/>
      <c r="R747" s="229"/>
      <c r="S747" s="229"/>
      <c r="T747" s="229"/>
      <c r="U747" s="229"/>
      <c r="V747" s="229"/>
    </row>
    <row r="748" spans="2:22" x14ac:dyDescent="0.3">
      <c r="B748" s="229"/>
      <c r="C748" s="228"/>
      <c r="D748" s="228"/>
      <c r="E748" s="229"/>
      <c r="F748" s="229"/>
      <c r="G748" s="229"/>
      <c r="H748" s="250"/>
      <c r="I748" s="251"/>
      <c r="J748" s="251"/>
      <c r="K748" s="252"/>
      <c r="L748" s="229"/>
      <c r="M748" s="229"/>
      <c r="N748" s="229"/>
      <c r="O748" s="229"/>
      <c r="P748" s="229"/>
      <c r="Q748" s="229"/>
      <c r="R748" s="229"/>
      <c r="S748" s="229"/>
      <c r="T748" s="229"/>
      <c r="U748" s="229"/>
      <c r="V748" s="229"/>
    </row>
    <row r="749" spans="2:22" x14ac:dyDescent="0.3">
      <c r="B749" s="229"/>
      <c r="C749" s="228"/>
      <c r="D749" s="228"/>
      <c r="E749" s="229"/>
      <c r="F749" s="229"/>
      <c r="G749" s="229"/>
      <c r="H749" s="250"/>
      <c r="I749" s="251"/>
      <c r="J749" s="251"/>
      <c r="K749" s="252"/>
      <c r="L749" s="229"/>
      <c r="M749" s="229"/>
      <c r="N749" s="229"/>
      <c r="O749" s="229"/>
      <c r="P749" s="229"/>
      <c r="Q749" s="229"/>
      <c r="R749" s="229"/>
      <c r="S749" s="229"/>
      <c r="T749" s="229"/>
      <c r="U749" s="229"/>
      <c r="V749" s="229"/>
    </row>
    <row r="750" spans="2:22" x14ac:dyDescent="0.3">
      <c r="B750" s="229"/>
      <c r="C750" s="228"/>
      <c r="D750" s="228"/>
      <c r="E750" s="229"/>
      <c r="F750" s="229"/>
      <c r="G750" s="229"/>
      <c r="H750" s="250"/>
      <c r="I750" s="251"/>
      <c r="J750" s="251"/>
      <c r="K750" s="252"/>
      <c r="L750" s="229"/>
      <c r="M750" s="229"/>
      <c r="N750" s="229"/>
      <c r="O750" s="229"/>
      <c r="P750" s="229"/>
      <c r="Q750" s="229"/>
      <c r="R750" s="229"/>
      <c r="S750" s="229"/>
      <c r="T750" s="229"/>
      <c r="U750" s="229"/>
      <c r="V750" s="229"/>
    </row>
    <row r="751" spans="2:22" x14ac:dyDescent="0.3">
      <c r="B751" s="229"/>
      <c r="C751" s="228"/>
      <c r="D751" s="228"/>
      <c r="E751" s="229"/>
      <c r="F751" s="229"/>
      <c r="G751" s="229"/>
      <c r="H751" s="250"/>
      <c r="I751" s="251"/>
      <c r="J751" s="251"/>
      <c r="K751" s="252"/>
      <c r="L751" s="229"/>
      <c r="M751" s="229"/>
      <c r="N751" s="229"/>
      <c r="O751" s="229"/>
      <c r="P751" s="229"/>
      <c r="Q751" s="229"/>
      <c r="R751" s="229"/>
      <c r="S751" s="229"/>
      <c r="T751" s="229"/>
      <c r="U751" s="229"/>
      <c r="V751" s="229"/>
    </row>
    <row r="752" spans="2:22" x14ac:dyDescent="0.3">
      <c r="B752" s="229"/>
      <c r="C752" s="228"/>
      <c r="D752" s="228"/>
      <c r="E752" s="229"/>
      <c r="F752" s="229"/>
      <c r="G752" s="229"/>
      <c r="H752" s="250"/>
      <c r="I752" s="251"/>
      <c r="J752" s="251"/>
      <c r="K752" s="252"/>
      <c r="L752" s="229"/>
      <c r="M752" s="229"/>
      <c r="N752" s="229"/>
      <c r="O752" s="229"/>
      <c r="P752" s="229"/>
      <c r="Q752" s="229"/>
      <c r="R752" s="229"/>
      <c r="S752" s="229"/>
      <c r="T752" s="229"/>
      <c r="U752" s="229"/>
      <c r="V752" s="229"/>
    </row>
    <row r="753" spans="2:22" x14ac:dyDescent="0.3">
      <c r="B753" s="229"/>
      <c r="C753" s="228"/>
      <c r="D753" s="228"/>
      <c r="E753" s="229"/>
      <c r="F753" s="229"/>
      <c r="G753" s="229"/>
      <c r="H753" s="250"/>
      <c r="I753" s="251"/>
      <c r="J753" s="251"/>
      <c r="K753" s="252"/>
      <c r="L753" s="229"/>
      <c r="M753" s="229"/>
      <c r="N753" s="229"/>
      <c r="O753" s="229"/>
      <c r="P753" s="229"/>
      <c r="Q753" s="229"/>
      <c r="R753" s="229"/>
      <c r="S753" s="229"/>
      <c r="T753" s="229"/>
      <c r="U753" s="229"/>
      <c r="V753" s="229"/>
    </row>
    <row r="754" spans="2:22" x14ac:dyDescent="0.3">
      <c r="B754" s="229"/>
      <c r="C754" s="228"/>
      <c r="D754" s="228"/>
      <c r="E754" s="229"/>
      <c r="F754" s="229"/>
      <c r="G754" s="229"/>
      <c r="H754" s="250"/>
      <c r="I754" s="251"/>
      <c r="J754" s="251"/>
      <c r="K754" s="252"/>
      <c r="L754" s="229"/>
      <c r="M754" s="229"/>
      <c r="N754" s="229"/>
      <c r="O754" s="229"/>
      <c r="P754" s="229"/>
      <c r="Q754" s="229"/>
      <c r="R754" s="229"/>
      <c r="S754" s="229"/>
      <c r="T754" s="229"/>
      <c r="U754" s="229"/>
      <c r="V754" s="229"/>
    </row>
    <row r="755" spans="2:22" x14ac:dyDescent="0.3">
      <c r="B755" s="229"/>
      <c r="C755" s="228"/>
      <c r="D755" s="228"/>
      <c r="E755" s="229"/>
      <c r="F755" s="229"/>
      <c r="G755" s="229"/>
      <c r="H755" s="250"/>
      <c r="I755" s="251"/>
      <c r="J755" s="251"/>
      <c r="K755" s="252"/>
      <c r="L755" s="229"/>
      <c r="M755" s="229"/>
      <c r="N755" s="229"/>
      <c r="O755" s="229"/>
      <c r="P755" s="229"/>
      <c r="Q755" s="229"/>
      <c r="R755" s="229"/>
      <c r="S755" s="229"/>
      <c r="T755" s="229"/>
      <c r="U755" s="229"/>
      <c r="V755" s="229"/>
    </row>
    <row r="756" spans="2:22" x14ac:dyDescent="0.3">
      <c r="B756" s="229"/>
      <c r="C756" s="228"/>
      <c r="D756" s="228"/>
      <c r="E756" s="229"/>
      <c r="F756" s="229"/>
      <c r="G756" s="229"/>
      <c r="H756" s="250"/>
      <c r="I756" s="251"/>
      <c r="J756" s="251"/>
      <c r="K756" s="252"/>
      <c r="L756" s="229"/>
      <c r="M756" s="229"/>
      <c r="N756" s="229"/>
      <c r="O756" s="229"/>
      <c r="P756" s="229"/>
      <c r="Q756" s="229"/>
      <c r="R756" s="229"/>
      <c r="S756" s="229"/>
      <c r="T756" s="229"/>
      <c r="U756" s="229"/>
      <c r="V756" s="229"/>
    </row>
    <row r="757" spans="2:22" x14ac:dyDescent="0.3">
      <c r="B757" s="229"/>
      <c r="C757" s="228"/>
      <c r="D757" s="228"/>
      <c r="E757" s="229"/>
      <c r="F757" s="229"/>
      <c r="G757" s="229"/>
      <c r="H757" s="250"/>
      <c r="I757" s="251"/>
      <c r="J757" s="251"/>
      <c r="K757" s="252"/>
      <c r="L757" s="229"/>
      <c r="M757" s="229"/>
      <c r="N757" s="229"/>
      <c r="O757" s="229"/>
      <c r="P757" s="229"/>
      <c r="Q757" s="229"/>
      <c r="R757" s="229"/>
      <c r="S757" s="229"/>
      <c r="T757" s="229"/>
      <c r="U757" s="229"/>
      <c r="V757" s="229"/>
    </row>
    <row r="758" spans="2:22" x14ac:dyDescent="0.3">
      <c r="B758" s="229"/>
      <c r="C758" s="228"/>
      <c r="D758" s="228"/>
      <c r="E758" s="229"/>
      <c r="F758" s="229"/>
      <c r="G758" s="229"/>
      <c r="H758" s="250"/>
      <c r="I758" s="251"/>
      <c r="J758" s="251"/>
      <c r="K758" s="252"/>
      <c r="L758" s="229"/>
      <c r="M758" s="229"/>
      <c r="N758" s="229"/>
      <c r="O758" s="229"/>
      <c r="P758" s="229"/>
      <c r="Q758" s="229"/>
      <c r="R758" s="229"/>
      <c r="S758" s="229"/>
      <c r="T758" s="229"/>
      <c r="U758" s="229"/>
      <c r="V758" s="229"/>
    </row>
    <row r="759" spans="2:22" x14ac:dyDescent="0.3">
      <c r="B759" s="229"/>
      <c r="C759" s="228"/>
      <c r="D759" s="228"/>
      <c r="E759" s="229"/>
      <c r="F759" s="229"/>
      <c r="G759" s="229"/>
      <c r="H759" s="250"/>
      <c r="I759" s="251"/>
      <c r="J759" s="251"/>
      <c r="K759" s="252"/>
      <c r="L759" s="229"/>
      <c r="M759" s="229"/>
      <c r="N759" s="229"/>
      <c r="O759" s="229"/>
      <c r="P759" s="229"/>
      <c r="Q759" s="229"/>
      <c r="R759" s="229"/>
      <c r="S759" s="229"/>
      <c r="T759" s="229"/>
      <c r="U759" s="229"/>
      <c r="V759" s="229"/>
    </row>
    <row r="760" spans="2:22" x14ac:dyDescent="0.3">
      <c r="B760" s="229"/>
      <c r="C760" s="228"/>
      <c r="D760" s="228"/>
      <c r="E760" s="229"/>
      <c r="F760" s="229"/>
      <c r="G760" s="229"/>
      <c r="H760" s="250"/>
      <c r="I760" s="251"/>
      <c r="J760" s="251"/>
      <c r="K760" s="252"/>
      <c r="L760" s="229"/>
      <c r="M760" s="229"/>
      <c r="N760" s="229"/>
      <c r="O760" s="229"/>
      <c r="P760" s="229"/>
      <c r="Q760" s="229"/>
      <c r="R760" s="229"/>
      <c r="S760" s="229"/>
      <c r="T760" s="229"/>
      <c r="U760" s="229"/>
      <c r="V760" s="229"/>
    </row>
    <row r="761" spans="2:22" x14ac:dyDescent="0.3">
      <c r="B761" s="229"/>
      <c r="C761" s="228"/>
      <c r="D761" s="228"/>
      <c r="E761" s="229"/>
      <c r="F761" s="229"/>
      <c r="G761" s="229"/>
      <c r="H761" s="250"/>
      <c r="I761" s="251"/>
      <c r="J761" s="251"/>
      <c r="K761" s="252"/>
      <c r="L761" s="229"/>
      <c r="M761" s="229"/>
      <c r="N761" s="229"/>
      <c r="O761" s="229"/>
      <c r="P761" s="229"/>
      <c r="Q761" s="229"/>
      <c r="R761" s="229"/>
      <c r="S761" s="229"/>
      <c r="T761" s="229"/>
      <c r="U761" s="229"/>
      <c r="V761" s="229"/>
    </row>
    <row r="762" spans="2:22" x14ac:dyDescent="0.3">
      <c r="B762" s="229"/>
      <c r="C762" s="228"/>
      <c r="D762" s="228"/>
      <c r="E762" s="229"/>
      <c r="F762" s="229"/>
      <c r="G762" s="229"/>
      <c r="H762" s="250"/>
      <c r="I762" s="251"/>
      <c r="J762" s="251"/>
      <c r="K762" s="252"/>
      <c r="L762" s="229"/>
      <c r="M762" s="229"/>
      <c r="N762" s="229"/>
      <c r="O762" s="229"/>
      <c r="P762" s="229"/>
      <c r="Q762" s="229"/>
      <c r="R762" s="229"/>
      <c r="S762" s="229"/>
      <c r="T762" s="229"/>
      <c r="U762" s="229"/>
      <c r="V762" s="229"/>
    </row>
    <row r="763" spans="2:22" x14ac:dyDescent="0.3">
      <c r="B763" s="229"/>
      <c r="C763" s="228"/>
      <c r="D763" s="228"/>
      <c r="E763" s="229"/>
      <c r="F763" s="229"/>
      <c r="G763" s="229"/>
      <c r="H763" s="250"/>
      <c r="I763" s="251"/>
      <c r="J763" s="251"/>
      <c r="K763" s="252"/>
      <c r="L763" s="229"/>
      <c r="M763" s="229"/>
      <c r="N763" s="229"/>
      <c r="O763" s="229"/>
      <c r="P763" s="229"/>
      <c r="Q763" s="229"/>
      <c r="R763" s="229"/>
      <c r="S763" s="229"/>
      <c r="T763" s="229"/>
      <c r="U763" s="229"/>
      <c r="V763" s="229"/>
    </row>
    <row r="764" spans="2:22" x14ac:dyDescent="0.3">
      <c r="B764" s="229"/>
      <c r="C764" s="228"/>
      <c r="D764" s="228"/>
      <c r="E764" s="229"/>
      <c r="F764" s="229"/>
      <c r="G764" s="229"/>
      <c r="H764" s="250"/>
      <c r="I764" s="251"/>
      <c r="J764" s="251"/>
      <c r="K764" s="252"/>
      <c r="L764" s="229"/>
      <c r="M764" s="229"/>
      <c r="N764" s="229"/>
      <c r="O764" s="229"/>
      <c r="P764" s="229"/>
      <c r="Q764" s="229"/>
      <c r="R764" s="229"/>
      <c r="S764" s="229"/>
      <c r="T764" s="229"/>
      <c r="U764" s="229"/>
      <c r="V764" s="229"/>
    </row>
    <row r="765" spans="2:22" x14ac:dyDescent="0.3">
      <c r="B765" s="229"/>
      <c r="C765" s="228"/>
      <c r="D765" s="228"/>
      <c r="E765" s="229"/>
      <c r="F765" s="229"/>
      <c r="G765" s="229"/>
      <c r="H765" s="250"/>
      <c r="I765" s="251"/>
      <c r="J765" s="251"/>
      <c r="K765" s="252"/>
      <c r="L765" s="229"/>
      <c r="M765" s="229"/>
      <c r="N765" s="229"/>
      <c r="O765" s="229"/>
      <c r="P765" s="229"/>
      <c r="Q765" s="229"/>
      <c r="R765" s="229"/>
      <c r="S765" s="229"/>
      <c r="T765" s="229"/>
      <c r="U765" s="229"/>
      <c r="V765" s="229"/>
    </row>
    <row r="766" spans="2:22" x14ac:dyDescent="0.3">
      <c r="B766" s="229"/>
      <c r="C766" s="228"/>
      <c r="D766" s="228"/>
      <c r="E766" s="229"/>
      <c r="F766" s="229"/>
      <c r="G766" s="229"/>
      <c r="H766" s="250"/>
      <c r="I766" s="251"/>
      <c r="J766" s="251"/>
      <c r="K766" s="252"/>
      <c r="L766" s="229"/>
      <c r="M766" s="229"/>
      <c r="N766" s="229"/>
      <c r="O766" s="229"/>
      <c r="P766" s="229"/>
      <c r="Q766" s="229"/>
      <c r="R766" s="229"/>
      <c r="S766" s="229"/>
      <c r="T766" s="229"/>
      <c r="U766" s="229"/>
      <c r="V766" s="229"/>
    </row>
    <row r="767" spans="2:22" x14ac:dyDescent="0.3">
      <c r="B767" s="229"/>
      <c r="C767" s="228"/>
      <c r="D767" s="228"/>
      <c r="E767" s="229"/>
      <c r="F767" s="229"/>
      <c r="G767" s="229"/>
      <c r="H767" s="250"/>
      <c r="I767" s="251"/>
      <c r="J767" s="251"/>
      <c r="K767" s="252"/>
      <c r="L767" s="229"/>
      <c r="M767" s="229"/>
      <c r="N767" s="229"/>
      <c r="O767" s="229"/>
      <c r="P767" s="229"/>
      <c r="Q767" s="229"/>
      <c r="R767" s="229"/>
      <c r="S767" s="229"/>
      <c r="T767" s="229"/>
      <c r="U767" s="229"/>
      <c r="V767" s="229"/>
    </row>
    <row r="768" spans="2:22" x14ac:dyDescent="0.3">
      <c r="B768" s="229"/>
      <c r="C768" s="228"/>
      <c r="D768" s="228"/>
      <c r="E768" s="229"/>
      <c r="F768" s="229"/>
      <c r="G768" s="229"/>
      <c r="H768" s="250"/>
      <c r="I768" s="251"/>
      <c r="J768" s="251"/>
      <c r="K768" s="252"/>
      <c r="L768" s="229"/>
      <c r="M768" s="229"/>
      <c r="N768" s="229"/>
      <c r="O768" s="229"/>
      <c r="P768" s="229"/>
      <c r="Q768" s="229"/>
      <c r="R768" s="229"/>
      <c r="S768" s="229"/>
      <c r="T768" s="229"/>
      <c r="U768" s="229"/>
      <c r="V768" s="229"/>
    </row>
    <row r="769" spans="2:22" x14ac:dyDescent="0.3">
      <c r="B769" s="229"/>
      <c r="C769" s="228"/>
      <c r="D769" s="228"/>
      <c r="E769" s="229"/>
      <c r="F769" s="229"/>
      <c r="G769" s="229"/>
      <c r="H769" s="250"/>
      <c r="I769" s="251"/>
      <c r="J769" s="251"/>
      <c r="K769" s="252"/>
      <c r="L769" s="229"/>
      <c r="M769" s="229"/>
      <c r="N769" s="229"/>
      <c r="O769" s="229"/>
      <c r="P769" s="229"/>
      <c r="Q769" s="229"/>
      <c r="R769" s="229"/>
      <c r="S769" s="229"/>
      <c r="T769" s="229"/>
      <c r="U769" s="229"/>
      <c r="V769" s="229"/>
    </row>
    <row r="770" spans="2:22" x14ac:dyDescent="0.3">
      <c r="B770" s="229"/>
      <c r="C770" s="228"/>
      <c r="D770" s="228"/>
      <c r="E770" s="229"/>
      <c r="F770" s="229"/>
      <c r="G770" s="229"/>
      <c r="H770" s="250"/>
      <c r="I770" s="251"/>
      <c r="J770" s="251"/>
      <c r="K770" s="252"/>
      <c r="L770" s="229"/>
      <c r="M770" s="229"/>
      <c r="N770" s="229"/>
      <c r="O770" s="229"/>
      <c r="P770" s="229"/>
      <c r="Q770" s="229"/>
      <c r="R770" s="229"/>
      <c r="S770" s="229"/>
      <c r="T770" s="229"/>
      <c r="U770" s="229"/>
      <c r="V770" s="229"/>
    </row>
    <row r="771" spans="2:22" x14ac:dyDescent="0.3">
      <c r="B771" s="229"/>
      <c r="C771" s="228"/>
      <c r="D771" s="228"/>
      <c r="E771" s="229"/>
      <c r="F771" s="229"/>
      <c r="G771" s="229"/>
      <c r="H771" s="250"/>
      <c r="I771" s="251"/>
      <c r="J771" s="251"/>
      <c r="K771" s="252"/>
      <c r="L771" s="229"/>
      <c r="M771" s="229"/>
      <c r="N771" s="229"/>
      <c r="O771" s="229"/>
      <c r="P771" s="229"/>
      <c r="Q771" s="229"/>
      <c r="R771" s="229"/>
      <c r="S771" s="229"/>
      <c r="T771" s="229"/>
      <c r="U771" s="229"/>
      <c r="V771" s="229"/>
    </row>
    <row r="772" spans="2:22" x14ac:dyDescent="0.3">
      <c r="B772" s="229"/>
      <c r="C772" s="228"/>
      <c r="D772" s="228"/>
      <c r="E772" s="229"/>
      <c r="F772" s="229"/>
      <c r="G772" s="229"/>
      <c r="H772" s="250"/>
      <c r="I772" s="251"/>
      <c r="J772" s="251"/>
      <c r="K772" s="252"/>
      <c r="L772" s="229"/>
      <c r="M772" s="229"/>
      <c r="N772" s="229"/>
      <c r="O772" s="229"/>
      <c r="P772" s="229"/>
      <c r="Q772" s="229"/>
      <c r="R772" s="229"/>
      <c r="S772" s="229"/>
      <c r="T772" s="229"/>
      <c r="U772" s="229"/>
      <c r="V772" s="229"/>
    </row>
    <row r="773" spans="2:22" x14ac:dyDescent="0.3">
      <c r="B773" s="229"/>
      <c r="C773" s="228"/>
      <c r="D773" s="228"/>
      <c r="E773" s="229"/>
      <c r="F773" s="229"/>
      <c r="G773" s="229"/>
      <c r="H773" s="250"/>
      <c r="I773" s="251"/>
      <c r="J773" s="251"/>
      <c r="K773" s="252"/>
      <c r="L773" s="229"/>
      <c r="M773" s="229"/>
      <c r="N773" s="229"/>
      <c r="O773" s="229"/>
      <c r="P773" s="229"/>
      <c r="Q773" s="229"/>
      <c r="R773" s="229"/>
      <c r="S773" s="229"/>
      <c r="T773" s="229"/>
      <c r="U773" s="229"/>
      <c r="V773" s="229"/>
    </row>
    <row r="774" spans="2:22" x14ac:dyDescent="0.3">
      <c r="B774" s="229"/>
      <c r="C774" s="228"/>
      <c r="D774" s="228"/>
      <c r="E774" s="229"/>
      <c r="F774" s="229"/>
      <c r="G774" s="229"/>
      <c r="H774" s="250"/>
      <c r="I774" s="251"/>
      <c r="J774" s="251"/>
      <c r="K774" s="252"/>
      <c r="L774" s="229"/>
      <c r="M774" s="229"/>
      <c r="N774" s="229"/>
      <c r="O774" s="229"/>
      <c r="P774" s="229"/>
      <c r="Q774" s="229"/>
      <c r="R774" s="229"/>
      <c r="S774" s="229"/>
      <c r="T774" s="229"/>
      <c r="U774" s="229"/>
      <c r="V774" s="229"/>
    </row>
    <row r="775" spans="2:22" x14ac:dyDescent="0.3">
      <c r="B775" s="229"/>
      <c r="C775" s="228"/>
      <c r="D775" s="228"/>
      <c r="E775" s="229"/>
      <c r="F775" s="229"/>
      <c r="G775" s="229"/>
      <c r="H775" s="250"/>
      <c r="I775" s="251"/>
      <c r="J775" s="251"/>
      <c r="K775" s="252"/>
      <c r="L775" s="229"/>
      <c r="M775" s="229"/>
      <c r="N775" s="229"/>
      <c r="O775" s="229"/>
      <c r="P775" s="229"/>
      <c r="Q775" s="229"/>
      <c r="R775" s="229"/>
      <c r="S775" s="229"/>
      <c r="T775" s="229"/>
      <c r="U775" s="229"/>
      <c r="V775" s="229"/>
    </row>
    <row r="776" spans="2:22" x14ac:dyDescent="0.3">
      <c r="B776" s="229"/>
      <c r="C776" s="228"/>
      <c r="D776" s="228"/>
      <c r="E776" s="229"/>
      <c r="F776" s="229"/>
      <c r="G776" s="229"/>
      <c r="H776" s="250"/>
      <c r="I776" s="251"/>
      <c r="J776" s="251"/>
      <c r="K776" s="252"/>
      <c r="L776" s="229"/>
      <c r="M776" s="229"/>
      <c r="N776" s="229"/>
      <c r="O776" s="229"/>
      <c r="P776" s="229"/>
      <c r="Q776" s="229"/>
      <c r="R776" s="229"/>
      <c r="S776" s="229"/>
      <c r="T776" s="229"/>
      <c r="U776" s="229"/>
      <c r="V776" s="229"/>
    </row>
    <row r="777" spans="2:22" x14ac:dyDescent="0.3">
      <c r="B777" s="229"/>
      <c r="C777" s="228"/>
      <c r="D777" s="228"/>
      <c r="E777" s="229"/>
      <c r="F777" s="229"/>
      <c r="G777" s="229"/>
      <c r="H777" s="250"/>
      <c r="I777" s="251"/>
      <c r="J777" s="251"/>
      <c r="K777" s="252"/>
      <c r="L777" s="229"/>
      <c r="M777" s="229"/>
      <c r="N777" s="229"/>
      <c r="O777" s="229"/>
      <c r="P777" s="229"/>
      <c r="Q777" s="229"/>
      <c r="R777" s="229"/>
      <c r="S777" s="229"/>
      <c r="T777" s="229"/>
      <c r="U777" s="229"/>
      <c r="V777" s="229"/>
    </row>
    <row r="778" spans="2:22" x14ac:dyDescent="0.3">
      <c r="B778" s="229"/>
      <c r="C778" s="228"/>
      <c r="D778" s="228"/>
      <c r="E778" s="229"/>
      <c r="F778" s="229"/>
      <c r="G778" s="229"/>
      <c r="H778" s="250"/>
      <c r="I778" s="251"/>
      <c r="J778" s="251"/>
      <c r="K778" s="252"/>
      <c r="L778" s="229"/>
      <c r="M778" s="229"/>
      <c r="N778" s="229"/>
      <c r="O778" s="229"/>
      <c r="P778" s="229"/>
      <c r="Q778" s="229"/>
      <c r="R778" s="229"/>
      <c r="S778" s="229"/>
      <c r="T778" s="229"/>
      <c r="U778" s="229"/>
      <c r="V778" s="229"/>
    </row>
    <row r="779" spans="2:22" x14ac:dyDescent="0.3">
      <c r="B779" s="229"/>
      <c r="C779" s="228"/>
      <c r="D779" s="228"/>
      <c r="E779" s="229"/>
      <c r="F779" s="229"/>
      <c r="G779" s="229"/>
      <c r="H779" s="250"/>
      <c r="I779" s="251"/>
      <c r="J779" s="251"/>
      <c r="K779" s="252"/>
      <c r="L779" s="229"/>
      <c r="M779" s="229"/>
      <c r="N779" s="229"/>
      <c r="O779" s="229"/>
      <c r="P779" s="229"/>
      <c r="Q779" s="229"/>
      <c r="R779" s="229"/>
      <c r="S779" s="229"/>
      <c r="T779" s="229"/>
      <c r="U779" s="229"/>
      <c r="V779" s="229"/>
    </row>
    <row r="780" spans="2:22" x14ac:dyDescent="0.3">
      <c r="B780" s="229"/>
      <c r="C780" s="228"/>
      <c r="D780" s="228"/>
      <c r="E780" s="229"/>
      <c r="F780" s="229"/>
      <c r="G780" s="229"/>
      <c r="H780" s="250"/>
      <c r="I780" s="251"/>
      <c r="J780" s="251"/>
      <c r="K780" s="252"/>
      <c r="L780" s="229"/>
      <c r="M780" s="229"/>
      <c r="N780" s="229"/>
      <c r="O780" s="229"/>
      <c r="P780" s="229"/>
      <c r="Q780" s="229"/>
      <c r="R780" s="229"/>
      <c r="S780" s="229"/>
      <c r="T780" s="229"/>
      <c r="U780" s="229"/>
      <c r="V780" s="229"/>
    </row>
    <row r="781" spans="2:22" x14ac:dyDescent="0.3">
      <c r="B781" s="229"/>
      <c r="C781" s="228"/>
      <c r="D781" s="228"/>
      <c r="E781" s="229"/>
      <c r="F781" s="229"/>
      <c r="G781" s="229"/>
      <c r="H781" s="250"/>
      <c r="I781" s="251"/>
      <c r="J781" s="251"/>
      <c r="K781" s="252"/>
      <c r="L781" s="229"/>
      <c r="M781" s="229"/>
      <c r="N781" s="229"/>
      <c r="O781" s="229"/>
      <c r="P781" s="229"/>
      <c r="Q781" s="229"/>
      <c r="R781" s="229"/>
      <c r="S781" s="229"/>
      <c r="T781" s="229"/>
      <c r="U781" s="229"/>
      <c r="V781" s="229"/>
    </row>
    <row r="782" spans="2:22" x14ac:dyDescent="0.3">
      <c r="B782" s="229"/>
      <c r="C782" s="228"/>
      <c r="D782" s="228"/>
      <c r="E782" s="229"/>
      <c r="F782" s="229"/>
      <c r="G782" s="229"/>
      <c r="H782" s="250"/>
      <c r="I782" s="251"/>
      <c r="J782" s="251"/>
      <c r="K782" s="252"/>
      <c r="L782" s="229"/>
      <c r="M782" s="229"/>
      <c r="N782" s="229"/>
      <c r="O782" s="229"/>
      <c r="P782" s="229"/>
      <c r="Q782" s="229"/>
      <c r="R782" s="229"/>
      <c r="S782" s="229"/>
      <c r="T782" s="229"/>
      <c r="U782" s="229"/>
      <c r="V782" s="229"/>
    </row>
    <row r="783" spans="2:22" x14ac:dyDescent="0.3">
      <c r="B783" s="229"/>
      <c r="C783" s="228"/>
      <c r="D783" s="228"/>
      <c r="E783" s="229"/>
      <c r="F783" s="229"/>
      <c r="G783" s="229"/>
      <c r="H783" s="250"/>
      <c r="I783" s="251"/>
      <c r="J783" s="251"/>
      <c r="K783" s="252"/>
      <c r="L783" s="229"/>
      <c r="M783" s="229"/>
      <c r="N783" s="229"/>
      <c r="O783" s="229"/>
      <c r="P783" s="229"/>
      <c r="Q783" s="229"/>
      <c r="R783" s="229"/>
      <c r="S783" s="229"/>
      <c r="T783" s="229"/>
      <c r="U783" s="229"/>
      <c r="V783" s="229"/>
    </row>
    <row r="784" spans="2:22" x14ac:dyDescent="0.3">
      <c r="B784" s="229"/>
      <c r="C784" s="228"/>
      <c r="D784" s="228"/>
      <c r="E784" s="229"/>
      <c r="F784" s="229"/>
      <c r="G784" s="229"/>
      <c r="H784" s="250"/>
      <c r="I784" s="251"/>
      <c r="J784" s="251"/>
      <c r="K784" s="252"/>
      <c r="L784" s="229"/>
      <c r="M784" s="229"/>
      <c r="N784" s="229"/>
      <c r="O784" s="229"/>
      <c r="P784" s="229"/>
      <c r="Q784" s="229"/>
      <c r="R784" s="229"/>
      <c r="S784" s="229"/>
      <c r="T784" s="229"/>
      <c r="U784" s="229"/>
      <c r="V784" s="229"/>
    </row>
    <row r="785" spans="2:22" x14ac:dyDescent="0.3">
      <c r="B785" s="229"/>
      <c r="C785" s="228"/>
      <c r="D785" s="228"/>
      <c r="E785" s="229"/>
      <c r="F785" s="229"/>
      <c r="G785" s="229"/>
      <c r="H785" s="250"/>
      <c r="I785" s="251"/>
      <c r="J785" s="251"/>
      <c r="K785" s="252"/>
      <c r="L785" s="229"/>
      <c r="M785" s="229"/>
      <c r="N785" s="229"/>
      <c r="O785" s="229"/>
      <c r="P785" s="229"/>
      <c r="Q785" s="229"/>
      <c r="R785" s="229"/>
      <c r="S785" s="229"/>
      <c r="T785" s="229"/>
      <c r="U785" s="229"/>
      <c r="V785" s="229"/>
    </row>
    <row r="786" spans="2:22" x14ac:dyDescent="0.3">
      <c r="B786" s="229"/>
      <c r="C786" s="228"/>
      <c r="D786" s="228"/>
      <c r="E786" s="229"/>
      <c r="F786" s="229"/>
      <c r="G786" s="229"/>
      <c r="H786" s="250"/>
      <c r="I786" s="251"/>
      <c r="J786" s="251"/>
      <c r="K786" s="252"/>
      <c r="L786" s="229"/>
      <c r="M786" s="229"/>
      <c r="N786" s="229"/>
      <c r="O786" s="229"/>
      <c r="P786" s="229"/>
      <c r="Q786" s="229"/>
      <c r="R786" s="229"/>
      <c r="S786" s="229"/>
      <c r="T786" s="229"/>
      <c r="U786" s="229"/>
      <c r="V786" s="229"/>
    </row>
    <row r="787" spans="2:22" x14ac:dyDescent="0.3">
      <c r="B787" s="229"/>
      <c r="C787" s="228"/>
      <c r="D787" s="228"/>
      <c r="E787" s="229"/>
      <c r="F787" s="229"/>
      <c r="G787" s="229"/>
      <c r="H787" s="250"/>
      <c r="I787" s="251"/>
      <c r="J787" s="251"/>
      <c r="K787" s="252"/>
      <c r="L787" s="229"/>
      <c r="M787" s="229"/>
      <c r="N787" s="229"/>
      <c r="O787" s="229"/>
      <c r="P787" s="229"/>
      <c r="Q787" s="229"/>
      <c r="R787" s="229"/>
      <c r="S787" s="229"/>
      <c r="T787" s="229"/>
      <c r="U787" s="229"/>
      <c r="V787" s="229"/>
    </row>
    <row r="788" spans="2:22" x14ac:dyDescent="0.3">
      <c r="B788" s="229"/>
      <c r="C788" s="228"/>
      <c r="D788" s="228"/>
      <c r="E788" s="229"/>
      <c r="F788" s="229"/>
      <c r="G788" s="229"/>
      <c r="H788" s="250"/>
      <c r="I788" s="251"/>
      <c r="J788" s="251"/>
      <c r="K788" s="252"/>
      <c r="L788" s="229"/>
      <c r="M788" s="229"/>
      <c r="N788" s="229"/>
      <c r="O788" s="229"/>
      <c r="P788" s="229"/>
      <c r="Q788" s="229"/>
      <c r="R788" s="229"/>
      <c r="S788" s="229"/>
      <c r="T788" s="229"/>
      <c r="U788" s="229"/>
      <c r="V788" s="229"/>
    </row>
    <row r="789" spans="2:22" x14ac:dyDescent="0.3">
      <c r="B789" s="229"/>
      <c r="C789" s="228"/>
      <c r="D789" s="228"/>
      <c r="E789" s="229"/>
      <c r="F789" s="229"/>
      <c r="G789" s="229"/>
      <c r="H789" s="250"/>
      <c r="I789" s="251"/>
      <c r="J789" s="251"/>
      <c r="K789" s="252"/>
      <c r="L789" s="229"/>
      <c r="M789" s="229"/>
      <c r="N789" s="229"/>
      <c r="O789" s="229"/>
      <c r="P789" s="229"/>
      <c r="Q789" s="229"/>
      <c r="R789" s="229"/>
      <c r="S789" s="229"/>
      <c r="T789" s="229"/>
      <c r="U789" s="229"/>
      <c r="V789" s="229"/>
    </row>
    <row r="790" spans="2:22" x14ac:dyDescent="0.3">
      <c r="B790" s="229"/>
      <c r="C790" s="228"/>
      <c r="D790" s="228"/>
      <c r="E790" s="229"/>
      <c r="F790" s="229"/>
      <c r="G790" s="229"/>
      <c r="H790" s="250"/>
      <c r="I790" s="251"/>
      <c r="J790" s="251"/>
      <c r="K790" s="252"/>
      <c r="L790" s="229"/>
      <c r="M790" s="229"/>
      <c r="N790" s="229"/>
      <c r="O790" s="229"/>
      <c r="P790" s="229"/>
      <c r="Q790" s="229"/>
      <c r="R790" s="229"/>
      <c r="S790" s="229"/>
      <c r="T790" s="229"/>
      <c r="U790" s="229"/>
      <c r="V790" s="229"/>
    </row>
    <row r="791" spans="2:22" x14ac:dyDescent="0.3">
      <c r="B791" s="229"/>
      <c r="C791" s="228"/>
      <c r="D791" s="228"/>
      <c r="E791" s="229"/>
      <c r="F791" s="229"/>
      <c r="G791" s="229"/>
      <c r="H791" s="250"/>
      <c r="I791" s="251"/>
      <c r="J791" s="251"/>
      <c r="K791" s="252"/>
      <c r="L791" s="229"/>
      <c r="M791" s="229"/>
      <c r="N791" s="229"/>
      <c r="O791" s="229"/>
      <c r="P791" s="229"/>
      <c r="Q791" s="229"/>
      <c r="R791" s="229"/>
      <c r="S791" s="229"/>
      <c r="T791" s="229"/>
      <c r="U791" s="229"/>
      <c r="V791" s="229"/>
    </row>
    <row r="792" spans="2:22" x14ac:dyDescent="0.3">
      <c r="B792" s="229"/>
      <c r="C792" s="228"/>
      <c r="D792" s="228"/>
      <c r="E792" s="229"/>
      <c r="F792" s="229"/>
      <c r="G792" s="229"/>
      <c r="H792" s="250"/>
      <c r="I792" s="251"/>
      <c r="J792" s="251"/>
      <c r="K792" s="252"/>
      <c r="L792" s="229"/>
      <c r="M792" s="229"/>
      <c r="N792" s="229"/>
      <c r="O792" s="229"/>
      <c r="P792" s="229"/>
      <c r="Q792" s="229"/>
      <c r="R792" s="229"/>
      <c r="S792" s="229"/>
      <c r="T792" s="229"/>
      <c r="U792" s="229"/>
      <c r="V792" s="229"/>
    </row>
    <row r="793" spans="2:22" x14ac:dyDescent="0.3">
      <c r="B793" s="229"/>
      <c r="C793" s="228"/>
      <c r="D793" s="228"/>
      <c r="E793" s="229"/>
      <c r="F793" s="229"/>
      <c r="G793" s="229"/>
      <c r="H793" s="250"/>
      <c r="I793" s="251"/>
      <c r="J793" s="251"/>
      <c r="K793" s="252"/>
      <c r="L793" s="229"/>
      <c r="M793" s="229"/>
      <c r="N793" s="229"/>
      <c r="O793" s="229"/>
      <c r="P793" s="229"/>
      <c r="Q793" s="229"/>
      <c r="R793" s="229"/>
      <c r="S793" s="229"/>
      <c r="T793" s="229"/>
      <c r="U793" s="229"/>
      <c r="V793" s="229"/>
    </row>
    <row r="794" spans="2:22" x14ac:dyDescent="0.3">
      <c r="B794" s="229"/>
      <c r="C794" s="228"/>
      <c r="D794" s="228"/>
      <c r="E794" s="229"/>
      <c r="F794" s="229"/>
      <c r="G794" s="229"/>
      <c r="H794" s="250"/>
      <c r="I794" s="251"/>
      <c r="J794" s="251"/>
      <c r="K794" s="252"/>
      <c r="L794" s="229"/>
      <c r="M794" s="229"/>
      <c r="N794" s="229"/>
      <c r="O794" s="229"/>
      <c r="P794" s="229"/>
      <c r="Q794" s="229"/>
      <c r="R794" s="229"/>
      <c r="S794" s="229"/>
      <c r="T794" s="229"/>
      <c r="U794" s="229"/>
      <c r="V794" s="229"/>
    </row>
    <row r="795" spans="2:22" x14ac:dyDescent="0.3">
      <c r="B795" s="229"/>
      <c r="C795" s="228"/>
      <c r="D795" s="228"/>
      <c r="E795" s="229"/>
      <c r="F795" s="229"/>
      <c r="G795" s="229"/>
      <c r="H795" s="250"/>
      <c r="I795" s="251"/>
      <c r="J795" s="251"/>
      <c r="K795" s="252"/>
      <c r="L795" s="229"/>
      <c r="M795" s="229"/>
      <c r="N795" s="229"/>
      <c r="O795" s="229"/>
      <c r="P795" s="229"/>
      <c r="Q795" s="229"/>
      <c r="R795" s="229"/>
      <c r="S795" s="229"/>
      <c r="T795" s="229"/>
      <c r="U795" s="229"/>
      <c r="V795" s="229"/>
    </row>
    <row r="796" spans="2:22" x14ac:dyDescent="0.3">
      <c r="B796" s="229"/>
      <c r="C796" s="228"/>
      <c r="D796" s="228"/>
      <c r="E796" s="229"/>
      <c r="F796" s="229"/>
      <c r="G796" s="229"/>
      <c r="H796" s="250"/>
      <c r="I796" s="251"/>
      <c r="J796" s="251"/>
      <c r="K796" s="252"/>
      <c r="L796" s="229"/>
      <c r="M796" s="229"/>
      <c r="N796" s="229"/>
      <c r="O796" s="229"/>
      <c r="P796" s="229"/>
      <c r="Q796" s="229"/>
      <c r="R796" s="229"/>
      <c r="S796" s="229"/>
      <c r="T796" s="229"/>
      <c r="U796" s="229"/>
      <c r="V796" s="229"/>
    </row>
    <row r="797" spans="2:22" x14ac:dyDescent="0.3">
      <c r="B797" s="229"/>
      <c r="C797" s="228"/>
      <c r="D797" s="228"/>
      <c r="E797" s="229"/>
      <c r="F797" s="229"/>
      <c r="G797" s="229"/>
      <c r="H797" s="250"/>
      <c r="I797" s="251"/>
      <c r="J797" s="251"/>
      <c r="K797" s="252"/>
      <c r="L797" s="229"/>
      <c r="M797" s="229"/>
      <c r="N797" s="229"/>
      <c r="O797" s="229"/>
      <c r="P797" s="229"/>
      <c r="Q797" s="229"/>
      <c r="R797" s="229"/>
      <c r="S797" s="229"/>
      <c r="T797" s="229"/>
      <c r="U797" s="229"/>
      <c r="V797" s="229"/>
    </row>
    <row r="798" spans="2:22" x14ac:dyDescent="0.3">
      <c r="B798" s="229"/>
      <c r="C798" s="228"/>
      <c r="D798" s="228"/>
      <c r="E798" s="229"/>
      <c r="F798" s="229"/>
      <c r="G798" s="229"/>
      <c r="H798" s="250"/>
      <c r="I798" s="251"/>
      <c r="J798" s="251"/>
      <c r="K798" s="252"/>
      <c r="L798" s="229"/>
      <c r="M798" s="229"/>
      <c r="N798" s="229"/>
      <c r="O798" s="229"/>
      <c r="P798" s="229"/>
      <c r="Q798" s="229"/>
      <c r="R798" s="229"/>
      <c r="S798" s="229"/>
      <c r="T798" s="229"/>
      <c r="U798" s="229"/>
      <c r="V798" s="229"/>
    </row>
    <row r="799" spans="2:22" x14ac:dyDescent="0.3">
      <c r="B799" s="229"/>
      <c r="C799" s="228"/>
      <c r="D799" s="228"/>
      <c r="E799" s="229"/>
      <c r="F799" s="229"/>
      <c r="G799" s="229"/>
      <c r="H799" s="250"/>
      <c r="I799" s="251"/>
      <c r="J799" s="251"/>
      <c r="K799" s="252"/>
      <c r="L799" s="229"/>
      <c r="M799" s="229"/>
      <c r="N799" s="229"/>
      <c r="O799" s="229"/>
      <c r="P799" s="229"/>
      <c r="Q799" s="229"/>
      <c r="R799" s="229"/>
      <c r="S799" s="229"/>
      <c r="T799" s="229"/>
      <c r="U799" s="229"/>
      <c r="V799" s="229"/>
    </row>
    <row r="800" spans="2:22" x14ac:dyDescent="0.3">
      <c r="B800" s="229"/>
      <c r="C800" s="228"/>
      <c r="D800" s="228"/>
      <c r="E800" s="229"/>
      <c r="F800" s="229"/>
      <c r="G800" s="229"/>
      <c r="H800" s="250"/>
      <c r="I800" s="251"/>
      <c r="J800" s="251"/>
      <c r="K800" s="252"/>
      <c r="L800" s="229"/>
      <c r="M800" s="229"/>
      <c r="N800" s="229"/>
      <c r="O800" s="229"/>
      <c r="P800" s="229"/>
      <c r="Q800" s="229"/>
      <c r="R800" s="229"/>
      <c r="S800" s="229"/>
      <c r="T800" s="229"/>
      <c r="U800" s="229"/>
      <c r="V800" s="229"/>
    </row>
    <row r="801" spans="2:22" x14ac:dyDescent="0.3">
      <c r="B801" s="229"/>
      <c r="C801" s="228"/>
      <c r="D801" s="228"/>
      <c r="E801" s="229"/>
      <c r="F801" s="229"/>
      <c r="G801" s="229"/>
      <c r="H801" s="250"/>
      <c r="I801" s="251"/>
      <c r="J801" s="251"/>
      <c r="K801" s="252"/>
      <c r="L801" s="229"/>
      <c r="M801" s="229"/>
      <c r="N801" s="229"/>
      <c r="O801" s="229"/>
      <c r="P801" s="229"/>
      <c r="Q801" s="229"/>
      <c r="R801" s="229"/>
      <c r="S801" s="229"/>
      <c r="T801" s="229"/>
      <c r="U801" s="229"/>
      <c r="V801" s="229"/>
    </row>
    <row r="802" spans="2:22" x14ac:dyDescent="0.3">
      <c r="B802" s="229"/>
      <c r="C802" s="228"/>
      <c r="D802" s="228"/>
      <c r="E802" s="229"/>
      <c r="F802" s="229"/>
      <c r="G802" s="229"/>
      <c r="H802" s="250"/>
      <c r="I802" s="251"/>
      <c r="J802" s="251"/>
      <c r="K802" s="252"/>
      <c r="L802" s="229"/>
      <c r="M802" s="229"/>
      <c r="N802" s="229"/>
      <c r="O802" s="229"/>
      <c r="P802" s="229"/>
      <c r="Q802" s="229"/>
      <c r="R802" s="229"/>
      <c r="S802" s="229"/>
      <c r="T802" s="229"/>
      <c r="U802" s="229"/>
      <c r="V802" s="229"/>
    </row>
    <row r="803" spans="2:22" x14ac:dyDescent="0.3">
      <c r="B803" s="229"/>
      <c r="C803" s="228"/>
      <c r="D803" s="228"/>
      <c r="E803" s="229"/>
      <c r="F803" s="229"/>
      <c r="G803" s="229"/>
      <c r="H803" s="250"/>
      <c r="I803" s="251"/>
      <c r="J803" s="251"/>
      <c r="K803" s="252"/>
      <c r="L803" s="229"/>
      <c r="M803" s="229"/>
      <c r="N803" s="229"/>
      <c r="O803" s="229"/>
      <c r="P803" s="229"/>
      <c r="Q803" s="229"/>
      <c r="R803" s="229"/>
      <c r="S803" s="229"/>
      <c r="T803" s="229"/>
      <c r="U803" s="229"/>
      <c r="V803" s="229"/>
    </row>
    <row r="804" spans="2:22" x14ac:dyDescent="0.3">
      <c r="B804" s="229"/>
      <c r="C804" s="228"/>
      <c r="D804" s="228"/>
      <c r="E804" s="229"/>
      <c r="F804" s="229"/>
      <c r="G804" s="229"/>
      <c r="H804" s="250"/>
      <c r="I804" s="251"/>
      <c r="J804" s="251"/>
      <c r="K804" s="252"/>
      <c r="L804" s="229"/>
      <c r="M804" s="229"/>
      <c r="N804" s="229"/>
      <c r="O804" s="229"/>
      <c r="P804" s="229"/>
      <c r="Q804" s="229"/>
      <c r="R804" s="229"/>
      <c r="S804" s="229"/>
      <c r="T804" s="229"/>
      <c r="U804" s="229"/>
      <c r="V804" s="229"/>
    </row>
    <row r="805" spans="2:22" x14ac:dyDescent="0.3">
      <c r="B805" s="229"/>
      <c r="C805" s="228"/>
      <c r="D805" s="228"/>
      <c r="E805" s="229"/>
      <c r="F805" s="229"/>
      <c r="G805" s="229"/>
      <c r="H805" s="250"/>
      <c r="I805" s="251"/>
      <c r="J805" s="251"/>
      <c r="K805" s="252"/>
      <c r="L805" s="229"/>
      <c r="M805" s="229"/>
      <c r="N805" s="229"/>
      <c r="O805" s="229"/>
      <c r="P805" s="229"/>
      <c r="Q805" s="229"/>
      <c r="R805" s="229"/>
      <c r="S805" s="229"/>
      <c r="T805" s="229"/>
      <c r="U805" s="229"/>
      <c r="V805" s="229"/>
    </row>
    <row r="806" spans="2:22" x14ac:dyDescent="0.3">
      <c r="B806" s="229"/>
      <c r="C806" s="228"/>
      <c r="D806" s="228"/>
      <c r="E806" s="229"/>
      <c r="F806" s="229"/>
      <c r="G806" s="229"/>
      <c r="H806" s="250"/>
      <c r="I806" s="251"/>
      <c r="J806" s="251"/>
      <c r="K806" s="252"/>
      <c r="L806" s="229"/>
      <c r="M806" s="229"/>
      <c r="N806" s="229"/>
      <c r="O806" s="229"/>
      <c r="P806" s="229"/>
      <c r="Q806" s="229"/>
      <c r="R806" s="229"/>
      <c r="S806" s="229"/>
      <c r="T806" s="229"/>
      <c r="U806" s="229"/>
      <c r="V806" s="229"/>
    </row>
    <row r="807" spans="2:22" x14ac:dyDescent="0.3">
      <c r="B807" s="229"/>
      <c r="C807" s="228"/>
      <c r="D807" s="228"/>
      <c r="E807" s="229"/>
      <c r="F807" s="229"/>
      <c r="G807" s="229"/>
      <c r="H807" s="250"/>
      <c r="I807" s="251"/>
      <c r="J807" s="251"/>
      <c r="K807" s="252"/>
      <c r="L807" s="229"/>
      <c r="M807" s="229"/>
      <c r="N807" s="229"/>
      <c r="O807" s="229"/>
      <c r="P807" s="229"/>
      <c r="Q807" s="229"/>
      <c r="R807" s="229"/>
      <c r="S807" s="229"/>
      <c r="T807" s="229"/>
      <c r="U807" s="229"/>
      <c r="V807" s="229"/>
    </row>
    <row r="808" spans="2:22" x14ac:dyDescent="0.3">
      <c r="B808" s="229"/>
      <c r="C808" s="228"/>
      <c r="D808" s="228"/>
      <c r="E808" s="229"/>
      <c r="F808" s="229"/>
      <c r="G808" s="229"/>
      <c r="H808" s="250"/>
      <c r="I808" s="251"/>
      <c r="J808" s="251"/>
      <c r="K808" s="252"/>
      <c r="L808" s="229"/>
      <c r="M808" s="229"/>
      <c r="N808" s="229"/>
      <c r="O808" s="229"/>
      <c r="P808" s="229"/>
      <c r="Q808" s="229"/>
      <c r="R808" s="229"/>
      <c r="S808" s="229"/>
      <c r="T808" s="229"/>
      <c r="U808" s="229"/>
      <c r="V808" s="229"/>
    </row>
    <row r="809" spans="2:22" x14ac:dyDescent="0.3">
      <c r="B809" s="229"/>
      <c r="C809" s="228"/>
      <c r="D809" s="228"/>
      <c r="E809" s="229"/>
      <c r="F809" s="229"/>
      <c r="G809" s="229"/>
      <c r="H809" s="250"/>
      <c r="I809" s="251"/>
      <c r="J809" s="251"/>
      <c r="K809" s="252"/>
      <c r="L809" s="229"/>
      <c r="M809" s="229"/>
      <c r="N809" s="229"/>
      <c r="O809" s="229"/>
      <c r="P809" s="229"/>
      <c r="Q809" s="229"/>
      <c r="R809" s="229"/>
      <c r="S809" s="229"/>
      <c r="T809" s="229"/>
      <c r="U809" s="229"/>
      <c r="V809" s="229"/>
    </row>
    <row r="810" spans="2:22" x14ac:dyDescent="0.3">
      <c r="B810" s="229"/>
      <c r="C810" s="228"/>
      <c r="D810" s="228"/>
      <c r="E810" s="229"/>
      <c r="F810" s="229"/>
      <c r="G810" s="229"/>
      <c r="H810" s="250"/>
      <c r="I810" s="251"/>
      <c r="J810" s="251"/>
      <c r="K810" s="252"/>
      <c r="L810" s="229"/>
      <c r="M810" s="229"/>
      <c r="N810" s="229"/>
      <c r="O810" s="229"/>
      <c r="P810" s="229"/>
      <c r="Q810" s="229"/>
      <c r="R810" s="229"/>
      <c r="S810" s="229"/>
      <c r="T810" s="229"/>
      <c r="U810" s="229"/>
      <c r="V810" s="229"/>
    </row>
    <row r="811" spans="2:22" x14ac:dyDescent="0.3">
      <c r="B811" s="229"/>
      <c r="C811" s="228"/>
      <c r="D811" s="228"/>
      <c r="E811" s="229"/>
      <c r="F811" s="229"/>
      <c r="G811" s="229"/>
      <c r="H811" s="250"/>
      <c r="I811" s="251"/>
      <c r="J811" s="251"/>
      <c r="K811" s="252"/>
      <c r="L811" s="229"/>
      <c r="M811" s="229"/>
      <c r="N811" s="229"/>
      <c r="O811" s="229"/>
      <c r="P811" s="229"/>
      <c r="Q811" s="229"/>
      <c r="R811" s="229"/>
      <c r="S811" s="229"/>
      <c r="T811" s="229"/>
      <c r="U811" s="229"/>
      <c r="V811" s="229"/>
    </row>
    <row r="812" spans="2:22" x14ac:dyDescent="0.3">
      <c r="B812" s="229"/>
      <c r="C812" s="228"/>
      <c r="D812" s="228"/>
      <c r="E812" s="229"/>
      <c r="F812" s="229"/>
      <c r="G812" s="229"/>
      <c r="H812" s="250"/>
      <c r="I812" s="251"/>
      <c r="J812" s="251"/>
      <c r="K812" s="252"/>
      <c r="L812" s="229"/>
      <c r="M812" s="229"/>
      <c r="N812" s="229"/>
      <c r="O812" s="229"/>
      <c r="P812" s="229"/>
      <c r="Q812" s="229"/>
      <c r="R812" s="229"/>
      <c r="S812" s="229"/>
      <c r="T812" s="229"/>
      <c r="U812" s="229"/>
      <c r="V812" s="229"/>
    </row>
    <row r="813" spans="2:22" x14ac:dyDescent="0.3">
      <c r="B813" s="229"/>
      <c r="C813" s="228"/>
      <c r="D813" s="228"/>
      <c r="E813" s="229"/>
      <c r="F813" s="229"/>
      <c r="G813" s="229"/>
      <c r="H813" s="250"/>
      <c r="I813" s="251"/>
      <c r="J813" s="251"/>
      <c r="K813" s="252"/>
      <c r="L813" s="229"/>
      <c r="M813" s="229"/>
      <c r="N813" s="229"/>
      <c r="O813" s="229"/>
      <c r="P813" s="229"/>
      <c r="Q813" s="229"/>
      <c r="R813" s="229"/>
      <c r="S813" s="229"/>
      <c r="T813" s="229"/>
      <c r="U813" s="229"/>
      <c r="V813" s="229"/>
    </row>
    <row r="814" spans="2:22" x14ac:dyDescent="0.3">
      <c r="B814" s="229"/>
      <c r="C814" s="228"/>
      <c r="D814" s="228"/>
      <c r="E814" s="229"/>
      <c r="F814" s="229"/>
      <c r="G814" s="229"/>
      <c r="H814" s="250"/>
      <c r="I814" s="251"/>
      <c r="J814" s="251"/>
      <c r="K814" s="252"/>
      <c r="L814" s="229"/>
      <c r="M814" s="229"/>
      <c r="N814" s="229"/>
      <c r="O814" s="229"/>
      <c r="P814" s="229"/>
      <c r="Q814" s="229"/>
      <c r="R814" s="229"/>
      <c r="S814" s="229"/>
      <c r="T814" s="229"/>
      <c r="U814" s="229"/>
      <c r="V814" s="229"/>
    </row>
    <row r="815" spans="2:22" x14ac:dyDescent="0.3">
      <c r="B815" s="229"/>
      <c r="C815" s="228"/>
      <c r="D815" s="228"/>
      <c r="E815" s="229"/>
      <c r="F815" s="229"/>
      <c r="G815" s="229"/>
      <c r="H815" s="250"/>
      <c r="I815" s="251"/>
      <c r="J815" s="251"/>
      <c r="K815" s="252"/>
      <c r="L815" s="229"/>
      <c r="M815" s="229"/>
      <c r="N815" s="229"/>
      <c r="O815" s="229"/>
      <c r="P815" s="229"/>
      <c r="Q815" s="229"/>
      <c r="R815" s="229"/>
      <c r="S815" s="229"/>
      <c r="T815" s="229"/>
      <c r="U815" s="229"/>
      <c r="V815" s="229"/>
    </row>
    <row r="816" spans="2:22" x14ac:dyDescent="0.3">
      <c r="B816" s="229"/>
      <c r="C816" s="228"/>
      <c r="D816" s="228"/>
      <c r="E816" s="229"/>
      <c r="F816" s="229"/>
      <c r="G816" s="229"/>
      <c r="H816" s="250"/>
      <c r="I816" s="251"/>
      <c r="J816" s="251"/>
      <c r="K816" s="252"/>
      <c r="L816" s="229"/>
      <c r="M816" s="229"/>
      <c r="N816" s="229"/>
      <c r="O816" s="229"/>
      <c r="P816" s="229"/>
      <c r="Q816" s="229"/>
      <c r="R816" s="229"/>
      <c r="S816" s="229"/>
      <c r="T816" s="229"/>
      <c r="U816" s="229"/>
      <c r="V816" s="229"/>
    </row>
    <row r="817" spans="2:22" x14ac:dyDescent="0.3">
      <c r="B817" s="229"/>
      <c r="C817" s="228"/>
      <c r="D817" s="228"/>
      <c r="E817" s="229"/>
      <c r="F817" s="229"/>
      <c r="G817" s="229"/>
      <c r="H817" s="250"/>
      <c r="I817" s="251"/>
      <c r="J817" s="251"/>
      <c r="K817" s="252"/>
      <c r="L817" s="229"/>
      <c r="M817" s="229"/>
      <c r="N817" s="229"/>
      <c r="O817" s="229"/>
      <c r="P817" s="229"/>
      <c r="Q817" s="229"/>
      <c r="R817" s="229"/>
      <c r="S817" s="229"/>
      <c r="T817" s="229"/>
      <c r="U817" s="229"/>
      <c r="V817" s="229"/>
    </row>
    <row r="818" spans="2:22" x14ac:dyDescent="0.3">
      <c r="B818" s="229"/>
      <c r="C818" s="228"/>
      <c r="D818" s="228"/>
      <c r="E818" s="229"/>
      <c r="F818" s="229"/>
      <c r="G818" s="229"/>
      <c r="H818" s="250"/>
      <c r="I818" s="251"/>
      <c r="J818" s="251"/>
      <c r="K818" s="252"/>
      <c r="L818" s="229"/>
      <c r="M818" s="229"/>
      <c r="N818" s="229"/>
      <c r="O818" s="229"/>
      <c r="P818" s="229"/>
      <c r="Q818" s="229"/>
      <c r="R818" s="229"/>
      <c r="S818" s="229"/>
      <c r="T818" s="229"/>
      <c r="U818" s="229"/>
      <c r="V818" s="229"/>
    </row>
    <row r="819" spans="2:22" x14ac:dyDescent="0.3">
      <c r="B819" s="229"/>
      <c r="C819" s="228"/>
      <c r="D819" s="228"/>
      <c r="E819" s="229"/>
      <c r="F819" s="229"/>
      <c r="G819" s="229"/>
      <c r="H819" s="250"/>
      <c r="I819" s="251"/>
      <c r="J819" s="251"/>
      <c r="K819" s="252"/>
      <c r="L819" s="229"/>
      <c r="M819" s="229"/>
      <c r="N819" s="229"/>
      <c r="O819" s="229"/>
      <c r="P819" s="229"/>
      <c r="Q819" s="229"/>
      <c r="R819" s="229"/>
      <c r="S819" s="229"/>
      <c r="T819" s="229"/>
      <c r="U819" s="229"/>
      <c r="V819" s="229"/>
    </row>
    <row r="820" spans="2:22" x14ac:dyDescent="0.3">
      <c r="B820" s="229"/>
      <c r="C820" s="228"/>
      <c r="D820" s="228"/>
      <c r="E820" s="229"/>
      <c r="F820" s="229"/>
      <c r="G820" s="229"/>
      <c r="H820" s="250"/>
      <c r="I820" s="251"/>
      <c r="J820" s="251"/>
      <c r="K820" s="252"/>
      <c r="L820" s="229"/>
      <c r="M820" s="229"/>
      <c r="N820" s="229"/>
      <c r="O820" s="229"/>
      <c r="P820" s="229"/>
      <c r="Q820" s="229"/>
      <c r="R820" s="229"/>
      <c r="S820" s="229"/>
      <c r="T820" s="229"/>
      <c r="U820" s="229"/>
      <c r="V820" s="229"/>
    </row>
    <row r="821" spans="2:22" x14ac:dyDescent="0.3">
      <c r="B821" s="229"/>
      <c r="C821" s="228"/>
      <c r="D821" s="228"/>
      <c r="E821" s="229"/>
      <c r="F821" s="229"/>
      <c r="G821" s="229"/>
      <c r="H821" s="250"/>
      <c r="I821" s="251"/>
      <c r="J821" s="251"/>
      <c r="K821" s="252"/>
      <c r="L821" s="229"/>
      <c r="M821" s="229"/>
      <c r="N821" s="229"/>
      <c r="O821" s="229"/>
      <c r="P821" s="229"/>
      <c r="Q821" s="229"/>
      <c r="R821" s="229"/>
      <c r="S821" s="229"/>
      <c r="T821" s="229"/>
      <c r="U821" s="229"/>
      <c r="V821" s="229"/>
    </row>
    <row r="822" spans="2:22" x14ac:dyDescent="0.3">
      <c r="B822" s="229"/>
      <c r="C822" s="228"/>
      <c r="D822" s="228"/>
      <c r="E822" s="229"/>
      <c r="F822" s="229"/>
      <c r="G822" s="229"/>
      <c r="H822" s="250"/>
      <c r="I822" s="251"/>
      <c r="J822" s="251"/>
      <c r="K822" s="252"/>
      <c r="L822" s="229"/>
      <c r="M822" s="229"/>
      <c r="N822" s="229"/>
      <c r="O822" s="229"/>
      <c r="P822" s="229"/>
      <c r="Q822" s="229"/>
      <c r="R822" s="229"/>
      <c r="S822" s="229"/>
      <c r="T822" s="229"/>
      <c r="U822" s="229"/>
      <c r="V822" s="229"/>
    </row>
    <row r="823" spans="2:22" x14ac:dyDescent="0.3">
      <c r="B823" s="229"/>
      <c r="C823" s="228"/>
      <c r="D823" s="228"/>
      <c r="E823" s="229"/>
      <c r="F823" s="229"/>
      <c r="G823" s="229"/>
      <c r="H823" s="250"/>
      <c r="I823" s="251"/>
      <c r="J823" s="251"/>
      <c r="K823" s="252"/>
      <c r="L823" s="229"/>
      <c r="M823" s="229"/>
      <c r="N823" s="229"/>
      <c r="O823" s="229"/>
      <c r="P823" s="229"/>
      <c r="Q823" s="229"/>
      <c r="R823" s="229"/>
      <c r="S823" s="229"/>
      <c r="T823" s="229"/>
      <c r="U823" s="229"/>
      <c r="V823" s="229"/>
    </row>
    <row r="824" spans="2:22" x14ac:dyDescent="0.3">
      <c r="B824" s="229"/>
      <c r="C824" s="228"/>
      <c r="D824" s="228"/>
      <c r="E824" s="229"/>
      <c r="F824" s="229"/>
      <c r="G824" s="229"/>
      <c r="H824" s="250"/>
      <c r="I824" s="251"/>
      <c r="J824" s="251"/>
      <c r="K824" s="252"/>
      <c r="L824" s="229"/>
      <c r="M824" s="229"/>
      <c r="N824" s="229"/>
      <c r="O824" s="229"/>
      <c r="P824" s="229"/>
      <c r="Q824" s="229"/>
      <c r="R824" s="229"/>
      <c r="S824" s="229"/>
      <c r="T824" s="229"/>
      <c r="U824" s="229"/>
      <c r="V824" s="229"/>
    </row>
    <row r="825" spans="2:22" x14ac:dyDescent="0.3">
      <c r="B825" s="229"/>
      <c r="C825" s="228"/>
      <c r="D825" s="228"/>
      <c r="E825" s="229"/>
      <c r="F825" s="229"/>
      <c r="G825" s="229"/>
      <c r="H825" s="250"/>
      <c r="I825" s="251"/>
      <c r="J825" s="251"/>
      <c r="K825" s="252"/>
      <c r="L825" s="229"/>
      <c r="M825" s="229"/>
      <c r="N825" s="229"/>
      <c r="O825" s="229"/>
      <c r="P825" s="229"/>
      <c r="Q825" s="229"/>
      <c r="R825" s="229"/>
      <c r="S825" s="229"/>
      <c r="T825" s="229"/>
      <c r="U825" s="229"/>
      <c r="V825" s="229"/>
    </row>
    <row r="826" spans="2:22" x14ac:dyDescent="0.3">
      <c r="B826" s="229"/>
      <c r="C826" s="228"/>
      <c r="D826" s="228"/>
      <c r="E826" s="229"/>
      <c r="F826" s="229"/>
      <c r="G826" s="229"/>
      <c r="H826" s="250"/>
      <c r="I826" s="251"/>
      <c r="J826" s="251"/>
      <c r="K826" s="252"/>
      <c r="L826" s="229"/>
      <c r="M826" s="229"/>
      <c r="N826" s="229"/>
      <c r="O826" s="229"/>
      <c r="P826" s="229"/>
      <c r="Q826" s="229"/>
      <c r="R826" s="229"/>
      <c r="S826" s="229"/>
      <c r="T826" s="229"/>
      <c r="U826" s="229"/>
      <c r="V826" s="229"/>
    </row>
    <row r="827" spans="2:22" x14ac:dyDescent="0.3">
      <c r="B827" s="229"/>
      <c r="C827" s="228"/>
      <c r="D827" s="228"/>
      <c r="E827" s="229"/>
      <c r="F827" s="229"/>
      <c r="G827" s="229"/>
      <c r="H827" s="250"/>
      <c r="I827" s="251"/>
      <c r="J827" s="251"/>
      <c r="K827" s="252"/>
      <c r="L827" s="229"/>
      <c r="M827" s="229"/>
      <c r="N827" s="229"/>
      <c r="O827" s="229"/>
      <c r="P827" s="229"/>
      <c r="Q827" s="229"/>
      <c r="R827" s="229"/>
      <c r="S827" s="229"/>
      <c r="T827" s="229"/>
      <c r="U827" s="229"/>
      <c r="V827" s="229"/>
    </row>
    <row r="828" spans="2:22" x14ac:dyDescent="0.3">
      <c r="B828" s="229"/>
      <c r="C828" s="228"/>
      <c r="D828" s="228"/>
      <c r="E828" s="229"/>
      <c r="F828" s="229"/>
      <c r="G828" s="229"/>
      <c r="H828" s="250"/>
      <c r="I828" s="251"/>
      <c r="J828" s="251"/>
      <c r="K828" s="252"/>
      <c r="L828" s="229"/>
      <c r="M828" s="229"/>
      <c r="N828" s="229"/>
      <c r="O828" s="229"/>
      <c r="P828" s="229"/>
      <c r="Q828" s="229"/>
      <c r="R828" s="229"/>
      <c r="S828" s="229"/>
      <c r="T828" s="229"/>
      <c r="U828" s="229"/>
      <c r="V828" s="229"/>
    </row>
    <row r="829" spans="2:22" x14ac:dyDescent="0.3">
      <c r="B829" s="229"/>
      <c r="C829" s="228"/>
      <c r="D829" s="228"/>
      <c r="E829" s="229"/>
      <c r="F829" s="229"/>
      <c r="G829" s="229"/>
      <c r="H829" s="250"/>
      <c r="I829" s="251"/>
      <c r="J829" s="251"/>
      <c r="K829" s="252"/>
      <c r="L829" s="229"/>
      <c r="M829" s="229"/>
      <c r="N829" s="229"/>
      <c r="O829" s="229"/>
      <c r="P829" s="229"/>
      <c r="Q829" s="229"/>
      <c r="R829" s="229"/>
      <c r="S829" s="229"/>
      <c r="T829" s="229"/>
      <c r="U829" s="229"/>
      <c r="V829" s="229"/>
    </row>
    <row r="830" spans="2:22" x14ac:dyDescent="0.3">
      <c r="B830" s="229"/>
      <c r="C830" s="228"/>
      <c r="D830" s="228"/>
      <c r="E830" s="229"/>
      <c r="F830" s="229"/>
      <c r="G830" s="229"/>
      <c r="H830" s="250"/>
      <c r="I830" s="251"/>
      <c r="J830" s="251"/>
      <c r="K830" s="252"/>
      <c r="L830" s="229"/>
      <c r="M830" s="229"/>
      <c r="N830" s="229"/>
      <c r="O830" s="229"/>
      <c r="P830" s="229"/>
      <c r="Q830" s="229"/>
      <c r="R830" s="229"/>
      <c r="S830" s="229"/>
      <c r="T830" s="229"/>
      <c r="U830" s="229"/>
      <c r="V830" s="229"/>
    </row>
    <row r="831" spans="2:22" x14ac:dyDescent="0.3">
      <c r="B831" s="229"/>
      <c r="C831" s="228"/>
      <c r="D831" s="228"/>
      <c r="E831" s="229"/>
      <c r="F831" s="229"/>
      <c r="G831" s="229"/>
      <c r="H831" s="250"/>
      <c r="I831" s="251"/>
      <c r="J831" s="251"/>
      <c r="K831" s="252"/>
      <c r="L831" s="229"/>
      <c r="M831" s="229"/>
      <c r="N831" s="229"/>
      <c r="O831" s="229"/>
      <c r="P831" s="229"/>
      <c r="Q831" s="229"/>
      <c r="R831" s="229"/>
      <c r="S831" s="229"/>
      <c r="T831" s="229"/>
      <c r="U831" s="229"/>
      <c r="V831" s="229"/>
    </row>
    <row r="832" spans="2:22" x14ac:dyDescent="0.3">
      <c r="B832" s="229"/>
      <c r="C832" s="228"/>
      <c r="D832" s="228"/>
      <c r="E832" s="229"/>
      <c r="F832" s="229"/>
      <c r="G832" s="229"/>
      <c r="H832" s="250"/>
      <c r="I832" s="251"/>
      <c r="J832" s="251"/>
      <c r="K832" s="252"/>
      <c r="L832" s="229"/>
      <c r="M832" s="229"/>
      <c r="N832" s="229"/>
      <c r="O832" s="229"/>
      <c r="P832" s="229"/>
      <c r="Q832" s="229"/>
      <c r="R832" s="229"/>
      <c r="S832" s="229"/>
      <c r="T832" s="229"/>
      <c r="U832" s="229"/>
      <c r="V832" s="229"/>
    </row>
    <row r="833" spans="2:22" x14ac:dyDescent="0.3">
      <c r="B833" s="229"/>
      <c r="C833" s="228"/>
      <c r="D833" s="228"/>
      <c r="E833" s="229"/>
      <c r="F833" s="229"/>
      <c r="G833" s="229"/>
      <c r="H833" s="250"/>
      <c r="I833" s="251"/>
      <c r="J833" s="251"/>
      <c r="K833" s="252"/>
      <c r="L833" s="229"/>
      <c r="M833" s="229"/>
      <c r="N833" s="229"/>
      <c r="O833" s="229"/>
      <c r="P833" s="229"/>
      <c r="Q833" s="229"/>
      <c r="R833" s="229"/>
      <c r="S833" s="229"/>
      <c r="T833" s="229"/>
      <c r="U833" s="229"/>
      <c r="V833" s="229"/>
    </row>
    <row r="834" spans="2:22" x14ac:dyDescent="0.3">
      <c r="B834" s="229"/>
      <c r="C834" s="228"/>
      <c r="D834" s="228"/>
      <c r="E834" s="229"/>
      <c r="F834" s="229"/>
      <c r="G834" s="229"/>
      <c r="H834" s="250"/>
      <c r="I834" s="251"/>
      <c r="J834" s="251"/>
      <c r="K834" s="252"/>
      <c r="L834" s="229"/>
      <c r="M834" s="229"/>
      <c r="N834" s="229"/>
      <c r="O834" s="229"/>
      <c r="P834" s="229"/>
      <c r="Q834" s="229"/>
      <c r="R834" s="229"/>
      <c r="S834" s="229"/>
      <c r="T834" s="229"/>
      <c r="U834" s="229"/>
      <c r="V834" s="229"/>
    </row>
    <row r="835" spans="2:22" x14ac:dyDescent="0.3">
      <c r="B835" s="229"/>
      <c r="C835" s="228"/>
      <c r="D835" s="228"/>
      <c r="E835" s="229"/>
      <c r="F835" s="229"/>
      <c r="G835" s="229"/>
      <c r="H835" s="250"/>
      <c r="I835" s="251"/>
      <c r="J835" s="251"/>
      <c r="K835" s="252"/>
      <c r="L835" s="229"/>
      <c r="M835" s="229"/>
      <c r="N835" s="229"/>
      <c r="O835" s="229"/>
      <c r="P835" s="229"/>
      <c r="Q835" s="229"/>
      <c r="R835" s="229"/>
      <c r="S835" s="229"/>
      <c r="T835" s="229"/>
      <c r="U835" s="229"/>
      <c r="V835" s="229"/>
    </row>
    <row r="836" spans="2:22" x14ac:dyDescent="0.3">
      <c r="B836" s="229"/>
      <c r="C836" s="228"/>
      <c r="D836" s="228"/>
      <c r="E836" s="229"/>
      <c r="F836" s="229"/>
      <c r="G836" s="229"/>
      <c r="H836" s="250"/>
      <c r="I836" s="251"/>
      <c r="J836" s="251"/>
      <c r="K836" s="252"/>
      <c r="L836" s="229"/>
      <c r="M836" s="229"/>
      <c r="N836" s="229"/>
      <c r="O836" s="229"/>
      <c r="P836" s="229"/>
      <c r="Q836" s="229"/>
      <c r="R836" s="229"/>
      <c r="S836" s="229"/>
      <c r="T836" s="229"/>
      <c r="U836" s="229"/>
      <c r="V836" s="229"/>
    </row>
    <row r="837" spans="2:22" x14ac:dyDescent="0.3">
      <c r="B837" s="229"/>
      <c r="C837" s="228"/>
      <c r="D837" s="228"/>
      <c r="E837" s="229"/>
      <c r="F837" s="229"/>
      <c r="G837" s="229"/>
      <c r="H837" s="250"/>
      <c r="I837" s="251"/>
      <c r="J837" s="251"/>
      <c r="K837" s="252"/>
      <c r="L837" s="229"/>
      <c r="M837" s="229"/>
      <c r="N837" s="229"/>
      <c r="O837" s="229"/>
      <c r="P837" s="229"/>
      <c r="Q837" s="229"/>
      <c r="R837" s="229"/>
      <c r="S837" s="229"/>
      <c r="T837" s="229"/>
      <c r="U837" s="229"/>
      <c r="V837" s="229"/>
    </row>
    <row r="838" spans="2:22" x14ac:dyDescent="0.3">
      <c r="B838" s="229"/>
      <c r="C838" s="228"/>
      <c r="D838" s="228"/>
      <c r="E838" s="229"/>
      <c r="F838" s="229"/>
      <c r="G838" s="229"/>
      <c r="H838" s="250"/>
      <c r="I838" s="251"/>
      <c r="J838" s="251"/>
      <c r="K838" s="252"/>
      <c r="L838" s="229"/>
      <c r="M838" s="229"/>
      <c r="N838" s="229"/>
      <c r="O838" s="229"/>
      <c r="P838" s="229"/>
      <c r="Q838" s="229"/>
      <c r="R838" s="229"/>
      <c r="S838" s="229"/>
      <c r="T838" s="229"/>
      <c r="U838" s="229"/>
      <c r="V838" s="229"/>
    </row>
    <row r="839" spans="2:22" x14ac:dyDescent="0.3">
      <c r="B839" s="229"/>
      <c r="C839" s="228"/>
      <c r="D839" s="228"/>
      <c r="E839" s="229"/>
      <c r="F839" s="229"/>
      <c r="G839" s="229"/>
      <c r="H839" s="250"/>
      <c r="I839" s="251"/>
      <c r="J839" s="251"/>
      <c r="K839" s="252"/>
      <c r="L839" s="229"/>
      <c r="M839" s="229"/>
      <c r="N839" s="229"/>
      <c r="O839" s="229"/>
      <c r="P839" s="229"/>
      <c r="Q839" s="229"/>
      <c r="R839" s="229"/>
      <c r="S839" s="229"/>
      <c r="T839" s="229"/>
      <c r="U839" s="229"/>
      <c r="V839" s="229"/>
    </row>
    <row r="840" spans="2:22" x14ac:dyDescent="0.3">
      <c r="B840" s="229"/>
      <c r="C840" s="228"/>
      <c r="D840" s="228"/>
      <c r="E840" s="229"/>
      <c r="F840" s="229"/>
      <c r="G840" s="229"/>
      <c r="H840" s="250"/>
      <c r="I840" s="251"/>
      <c r="J840" s="251"/>
      <c r="K840" s="252"/>
      <c r="L840" s="229"/>
      <c r="M840" s="229"/>
      <c r="N840" s="229"/>
      <c r="O840" s="229"/>
      <c r="P840" s="229"/>
      <c r="Q840" s="229"/>
      <c r="R840" s="229"/>
      <c r="S840" s="229"/>
      <c r="T840" s="229"/>
      <c r="U840" s="229"/>
      <c r="V840" s="229"/>
    </row>
    <row r="841" spans="2:22" x14ac:dyDescent="0.3">
      <c r="B841" s="229"/>
      <c r="C841" s="228"/>
      <c r="D841" s="228"/>
      <c r="E841" s="229"/>
      <c r="F841" s="229"/>
      <c r="G841" s="229"/>
      <c r="H841" s="250"/>
      <c r="I841" s="251"/>
      <c r="J841" s="251"/>
      <c r="K841" s="252"/>
      <c r="L841" s="229"/>
      <c r="M841" s="229"/>
      <c r="N841" s="229"/>
      <c r="O841" s="229"/>
      <c r="P841" s="229"/>
      <c r="Q841" s="229"/>
      <c r="R841" s="229"/>
      <c r="S841" s="229"/>
      <c r="T841" s="229"/>
      <c r="U841" s="229"/>
      <c r="V841" s="229"/>
    </row>
    <row r="842" spans="2:22" x14ac:dyDescent="0.3">
      <c r="B842" s="229"/>
      <c r="C842" s="228"/>
      <c r="D842" s="228"/>
      <c r="E842" s="229"/>
      <c r="F842" s="229"/>
      <c r="G842" s="229"/>
      <c r="H842" s="250"/>
      <c r="I842" s="251"/>
      <c r="J842" s="251"/>
      <c r="K842" s="252"/>
      <c r="L842" s="229"/>
      <c r="M842" s="229"/>
      <c r="N842" s="229"/>
      <c r="O842" s="229"/>
      <c r="P842" s="229"/>
      <c r="Q842" s="229"/>
      <c r="R842" s="229"/>
      <c r="S842" s="229"/>
      <c r="T842" s="229"/>
      <c r="U842" s="229"/>
      <c r="V842" s="229"/>
    </row>
    <row r="843" spans="2:22" x14ac:dyDescent="0.3">
      <c r="B843" s="229"/>
      <c r="C843" s="228"/>
      <c r="D843" s="228"/>
      <c r="E843" s="229"/>
      <c r="F843" s="229"/>
      <c r="G843" s="229"/>
      <c r="H843" s="250"/>
      <c r="I843" s="251"/>
      <c r="J843" s="251"/>
      <c r="K843" s="252"/>
      <c r="L843" s="229"/>
      <c r="M843" s="229"/>
      <c r="N843" s="229"/>
      <c r="O843" s="229"/>
      <c r="P843" s="229"/>
      <c r="Q843" s="229"/>
      <c r="R843" s="229"/>
      <c r="S843" s="229"/>
      <c r="T843" s="229"/>
      <c r="U843" s="229"/>
      <c r="V843" s="229"/>
    </row>
    <row r="844" spans="2:22" x14ac:dyDescent="0.3">
      <c r="B844" s="229"/>
      <c r="C844" s="228"/>
      <c r="D844" s="228"/>
      <c r="E844" s="229"/>
      <c r="F844" s="229"/>
      <c r="G844" s="229"/>
      <c r="H844" s="250"/>
      <c r="I844" s="251"/>
      <c r="J844" s="251"/>
      <c r="K844" s="252"/>
      <c r="L844" s="229"/>
      <c r="M844" s="229"/>
      <c r="N844" s="229"/>
      <c r="O844" s="229"/>
      <c r="P844" s="229"/>
      <c r="Q844" s="229"/>
      <c r="R844" s="229"/>
      <c r="S844" s="229"/>
      <c r="T844" s="229"/>
      <c r="U844" s="229"/>
      <c r="V844" s="229"/>
    </row>
    <row r="845" spans="2:22" x14ac:dyDescent="0.3">
      <c r="B845" s="229"/>
      <c r="C845" s="228"/>
      <c r="D845" s="228"/>
      <c r="E845" s="229"/>
      <c r="F845" s="229"/>
      <c r="G845" s="229"/>
      <c r="H845" s="250"/>
      <c r="I845" s="251"/>
      <c r="J845" s="251"/>
      <c r="K845" s="252"/>
      <c r="L845" s="229"/>
      <c r="M845" s="229"/>
      <c r="N845" s="229"/>
      <c r="O845" s="229"/>
      <c r="P845" s="229"/>
      <c r="Q845" s="229"/>
      <c r="R845" s="229"/>
      <c r="S845" s="229"/>
      <c r="T845" s="229"/>
      <c r="U845" s="229"/>
      <c r="V845" s="229"/>
    </row>
    <row r="846" spans="2:22" x14ac:dyDescent="0.3">
      <c r="B846" s="229"/>
      <c r="C846" s="228"/>
      <c r="D846" s="228"/>
      <c r="E846" s="229"/>
      <c r="F846" s="229"/>
      <c r="G846" s="229"/>
      <c r="H846" s="250"/>
      <c r="I846" s="251"/>
      <c r="J846" s="251"/>
      <c r="K846" s="252"/>
      <c r="L846" s="229"/>
      <c r="M846" s="229"/>
      <c r="N846" s="229"/>
      <c r="O846" s="229"/>
      <c r="P846" s="229"/>
      <c r="Q846" s="229"/>
      <c r="R846" s="229"/>
      <c r="S846" s="229"/>
      <c r="T846" s="229"/>
      <c r="U846" s="229"/>
      <c r="V846" s="229"/>
    </row>
    <row r="847" spans="2:22" x14ac:dyDescent="0.3">
      <c r="B847" s="229"/>
      <c r="C847" s="228"/>
      <c r="D847" s="228"/>
      <c r="E847" s="229"/>
      <c r="F847" s="229"/>
      <c r="G847" s="229"/>
      <c r="H847" s="250"/>
      <c r="I847" s="251"/>
      <c r="J847" s="251"/>
      <c r="K847" s="252"/>
      <c r="L847" s="229"/>
      <c r="M847" s="229"/>
      <c r="N847" s="229"/>
      <c r="O847" s="229"/>
      <c r="P847" s="229"/>
      <c r="Q847" s="229"/>
      <c r="R847" s="229"/>
      <c r="S847" s="229"/>
      <c r="T847" s="229"/>
      <c r="U847" s="229"/>
      <c r="V847" s="229"/>
    </row>
    <row r="848" spans="2:22" x14ac:dyDescent="0.3">
      <c r="B848" s="229"/>
      <c r="C848" s="228"/>
      <c r="D848" s="228"/>
      <c r="E848" s="229"/>
      <c r="F848" s="229"/>
      <c r="G848" s="229"/>
      <c r="H848" s="250"/>
      <c r="I848" s="251"/>
      <c r="J848" s="251"/>
      <c r="K848" s="252"/>
      <c r="L848" s="229"/>
      <c r="M848" s="229"/>
      <c r="N848" s="229"/>
      <c r="O848" s="229"/>
      <c r="P848" s="229"/>
      <c r="Q848" s="229"/>
      <c r="R848" s="229"/>
      <c r="S848" s="229"/>
      <c r="T848" s="229"/>
      <c r="U848" s="229"/>
      <c r="V848" s="229"/>
    </row>
    <row r="849" spans="2:22" x14ac:dyDescent="0.3">
      <c r="B849" s="229"/>
      <c r="C849" s="228"/>
      <c r="D849" s="228"/>
      <c r="E849" s="229"/>
      <c r="F849" s="229"/>
      <c r="G849" s="229"/>
      <c r="H849" s="250"/>
      <c r="I849" s="251"/>
      <c r="J849" s="251"/>
      <c r="K849" s="252"/>
      <c r="L849" s="229"/>
      <c r="M849" s="229"/>
      <c r="N849" s="229"/>
      <c r="O849" s="229"/>
      <c r="P849" s="229"/>
      <c r="Q849" s="229"/>
      <c r="R849" s="229"/>
      <c r="S849" s="229"/>
      <c r="T849" s="229"/>
      <c r="U849" s="229"/>
      <c r="V849" s="229"/>
    </row>
    <row r="850" spans="2:22" x14ac:dyDescent="0.3">
      <c r="B850" s="229"/>
      <c r="C850" s="228"/>
      <c r="D850" s="228"/>
      <c r="E850" s="229"/>
      <c r="F850" s="229"/>
      <c r="G850" s="229"/>
      <c r="H850" s="250"/>
      <c r="I850" s="251"/>
      <c r="J850" s="251"/>
      <c r="K850" s="252"/>
      <c r="L850" s="229"/>
      <c r="M850" s="229"/>
      <c r="N850" s="229"/>
      <c r="O850" s="229"/>
      <c r="P850" s="229"/>
      <c r="Q850" s="229"/>
      <c r="R850" s="229"/>
      <c r="S850" s="229"/>
      <c r="T850" s="229"/>
      <c r="U850" s="229"/>
      <c r="V850" s="229"/>
    </row>
    <row r="851" spans="2:22" x14ac:dyDescent="0.3">
      <c r="B851" s="229"/>
      <c r="C851" s="228"/>
      <c r="D851" s="228"/>
      <c r="E851" s="229"/>
      <c r="F851" s="229"/>
      <c r="G851" s="229"/>
      <c r="H851" s="250"/>
      <c r="I851" s="251"/>
      <c r="J851" s="251"/>
      <c r="K851" s="252"/>
      <c r="L851" s="229"/>
      <c r="M851" s="229"/>
      <c r="N851" s="229"/>
      <c r="O851" s="229"/>
      <c r="P851" s="229"/>
      <c r="Q851" s="229"/>
      <c r="R851" s="229"/>
      <c r="S851" s="229"/>
      <c r="T851" s="229"/>
      <c r="U851" s="229"/>
      <c r="V851" s="229"/>
    </row>
    <row r="852" spans="2:22" x14ac:dyDescent="0.3">
      <c r="B852" s="229"/>
      <c r="C852" s="228"/>
      <c r="D852" s="228"/>
      <c r="E852" s="229"/>
      <c r="F852" s="229"/>
      <c r="G852" s="229"/>
      <c r="H852" s="250"/>
      <c r="I852" s="251"/>
      <c r="J852" s="251"/>
      <c r="K852" s="252"/>
      <c r="L852" s="229"/>
      <c r="M852" s="229"/>
      <c r="N852" s="229"/>
      <c r="O852" s="229"/>
      <c r="P852" s="229"/>
      <c r="Q852" s="229"/>
      <c r="R852" s="229"/>
      <c r="S852" s="229"/>
      <c r="T852" s="229"/>
      <c r="U852" s="229"/>
      <c r="V852" s="229"/>
    </row>
    <row r="853" spans="2:22" x14ac:dyDescent="0.3">
      <c r="B853" s="229"/>
      <c r="C853" s="228"/>
      <c r="D853" s="228"/>
      <c r="E853" s="229"/>
      <c r="F853" s="229"/>
      <c r="G853" s="229"/>
      <c r="H853" s="250"/>
      <c r="I853" s="251"/>
      <c r="J853" s="251"/>
      <c r="K853" s="252"/>
      <c r="L853" s="229"/>
      <c r="M853" s="229"/>
      <c r="N853" s="229"/>
      <c r="O853" s="229"/>
      <c r="P853" s="229"/>
      <c r="Q853" s="229"/>
      <c r="R853" s="229"/>
      <c r="S853" s="229"/>
      <c r="T853" s="229"/>
      <c r="U853" s="229"/>
      <c r="V853" s="229"/>
    </row>
    <row r="854" spans="2:22" x14ac:dyDescent="0.3">
      <c r="B854" s="229"/>
      <c r="C854" s="228"/>
      <c r="D854" s="228"/>
      <c r="E854" s="229"/>
      <c r="F854" s="229"/>
      <c r="G854" s="229"/>
      <c r="H854" s="250"/>
      <c r="I854" s="251"/>
      <c r="J854" s="251"/>
      <c r="K854" s="252"/>
      <c r="L854" s="229"/>
      <c r="M854" s="229"/>
      <c r="N854" s="229"/>
      <c r="O854" s="229"/>
      <c r="P854" s="229"/>
      <c r="Q854" s="229"/>
      <c r="R854" s="229"/>
      <c r="S854" s="229"/>
      <c r="T854" s="229"/>
      <c r="U854" s="229"/>
      <c r="V854" s="229"/>
    </row>
    <row r="855" spans="2:22" x14ac:dyDescent="0.3">
      <c r="B855" s="229"/>
      <c r="C855" s="228"/>
      <c r="D855" s="228"/>
      <c r="E855" s="229"/>
      <c r="F855" s="229"/>
      <c r="G855" s="229"/>
      <c r="H855" s="250"/>
      <c r="I855" s="251"/>
      <c r="J855" s="251"/>
      <c r="K855" s="252"/>
      <c r="L855" s="229"/>
      <c r="M855" s="229"/>
      <c r="N855" s="229"/>
      <c r="O855" s="229"/>
      <c r="P855" s="229"/>
      <c r="Q855" s="229"/>
      <c r="R855" s="229"/>
      <c r="S855" s="229"/>
      <c r="T855" s="229"/>
      <c r="U855" s="229"/>
      <c r="V855" s="229"/>
    </row>
    <row r="856" spans="2:22" x14ac:dyDescent="0.3">
      <c r="B856" s="229"/>
      <c r="C856" s="228"/>
      <c r="D856" s="228"/>
      <c r="E856" s="229"/>
      <c r="F856" s="229"/>
      <c r="G856" s="229"/>
      <c r="H856" s="250"/>
      <c r="I856" s="251"/>
      <c r="J856" s="251"/>
      <c r="K856" s="252"/>
      <c r="L856" s="229"/>
      <c r="M856" s="229"/>
      <c r="N856" s="229"/>
      <c r="O856" s="229"/>
      <c r="P856" s="229"/>
      <c r="Q856" s="229"/>
      <c r="R856" s="229"/>
      <c r="S856" s="229"/>
      <c r="T856" s="229"/>
      <c r="U856" s="229"/>
      <c r="V856" s="229"/>
    </row>
    <row r="857" spans="2:22" x14ac:dyDescent="0.3">
      <c r="B857" s="229"/>
      <c r="C857" s="228"/>
      <c r="D857" s="228"/>
      <c r="E857" s="229"/>
      <c r="F857" s="229"/>
      <c r="G857" s="229"/>
      <c r="H857" s="250"/>
      <c r="I857" s="251"/>
      <c r="J857" s="251"/>
      <c r="K857" s="252"/>
      <c r="L857" s="229"/>
      <c r="M857" s="229"/>
      <c r="N857" s="229"/>
      <c r="O857" s="229"/>
      <c r="P857" s="229"/>
      <c r="Q857" s="229"/>
      <c r="R857" s="229"/>
      <c r="S857" s="229"/>
      <c r="T857" s="229"/>
      <c r="U857" s="229"/>
      <c r="V857" s="229"/>
    </row>
    <row r="858" spans="2:22" x14ac:dyDescent="0.3">
      <c r="B858" s="229"/>
      <c r="C858" s="228"/>
      <c r="D858" s="228"/>
      <c r="E858" s="229"/>
      <c r="F858" s="229"/>
      <c r="G858" s="229"/>
      <c r="H858" s="250"/>
      <c r="I858" s="251"/>
      <c r="J858" s="251"/>
      <c r="K858" s="252"/>
      <c r="L858" s="229"/>
      <c r="M858" s="229"/>
      <c r="N858" s="229"/>
      <c r="O858" s="229"/>
      <c r="P858" s="229"/>
      <c r="Q858" s="229"/>
      <c r="R858" s="229"/>
      <c r="S858" s="229"/>
      <c r="T858" s="229"/>
      <c r="U858" s="229"/>
      <c r="V858" s="229"/>
    </row>
    <row r="859" spans="2:22" x14ac:dyDescent="0.3">
      <c r="B859" s="229"/>
      <c r="C859" s="228"/>
      <c r="D859" s="228"/>
      <c r="E859" s="229"/>
      <c r="F859" s="229"/>
      <c r="G859" s="229"/>
      <c r="H859" s="250"/>
      <c r="I859" s="251"/>
      <c r="J859" s="251"/>
      <c r="K859" s="252"/>
      <c r="L859" s="229"/>
      <c r="M859" s="229"/>
      <c r="N859" s="229"/>
      <c r="O859" s="229"/>
      <c r="P859" s="229"/>
      <c r="Q859" s="229"/>
      <c r="R859" s="229"/>
      <c r="S859" s="229"/>
      <c r="T859" s="229"/>
      <c r="U859" s="229"/>
      <c r="V859" s="229"/>
    </row>
    <row r="860" spans="2:22" x14ac:dyDescent="0.3">
      <c r="B860" s="229"/>
      <c r="C860" s="228"/>
      <c r="D860" s="228"/>
      <c r="E860" s="229"/>
      <c r="F860" s="229"/>
      <c r="G860" s="229"/>
      <c r="H860" s="250"/>
      <c r="I860" s="251"/>
      <c r="J860" s="251"/>
      <c r="K860" s="252"/>
      <c r="L860" s="229"/>
      <c r="M860" s="229"/>
      <c r="N860" s="229"/>
      <c r="O860" s="229"/>
      <c r="P860" s="229"/>
      <c r="Q860" s="229"/>
      <c r="R860" s="229"/>
      <c r="S860" s="229"/>
      <c r="T860" s="229"/>
      <c r="U860" s="229"/>
      <c r="V860" s="229"/>
    </row>
    <row r="861" spans="2:22" x14ac:dyDescent="0.3">
      <c r="B861" s="229"/>
      <c r="C861" s="228"/>
      <c r="D861" s="228"/>
      <c r="E861" s="229"/>
      <c r="F861" s="229"/>
      <c r="G861" s="229"/>
      <c r="H861" s="250"/>
      <c r="I861" s="251"/>
      <c r="J861" s="251"/>
      <c r="K861" s="252"/>
      <c r="L861" s="229"/>
      <c r="M861" s="229"/>
      <c r="N861" s="229"/>
      <c r="O861" s="229"/>
      <c r="P861" s="229"/>
      <c r="Q861" s="229"/>
      <c r="R861" s="229"/>
      <c r="S861" s="229"/>
      <c r="T861" s="229"/>
      <c r="U861" s="229"/>
      <c r="V861" s="229"/>
    </row>
    <row r="862" spans="2:22" x14ac:dyDescent="0.3">
      <c r="B862" s="229"/>
      <c r="C862" s="228"/>
      <c r="D862" s="228"/>
      <c r="E862" s="229"/>
      <c r="F862" s="229"/>
      <c r="G862" s="229"/>
      <c r="H862" s="250"/>
      <c r="I862" s="251"/>
      <c r="J862" s="251"/>
      <c r="K862" s="252"/>
      <c r="L862" s="229"/>
      <c r="M862" s="229"/>
      <c r="N862" s="229"/>
      <c r="O862" s="229"/>
      <c r="P862" s="229"/>
      <c r="Q862" s="229"/>
      <c r="R862" s="229"/>
      <c r="S862" s="229"/>
      <c r="T862" s="229"/>
      <c r="U862" s="229"/>
      <c r="V862" s="229"/>
    </row>
    <row r="863" spans="2:22" x14ac:dyDescent="0.3">
      <c r="B863" s="229"/>
      <c r="C863" s="228"/>
      <c r="D863" s="228"/>
      <c r="E863" s="229"/>
      <c r="F863" s="229"/>
      <c r="G863" s="229"/>
      <c r="H863" s="250"/>
      <c r="I863" s="251"/>
      <c r="J863" s="251"/>
      <c r="K863" s="252"/>
      <c r="L863" s="229"/>
      <c r="M863" s="229"/>
      <c r="N863" s="229"/>
      <c r="O863" s="229"/>
      <c r="P863" s="229"/>
      <c r="Q863" s="229"/>
      <c r="R863" s="229"/>
      <c r="S863" s="229"/>
      <c r="T863" s="229"/>
      <c r="U863" s="229"/>
      <c r="V863" s="229"/>
    </row>
    <row r="864" spans="2:22" x14ac:dyDescent="0.3">
      <c r="B864" s="229"/>
      <c r="C864" s="228"/>
      <c r="D864" s="228"/>
      <c r="E864" s="229"/>
      <c r="F864" s="229"/>
      <c r="G864" s="229"/>
      <c r="H864" s="250"/>
      <c r="I864" s="251"/>
      <c r="J864" s="251"/>
      <c r="K864" s="252"/>
      <c r="L864" s="229"/>
      <c r="M864" s="229"/>
      <c r="N864" s="229"/>
      <c r="O864" s="229"/>
      <c r="P864" s="229"/>
      <c r="Q864" s="229"/>
      <c r="R864" s="229"/>
      <c r="S864" s="229"/>
      <c r="T864" s="229"/>
      <c r="U864" s="229"/>
      <c r="V864" s="229"/>
    </row>
    <row r="865" spans="2:22" x14ac:dyDescent="0.3">
      <c r="B865" s="229"/>
      <c r="C865" s="228"/>
      <c r="D865" s="228"/>
      <c r="E865" s="229"/>
      <c r="F865" s="229"/>
      <c r="G865" s="229"/>
      <c r="H865" s="250"/>
      <c r="I865" s="251"/>
      <c r="J865" s="251"/>
      <c r="K865" s="252"/>
      <c r="L865" s="229"/>
      <c r="M865" s="229"/>
      <c r="N865" s="229"/>
      <c r="O865" s="229"/>
      <c r="P865" s="229"/>
      <c r="Q865" s="229"/>
      <c r="R865" s="229"/>
      <c r="S865" s="229"/>
      <c r="T865" s="229"/>
      <c r="U865" s="229"/>
      <c r="V865" s="229"/>
    </row>
    <row r="866" spans="2:22" x14ac:dyDescent="0.3">
      <c r="B866" s="229"/>
      <c r="C866" s="228"/>
      <c r="D866" s="228"/>
      <c r="E866" s="229"/>
      <c r="F866" s="229"/>
      <c r="G866" s="229"/>
      <c r="H866" s="250"/>
      <c r="I866" s="251"/>
      <c r="J866" s="251"/>
      <c r="K866" s="252"/>
      <c r="L866" s="229"/>
      <c r="M866" s="229"/>
      <c r="N866" s="229"/>
      <c r="O866" s="229"/>
      <c r="P866" s="229"/>
      <c r="Q866" s="229"/>
      <c r="R866" s="229"/>
      <c r="S866" s="229"/>
      <c r="T866" s="229"/>
      <c r="U866" s="229"/>
      <c r="V866" s="229"/>
    </row>
    <row r="867" spans="2:22" x14ac:dyDescent="0.3">
      <c r="B867" s="229"/>
      <c r="C867" s="228"/>
      <c r="D867" s="228"/>
      <c r="E867" s="229"/>
      <c r="F867" s="229"/>
      <c r="G867" s="229"/>
      <c r="H867" s="250"/>
      <c r="I867" s="251"/>
      <c r="J867" s="251"/>
      <c r="K867" s="252"/>
      <c r="L867" s="229"/>
      <c r="M867" s="229"/>
      <c r="N867" s="229"/>
      <c r="O867" s="229"/>
      <c r="P867" s="229"/>
      <c r="Q867" s="229"/>
      <c r="R867" s="229"/>
      <c r="S867" s="229"/>
      <c r="T867" s="229"/>
      <c r="U867" s="229"/>
      <c r="V867" s="229"/>
    </row>
    <row r="868" spans="2:22" x14ac:dyDescent="0.3">
      <c r="B868" s="229"/>
      <c r="C868" s="228"/>
      <c r="D868" s="228"/>
      <c r="E868" s="229"/>
      <c r="F868" s="229"/>
      <c r="G868" s="229"/>
      <c r="H868" s="250"/>
      <c r="I868" s="251"/>
      <c r="J868" s="251"/>
      <c r="K868" s="252"/>
      <c r="L868" s="229"/>
      <c r="M868" s="229"/>
      <c r="N868" s="229"/>
      <c r="O868" s="229"/>
      <c r="P868" s="229"/>
      <c r="Q868" s="229"/>
      <c r="R868" s="229"/>
      <c r="S868" s="229"/>
      <c r="T868" s="229"/>
      <c r="U868" s="229"/>
      <c r="V868" s="229"/>
    </row>
    <row r="869" spans="2:22" x14ac:dyDescent="0.3">
      <c r="B869" s="229"/>
      <c r="C869" s="228"/>
      <c r="D869" s="228"/>
      <c r="E869" s="229"/>
      <c r="F869" s="229"/>
      <c r="G869" s="229"/>
      <c r="H869" s="250"/>
      <c r="I869" s="251"/>
      <c r="J869" s="251"/>
      <c r="K869" s="252"/>
      <c r="L869" s="229"/>
      <c r="M869" s="229"/>
      <c r="N869" s="229"/>
      <c r="O869" s="229"/>
      <c r="P869" s="229"/>
      <c r="Q869" s="229"/>
      <c r="R869" s="229"/>
      <c r="S869" s="229"/>
      <c r="T869" s="229"/>
      <c r="U869" s="229"/>
      <c r="V869" s="229"/>
    </row>
    <row r="870" spans="2:22" x14ac:dyDescent="0.3">
      <c r="B870" s="229"/>
      <c r="C870" s="228"/>
      <c r="D870" s="228"/>
      <c r="E870" s="229"/>
      <c r="F870" s="229"/>
      <c r="G870" s="229"/>
      <c r="H870" s="250"/>
      <c r="I870" s="251"/>
      <c r="J870" s="251"/>
      <c r="K870" s="252"/>
      <c r="L870" s="229"/>
      <c r="M870" s="229"/>
      <c r="N870" s="229"/>
      <c r="O870" s="229"/>
      <c r="P870" s="229"/>
      <c r="Q870" s="229"/>
      <c r="R870" s="229"/>
      <c r="S870" s="229"/>
      <c r="T870" s="229"/>
      <c r="U870" s="229"/>
      <c r="V870" s="229"/>
    </row>
    <row r="871" spans="2:22" x14ac:dyDescent="0.3">
      <c r="B871" s="229"/>
      <c r="C871" s="228"/>
      <c r="D871" s="228"/>
      <c r="E871" s="229"/>
      <c r="F871" s="229"/>
      <c r="G871" s="229"/>
      <c r="H871" s="250"/>
      <c r="I871" s="251"/>
      <c r="J871" s="251"/>
      <c r="K871" s="252"/>
      <c r="L871" s="229"/>
      <c r="M871" s="229"/>
      <c r="N871" s="229"/>
      <c r="O871" s="229"/>
      <c r="P871" s="229"/>
      <c r="Q871" s="229"/>
      <c r="R871" s="229"/>
      <c r="S871" s="229"/>
      <c r="T871" s="229"/>
      <c r="U871" s="229"/>
      <c r="V871" s="229"/>
    </row>
    <row r="872" spans="2:22" x14ac:dyDescent="0.3">
      <c r="B872" s="229"/>
      <c r="C872" s="228"/>
      <c r="D872" s="228"/>
      <c r="E872" s="229"/>
      <c r="F872" s="229"/>
      <c r="G872" s="229"/>
      <c r="H872" s="250"/>
      <c r="I872" s="251"/>
      <c r="J872" s="251"/>
      <c r="K872" s="252"/>
      <c r="L872" s="229"/>
      <c r="M872" s="229"/>
      <c r="N872" s="229"/>
      <c r="O872" s="229"/>
      <c r="P872" s="229"/>
      <c r="Q872" s="229"/>
      <c r="R872" s="229"/>
      <c r="S872" s="229"/>
      <c r="T872" s="229"/>
      <c r="U872" s="229"/>
      <c r="V872" s="229"/>
    </row>
    <row r="873" spans="2:22" x14ac:dyDescent="0.3">
      <c r="B873" s="229"/>
      <c r="C873" s="228"/>
      <c r="D873" s="228"/>
      <c r="E873" s="229"/>
      <c r="F873" s="229"/>
      <c r="G873" s="229"/>
      <c r="H873" s="250"/>
      <c r="I873" s="251"/>
      <c r="J873" s="251"/>
      <c r="K873" s="252"/>
      <c r="L873" s="229"/>
      <c r="M873" s="229"/>
      <c r="N873" s="229"/>
      <c r="O873" s="229"/>
      <c r="P873" s="229"/>
      <c r="Q873" s="229"/>
      <c r="R873" s="229"/>
      <c r="S873" s="229"/>
      <c r="T873" s="229"/>
      <c r="U873" s="229"/>
      <c r="V873" s="229"/>
    </row>
    <row r="874" spans="2:22" x14ac:dyDescent="0.3">
      <c r="B874" s="229"/>
      <c r="C874" s="228"/>
      <c r="D874" s="228"/>
      <c r="E874" s="229"/>
      <c r="F874" s="229"/>
      <c r="G874" s="229"/>
      <c r="H874" s="250"/>
      <c r="I874" s="251"/>
      <c r="J874" s="251"/>
      <c r="K874" s="252"/>
      <c r="L874" s="229"/>
      <c r="M874" s="229"/>
      <c r="N874" s="229"/>
      <c r="O874" s="229"/>
      <c r="P874" s="229"/>
      <c r="Q874" s="229"/>
      <c r="R874" s="229"/>
      <c r="S874" s="229"/>
      <c r="T874" s="229"/>
      <c r="U874" s="229"/>
      <c r="V874" s="229"/>
    </row>
    <row r="875" spans="2:22" x14ac:dyDescent="0.3">
      <c r="B875" s="229"/>
      <c r="C875" s="228"/>
      <c r="D875" s="228"/>
      <c r="E875" s="229"/>
      <c r="F875" s="229"/>
      <c r="G875" s="229"/>
      <c r="H875" s="250"/>
      <c r="I875" s="251"/>
      <c r="J875" s="251"/>
      <c r="K875" s="252"/>
      <c r="L875" s="229"/>
      <c r="M875" s="229"/>
      <c r="N875" s="229"/>
      <c r="O875" s="229"/>
      <c r="P875" s="229"/>
      <c r="Q875" s="229"/>
      <c r="R875" s="229"/>
      <c r="S875" s="229"/>
      <c r="T875" s="229"/>
      <c r="U875" s="229"/>
      <c r="V875" s="229"/>
    </row>
    <row r="876" spans="2:22" x14ac:dyDescent="0.3">
      <c r="B876" s="229"/>
      <c r="C876" s="228"/>
      <c r="D876" s="228"/>
      <c r="E876" s="229"/>
      <c r="F876" s="229"/>
      <c r="G876" s="229"/>
      <c r="H876" s="250"/>
      <c r="I876" s="251"/>
      <c r="J876" s="251"/>
      <c r="K876" s="252"/>
      <c r="L876" s="229"/>
      <c r="M876" s="229"/>
      <c r="N876" s="229"/>
      <c r="O876" s="229"/>
      <c r="P876" s="229"/>
      <c r="Q876" s="229"/>
      <c r="R876" s="229"/>
      <c r="S876" s="229"/>
      <c r="T876" s="229"/>
      <c r="U876" s="229"/>
      <c r="V876" s="229"/>
    </row>
    <row r="877" spans="2:22" x14ac:dyDescent="0.3">
      <c r="B877" s="229"/>
      <c r="C877" s="228"/>
      <c r="D877" s="228"/>
      <c r="E877" s="229"/>
      <c r="F877" s="229"/>
      <c r="G877" s="229"/>
      <c r="H877" s="250"/>
      <c r="I877" s="251"/>
      <c r="J877" s="251"/>
      <c r="K877" s="252"/>
      <c r="L877" s="229"/>
      <c r="M877" s="229"/>
      <c r="N877" s="229"/>
      <c r="O877" s="229"/>
      <c r="P877" s="229"/>
      <c r="Q877" s="229"/>
      <c r="R877" s="229"/>
      <c r="S877" s="229"/>
      <c r="T877" s="229"/>
      <c r="U877" s="229"/>
      <c r="V877" s="229"/>
    </row>
    <row r="878" spans="2:22" x14ac:dyDescent="0.3">
      <c r="B878" s="229"/>
      <c r="C878" s="228"/>
      <c r="D878" s="228"/>
      <c r="E878" s="229"/>
      <c r="F878" s="229"/>
      <c r="G878" s="229"/>
      <c r="H878" s="250"/>
      <c r="I878" s="251"/>
      <c r="J878" s="251"/>
      <c r="K878" s="252"/>
      <c r="L878" s="229"/>
      <c r="M878" s="229"/>
      <c r="N878" s="229"/>
      <c r="O878" s="229"/>
      <c r="P878" s="229"/>
      <c r="Q878" s="229"/>
      <c r="R878" s="229"/>
      <c r="S878" s="229"/>
      <c r="T878" s="229"/>
      <c r="U878" s="229"/>
      <c r="V878" s="229"/>
    </row>
    <row r="879" spans="2:22" x14ac:dyDescent="0.3">
      <c r="B879" s="229"/>
      <c r="C879" s="228"/>
      <c r="D879" s="228"/>
      <c r="E879" s="229"/>
      <c r="F879" s="229"/>
      <c r="G879" s="229"/>
      <c r="H879" s="250"/>
      <c r="I879" s="251"/>
      <c r="J879" s="251"/>
      <c r="K879" s="252"/>
      <c r="L879" s="229"/>
      <c r="M879" s="229"/>
      <c r="N879" s="229"/>
      <c r="O879" s="229"/>
      <c r="P879" s="229"/>
      <c r="Q879" s="229"/>
      <c r="R879" s="229"/>
      <c r="S879" s="229"/>
      <c r="T879" s="229"/>
      <c r="U879" s="229"/>
      <c r="V879" s="229"/>
    </row>
    <row r="880" spans="2:22" x14ac:dyDescent="0.3">
      <c r="B880" s="229"/>
      <c r="C880" s="228"/>
      <c r="D880" s="228"/>
      <c r="E880" s="229"/>
      <c r="F880" s="229"/>
      <c r="G880" s="229"/>
      <c r="H880" s="250"/>
      <c r="I880" s="251"/>
      <c r="J880" s="251"/>
      <c r="K880" s="252"/>
      <c r="L880" s="229"/>
      <c r="M880" s="229"/>
      <c r="N880" s="229"/>
      <c r="O880" s="229"/>
      <c r="P880" s="229"/>
      <c r="Q880" s="229"/>
      <c r="R880" s="229"/>
      <c r="S880" s="229"/>
      <c r="T880" s="229"/>
      <c r="U880" s="229"/>
      <c r="V880" s="229"/>
    </row>
    <row r="881" spans="2:22" x14ac:dyDescent="0.3">
      <c r="B881" s="229"/>
      <c r="C881" s="228"/>
      <c r="D881" s="228"/>
      <c r="E881" s="229"/>
      <c r="F881" s="229"/>
      <c r="G881" s="229"/>
      <c r="H881" s="250"/>
      <c r="I881" s="251"/>
      <c r="J881" s="251"/>
      <c r="K881" s="252"/>
      <c r="L881" s="229"/>
      <c r="M881" s="229"/>
      <c r="N881" s="229"/>
      <c r="O881" s="229"/>
      <c r="P881" s="229"/>
      <c r="Q881" s="229"/>
      <c r="R881" s="229"/>
      <c r="S881" s="229"/>
      <c r="T881" s="229"/>
      <c r="U881" s="229"/>
      <c r="V881" s="229"/>
    </row>
    <row r="882" spans="2:22" x14ac:dyDescent="0.3">
      <c r="B882" s="229"/>
      <c r="C882" s="228"/>
      <c r="D882" s="228"/>
      <c r="E882" s="229"/>
      <c r="F882" s="229"/>
      <c r="G882" s="229"/>
      <c r="H882" s="250"/>
      <c r="I882" s="251"/>
      <c r="J882" s="251"/>
      <c r="K882" s="252"/>
      <c r="L882" s="229"/>
      <c r="M882" s="229"/>
      <c r="N882" s="229"/>
      <c r="O882" s="229"/>
      <c r="P882" s="229"/>
      <c r="Q882" s="229"/>
      <c r="R882" s="229"/>
      <c r="S882" s="229"/>
      <c r="T882" s="229"/>
      <c r="U882" s="229"/>
      <c r="V882" s="229"/>
    </row>
    <row r="883" spans="2:22" x14ac:dyDescent="0.3">
      <c r="B883" s="229"/>
      <c r="C883" s="228"/>
      <c r="D883" s="228"/>
      <c r="E883" s="229"/>
      <c r="F883" s="229"/>
      <c r="G883" s="229"/>
      <c r="H883" s="250"/>
      <c r="I883" s="251"/>
      <c r="J883" s="251"/>
      <c r="K883" s="252"/>
      <c r="L883" s="229"/>
      <c r="M883" s="229"/>
      <c r="N883" s="229"/>
      <c r="O883" s="229"/>
      <c r="P883" s="229"/>
      <c r="Q883" s="229"/>
      <c r="R883" s="229"/>
      <c r="S883" s="229"/>
      <c r="T883" s="229"/>
      <c r="U883" s="229"/>
      <c r="V883" s="229"/>
    </row>
    <row r="884" spans="2:22" x14ac:dyDescent="0.3">
      <c r="B884" s="229"/>
      <c r="C884" s="228"/>
      <c r="D884" s="228"/>
      <c r="E884" s="229"/>
      <c r="F884" s="229"/>
      <c r="G884" s="229"/>
      <c r="H884" s="250"/>
      <c r="I884" s="251"/>
      <c r="J884" s="251"/>
      <c r="K884" s="252"/>
      <c r="L884" s="229"/>
      <c r="M884" s="229"/>
      <c r="N884" s="229"/>
      <c r="O884" s="229"/>
      <c r="P884" s="229"/>
      <c r="Q884" s="229"/>
      <c r="R884" s="229"/>
      <c r="S884" s="229"/>
      <c r="T884" s="229"/>
      <c r="U884" s="229"/>
      <c r="V884" s="229"/>
    </row>
    <row r="885" spans="2:22" x14ac:dyDescent="0.3">
      <c r="B885" s="229"/>
      <c r="C885" s="228"/>
      <c r="D885" s="228"/>
      <c r="E885" s="229"/>
      <c r="F885" s="229"/>
      <c r="G885" s="229"/>
      <c r="H885" s="250"/>
      <c r="I885" s="251"/>
      <c r="J885" s="251"/>
      <c r="K885" s="252"/>
      <c r="L885" s="229"/>
      <c r="M885" s="229"/>
      <c r="N885" s="229"/>
      <c r="O885" s="229"/>
      <c r="P885" s="229"/>
      <c r="Q885" s="229"/>
      <c r="R885" s="229"/>
      <c r="S885" s="229"/>
      <c r="T885" s="229"/>
      <c r="U885" s="229"/>
      <c r="V885" s="229"/>
    </row>
    <row r="886" spans="2:22" x14ac:dyDescent="0.3">
      <c r="B886" s="229"/>
      <c r="C886" s="228"/>
      <c r="D886" s="228"/>
      <c r="E886" s="229"/>
      <c r="F886" s="229"/>
      <c r="G886" s="229"/>
      <c r="H886" s="250"/>
      <c r="I886" s="251"/>
      <c r="J886" s="251"/>
      <c r="K886" s="252"/>
      <c r="L886" s="229"/>
      <c r="M886" s="229"/>
      <c r="N886" s="229"/>
      <c r="O886" s="229"/>
      <c r="P886" s="229"/>
      <c r="Q886" s="229"/>
      <c r="R886" s="229"/>
      <c r="S886" s="229"/>
      <c r="T886" s="229"/>
      <c r="U886" s="229"/>
      <c r="V886" s="229"/>
    </row>
    <row r="887" spans="2:22" x14ac:dyDescent="0.3">
      <c r="B887" s="229"/>
      <c r="C887" s="228"/>
      <c r="D887" s="228"/>
      <c r="E887" s="229"/>
      <c r="F887" s="229"/>
      <c r="G887" s="229"/>
      <c r="H887" s="250"/>
      <c r="I887" s="251"/>
      <c r="J887" s="251"/>
      <c r="K887" s="252"/>
      <c r="L887" s="229"/>
      <c r="M887" s="229"/>
      <c r="N887" s="229"/>
      <c r="O887" s="229"/>
      <c r="P887" s="229"/>
      <c r="Q887" s="229"/>
      <c r="R887" s="229"/>
      <c r="S887" s="229"/>
      <c r="T887" s="229"/>
      <c r="U887" s="229"/>
      <c r="V887" s="229"/>
    </row>
    <row r="888" spans="2:22" x14ac:dyDescent="0.3">
      <c r="B888" s="229"/>
      <c r="C888" s="228"/>
      <c r="D888" s="228"/>
      <c r="E888" s="229"/>
      <c r="F888" s="229"/>
      <c r="G888" s="229"/>
      <c r="H888" s="250"/>
      <c r="I888" s="251"/>
      <c r="J888" s="251"/>
      <c r="K888" s="252"/>
      <c r="L888" s="229"/>
      <c r="M888" s="229"/>
      <c r="N888" s="229"/>
      <c r="O888" s="229"/>
      <c r="P888" s="229"/>
      <c r="Q888" s="229"/>
      <c r="R888" s="229"/>
      <c r="S888" s="229"/>
      <c r="T888" s="229"/>
      <c r="U888" s="229"/>
      <c r="V888" s="229"/>
    </row>
    <row r="889" spans="2:22" x14ac:dyDescent="0.3">
      <c r="B889" s="229"/>
      <c r="C889" s="228"/>
      <c r="D889" s="228"/>
      <c r="E889" s="229"/>
      <c r="F889" s="229"/>
      <c r="G889" s="229"/>
      <c r="H889" s="250"/>
      <c r="I889" s="251"/>
      <c r="J889" s="251"/>
      <c r="K889" s="252"/>
      <c r="L889" s="229"/>
      <c r="M889" s="229"/>
      <c r="N889" s="229"/>
      <c r="O889" s="229"/>
      <c r="P889" s="229"/>
      <c r="Q889" s="229"/>
      <c r="R889" s="229"/>
      <c r="S889" s="229"/>
      <c r="T889" s="229"/>
      <c r="U889" s="229"/>
      <c r="V889" s="229"/>
    </row>
    <row r="890" spans="2:22" x14ac:dyDescent="0.3">
      <c r="B890" s="229"/>
      <c r="C890" s="228"/>
      <c r="D890" s="228"/>
      <c r="E890" s="229"/>
      <c r="F890" s="229"/>
      <c r="G890" s="229"/>
      <c r="H890" s="250"/>
      <c r="I890" s="251"/>
      <c r="J890" s="251"/>
      <c r="K890" s="252"/>
      <c r="L890" s="229"/>
      <c r="M890" s="229"/>
      <c r="N890" s="229"/>
      <c r="O890" s="229"/>
      <c r="P890" s="229"/>
      <c r="Q890" s="229"/>
      <c r="R890" s="229"/>
      <c r="S890" s="229"/>
      <c r="T890" s="229"/>
      <c r="U890" s="229"/>
      <c r="V890" s="229"/>
    </row>
    <row r="891" spans="2:22" x14ac:dyDescent="0.3">
      <c r="B891" s="229"/>
      <c r="C891" s="228"/>
      <c r="D891" s="228"/>
      <c r="E891" s="229"/>
      <c r="F891" s="229"/>
      <c r="G891" s="229"/>
      <c r="H891" s="250"/>
      <c r="I891" s="251"/>
      <c r="J891" s="251"/>
      <c r="K891" s="252"/>
      <c r="L891" s="229"/>
      <c r="M891" s="229"/>
      <c r="N891" s="229"/>
      <c r="O891" s="229"/>
      <c r="P891" s="229"/>
      <c r="Q891" s="229"/>
      <c r="R891" s="229"/>
      <c r="S891" s="229"/>
      <c r="T891" s="229"/>
      <c r="U891" s="229"/>
      <c r="V891" s="229"/>
    </row>
    <row r="892" spans="2:22" x14ac:dyDescent="0.3">
      <c r="B892" s="229"/>
      <c r="C892" s="228"/>
      <c r="D892" s="228"/>
      <c r="E892" s="229"/>
      <c r="F892" s="229"/>
      <c r="G892" s="229"/>
      <c r="H892" s="250"/>
      <c r="I892" s="251"/>
      <c r="J892" s="251"/>
      <c r="K892" s="252"/>
      <c r="L892" s="229"/>
      <c r="M892" s="229"/>
      <c r="N892" s="229"/>
      <c r="O892" s="229"/>
      <c r="P892" s="229"/>
      <c r="Q892" s="229"/>
      <c r="R892" s="229"/>
      <c r="S892" s="229"/>
      <c r="T892" s="229"/>
      <c r="U892" s="229"/>
      <c r="V892" s="229"/>
    </row>
    <row r="893" spans="2:22" x14ac:dyDescent="0.3">
      <c r="B893" s="229"/>
      <c r="C893" s="229"/>
      <c r="D893" s="229"/>
      <c r="E893" s="229"/>
      <c r="F893" s="229"/>
      <c r="G893" s="229"/>
      <c r="H893" s="250"/>
      <c r="I893" s="251"/>
      <c r="J893" s="251"/>
      <c r="K893" s="252"/>
      <c r="L893" s="229"/>
      <c r="M893" s="229"/>
      <c r="N893" s="229"/>
      <c r="O893" s="229"/>
      <c r="P893" s="229"/>
      <c r="Q893" s="229"/>
      <c r="R893" s="229"/>
      <c r="S893" s="229"/>
      <c r="T893" s="229"/>
      <c r="U893" s="229"/>
      <c r="V893" s="229"/>
    </row>
    <row r="894" spans="2:22" x14ac:dyDescent="0.3">
      <c r="B894" s="229"/>
      <c r="C894" s="229"/>
      <c r="D894" s="229"/>
      <c r="E894" s="229"/>
      <c r="F894" s="229"/>
      <c r="G894" s="229"/>
      <c r="H894" s="250"/>
      <c r="I894" s="251"/>
      <c r="J894" s="251"/>
      <c r="K894" s="252"/>
      <c r="L894" s="229"/>
      <c r="M894" s="229"/>
      <c r="N894" s="229"/>
      <c r="O894" s="229"/>
      <c r="P894" s="229"/>
      <c r="Q894" s="229"/>
      <c r="R894" s="229"/>
      <c r="S894" s="229"/>
      <c r="T894" s="229"/>
      <c r="U894" s="229"/>
      <c r="V894" s="229"/>
    </row>
    <row r="895" spans="2:22" x14ac:dyDescent="0.3">
      <c r="B895" s="229"/>
      <c r="C895" s="229"/>
      <c r="D895" s="229"/>
      <c r="E895" s="229"/>
      <c r="F895" s="229"/>
      <c r="G895" s="229"/>
      <c r="H895" s="250"/>
      <c r="I895" s="251"/>
      <c r="J895" s="251"/>
      <c r="K895" s="252"/>
      <c r="L895" s="229"/>
      <c r="M895" s="229"/>
      <c r="N895" s="229"/>
      <c r="O895" s="229"/>
      <c r="P895" s="229"/>
      <c r="Q895" s="229"/>
      <c r="R895" s="229"/>
      <c r="S895" s="229"/>
      <c r="T895" s="229"/>
      <c r="U895" s="229"/>
      <c r="V895" s="229"/>
    </row>
    <row r="896" spans="2:22" x14ac:dyDescent="0.3">
      <c r="B896" s="229"/>
      <c r="C896" s="229"/>
      <c r="D896" s="229"/>
      <c r="E896" s="229"/>
      <c r="F896" s="229"/>
      <c r="G896" s="229"/>
      <c r="H896" s="250"/>
      <c r="I896" s="251"/>
      <c r="J896" s="251"/>
      <c r="K896" s="252"/>
      <c r="L896" s="229"/>
      <c r="M896" s="229"/>
      <c r="N896" s="229"/>
      <c r="O896" s="229"/>
      <c r="P896" s="229"/>
      <c r="Q896" s="229"/>
      <c r="R896" s="229"/>
      <c r="S896" s="229"/>
      <c r="T896" s="229"/>
      <c r="U896" s="229"/>
      <c r="V896" s="229"/>
    </row>
    <row r="897" spans="2:22" x14ac:dyDescent="0.3">
      <c r="B897" s="229"/>
      <c r="C897" s="229"/>
      <c r="D897" s="229"/>
      <c r="E897" s="229"/>
      <c r="F897" s="229"/>
      <c r="G897" s="229"/>
      <c r="H897" s="250"/>
      <c r="I897" s="251"/>
      <c r="J897" s="251"/>
      <c r="K897" s="252"/>
      <c r="L897" s="229"/>
      <c r="M897" s="229"/>
      <c r="N897" s="229"/>
      <c r="O897" s="229"/>
      <c r="P897" s="229"/>
      <c r="Q897" s="229"/>
      <c r="R897" s="229"/>
      <c r="S897" s="229"/>
      <c r="T897" s="229"/>
      <c r="U897" s="229"/>
      <c r="V897" s="229"/>
    </row>
    <row r="898" spans="2:22" x14ac:dyDescent="0.3">
      <c r="B898" s="229"/>
      <c r="C898" s="229"/>
      <c r="D898" s="229"/>
      <c r="E898" s="229"/>
      <c r="F898" s="229"/>
      <c r="G898" s="229"/>
      <c r="H898" s="250"/>
      <c r="I898" s="251"/>
      <c r="J898" s="251"/>
      <c r="K898" s="252"/>
      <c r="L898" s="229"/>
      <c r="M898" s="229"/>
      <c r="N898" s="229"/>
      <c r="O898" s="229"/>
      <c r="P898" s="229"/>
      <c r="Q898" s="229"/>
      <c r="R898" s="229"/>
      <c r="S898" s="229"/>
      <c r="T898" s="229"/>
      <c r="U898" s="229"/>
      <c r="V898" s="229"/>
    </row>
    <row r="899" spans="2:22" x14ac:dyDescent="0.3">
      <c r="B899" s="229"/>
      <c r="C899" s="229"/>
      <c r="D899" s="229"/>
      <c r="E899" s="229"/>
      <c r="F899" s="229"/>
      <c r="G899" s="229"/>
      <c r="H899" s="250"/>
      <c r="I899" s="251"/>
      <c r="J899" s="251"/>
      <c r="K899" s="252"/>
      <c r="L899" s="229"/>
      <c r="M899" s="229"/>
      <c r="N899" s="229"/>
      <c r="O899" s="229"/>
      <c r="P899" s="229"/>
      <c r="Q899" s="229"/>
      <c r="R899" s="229"/>
      <c r="S899" s="229"/>
      <c r="T899" s="229"/>
      <c r="U899" s="229"/>
      <c r="V899" s="229"/>
    </row>
    <row r="900" spans="2:22" x14ac:dyDescent="0.3">
      <c r="B900" s="229"/>
      <c r="C900" s="229"/>
      <c r="D900" s="229"/>
      <c r="E900" s="229"/>
      <c r="F900" s="229"/>
      <c r="G900" s="229"/>
      <c r="H900" s="250"/>
      <c r="I900" s="251"/>
      <c r="J900" s="251"/>
      <c r="K900" s="252"/>
      <c r="L900" s="229"/>
      <c r="M900" s="229"/>
      <c r="N900" s="229"/>
      <c r="O900" s="229"/>
      <c r="P900" s="229"/>
      <c r="Q900" s="229"/>
      <c r="R900" s="229"/>
      <c r="S900" s="229"/>
      <c r="T900" s="229"/>
      <c r="U900" s="229"/>
      <c r="V900" s="229"/>
    </row>
    <row r="901" spans="2:22" x14ac:dyDescent="0.3">
      <c r="B901" s="229"/>
      <c r="C901" s="229"/>
      <c r="D901" s="229"/>
      <c r="E901" s="229"/>
      <c r="F901" s="229"/>
      <c r="G901" s="229"/>
      <c r="H901" s="250"/>
      <c r="I901" s="251"/>
      <c r="J901" s="251"/>
      <c r="K901" s="252"/>
      <c r="L901" s="229"/>
      <c r="M901" s="229"/>
      <c r="N901" s="229"/>
      <c r="O901" s="229"/>
      <c r="P901" s="229"/>
      <c r="Q901" s="229"/>
      <c r="R901" s="229"/>
      <c r="S901" s="229"/>
      <c r="T901" s="229"/>
      <c r="U901" s="229"/>
      <c r="V901" s="229"/>
    </row>
    <row r="902" spans="2:22" x14ac:dyDescent="0.3">
      <c r="H902" s="250"/>
      <c r="I902" s="251"/>
      <c r="J902" s="251"/>
      <c r="K902" s="252"/>
      <c r="L902" s="229"/>
      <c r="M902" s="229"/>
      <c r="N902" s="229"/>
      <c r="O902" s="229"/>
      <c r="P902" s="229"/>
      <c r="Q902" s="229"/>
      <c r="R902" s="229"/>
      <c r="S902" s="229"/>
      <c r="T902" s="229"/>
      <c r="U902" s="229"/>
      <c r="V902" s="229"/>
    </row>
    <row r="903" spans="2:22" x14ac:dyDescent="0.3">
      <c r="H903" s="250"/>
      <c r="I903" s="251"/>
      <c r="J903" s="251"/>
      <c r="K903" s="252"/>
      <c r="L903" s="229"/>
      <c r="M903" s="229"/>
      <c r="N903" s="229"/>
      <c r="O903" s="229"/>
      <c r="P903" s="229"/>
      <c r="Q903" s="229"/>
      <c r="R903" s="229"/>
      <c r="S903" s="229"/>
      <c r="T903" s="229"/>
      <c r="U903" s="229"/>
      <c r="V903" s="229"/>
    </row>
    <row r="904" spans="2:22" x14ac:dyDescent="0.3">
      <c r="H904" s="250"/>
      <c r="I904" s="251"/>
      <c r="J904" s="251"/>
      <c r="K904" s="252"/>
      <c r="L904" s="229"/>
      <c r="M904" s="229"/>
      <c r="N904" s="229"/>
      <c r="O904" s="229"/>
      <c r="P904" s="229"/>
      <c r="Q904" s="229"/>
      <c r="R904" s="229"/>
      <c r="S904" s="229"/>
      <c r="T904" s="229"/>
      <c r="U904" s="229"/>
      <c r="V904" s="229"/>
    </row>
    <row r="905" spans="2:22" x14ac:dyDescent="0.3">
      <c r="H905" s="250"/>
      <c r="I905" s="251"/>
      <c r="J905" s="251"/>
      <c r="K905" s="252"/>
      <c r="L905" s="229"/>
      <c r="M905" s="229"/>
      <c r="N905" s="229"/>
      <c r="O905" s="229"/>
      <c r="P905" s="229"/>
      <c r="Q905" s="229"/>
      <c r="R905" s="229"/>
      <c r="S905" s="229"/>
      <c r="T905" s="229"/>
      <c r="U905" s="229"/>
      <c r="V905" s="229"/>
    </row>
    <row r="906" spans="2:22" x14ac:dyDescent="0.3">
      <c r="H906" s="250"/>
      <c r="I906" s="251"/>
      <c r="J906" s="251"/>
      <c r="K906" s="252"/>
      <c r="L906" s="229"/>
      <c r="M906" s="229"/>
      <c r="N906" s="229"/>
      <c r="O906" s="229"/>
      <c r="P906" s="229"/>
      <c r="Q906" s="229"/>
      <c r="R906" s="229"/>
      <c r="S906" s="229"/>
      <c r="T906" s="229"/>
      <c r="U906" s="229"/>
      <c r="V906" s="229"/>
    </row>
    <row r="907" spans="2:22" x14ac:dyDescent="0.3">
      <c r="H907" s="250"/>
      <c r="I907" s="251"/>
      <c r="J907" s="251"/>
      <c r="K907" s="252"/>
      <c r="L907" s="229"/>
      <c r="M907" s="229"/>
      <c r="N907" s="229"/>
      <c r="O907" s="229"/>
      <c r="P907" s="229"/>
      <c r="Q907" s="229"/>
      <c r="R907" s="229"/>
      <c r="S907" s="229"/>
      <c r="T907" s="229"/>
      <c r="U907" s="229"/>
      <c r="V907" s="229"/>
    </row>
    <row r="908" spans="2:22" x14ac:dyDescent="0.3">
      <c r="H908" s="250"/>
      <c r="I908" s="251"/>
      <c r="J908" s="251"/>
      <c r="K908" s="252"/>
      <c r="L908" s="229"/>
      <c r="M908" s="229"/>
      <c r="N908" s="229"/>
      <c r="O908" s="229"/>
      <c r="P908" s="229"/>
      <c r="Q908" s="229"/>
      <c r="R908" s="229"/>
      <c r="S908" s="229"/>
      <c r="T908" s="229"/>
      <c r="U908" s="229"/>
      <c r="V908" s="229"/>
    </row>
    <row r="909" spans="2:22" x14ac:dyDescent="0.3">
      <c r="H909" s="250"/>
      <c r="I909" s="251"/>
      <c r="J909" s="251"/>
      <c r="K909" s="252"/>
      <c r="L909" s="229"/>
      <c r="M909" s="229"/>
      <c r="N909" s="229"/>
      <c r="O909" s="229"/>
      <c r="P909" s="229"/>
      <c r="Q909" s="229"/>
      <c r="R909" s="229"/>
      <c r="S909" s="229"/>
      <c r="T909" s="229"/>
      <c r="U909" s="229"/>
      <c r="V909" s="229"/>
    </row>
    <row r="910" spans="2:22" x14ac:dyDescent="0.3">
      <c r="H910" s="250"/>
      <c r="I910" s="251"/>
      <c r="J910" s="251"/>
      <c r="K910" s="252"/>
      <c r="L910" s="229"/>
      <c r="M910" s="229"/>
      <c r="N910" s="229"/>
      <c r="O910" s="229"/>
      <c r="P910" s="229"/>
      <c r="Q910" s="229"/>
      <c r="R910" s="229"/>
      <c r="S910" s="229"/>
      <c r="T910" s="229"/>
      <c r="U910" s="229"/>
      <c r="V910" s="229"/>
    </row>
    <row r="911" spans="2:22" x14ac:dyDescent="0.3">
      <c r="H911" s="250"/>
      <c r="I911" s="251"/>
      <c r="J911" s="251"/>
      <c r="K911" s="252"/>
      <c r="L911" s="229"/>
      <c r="M911" s="229"/>
      <c r="N911" s="229"/>
      <c r="O911" s="229"/>
      <c r="P911" s="229"/>
      <c r="Q911" s="229"/>
      <c r="R911" s="229"/>
      <c r="S911" s="229"/>
      <c r="T911" s="229"/>
      <c r="U911" s="229"/>
      <c r="V911" s="229"/>
    </row>
    <row r="912" spans="2:22" x14ac:dyDescent="0.3">
      <c r="H912" s="250"/>
      <c r="I912" s="251"/>
      <c r="J912" s="251"/>
      <c r="K912" s="252"/>
      <c r="L912" s="229"/>
      <c r="M912" s="229"/>
      <c r="N912" s="229"/>
      <c r="O912" s="229"/>
      <c r="P912" s="229"/>
      <c r="Q912" s="229"/>
      <c r="R912" s="229"/>
      <c r="S912" s="229"/>
      <c r="T912" s="229"/>
      <c r="U912" s="229"/>
      <c r="V912" s="229"/>
    </row>
    <row r="913" spans="8:22" x14ac:dyDescent="0.3">
      <c r="H913" s="250"/>
      <c r="I913" s="251"/>
      <c r="J913" s="251"/>
      <c r="K913" s="252"/>
      <c r="L913" s="229"/>
      <c r="M913" s="229"/>
      <c r="N913" s="229"/>
      <c r="O913" s="229"/>
      <c r="P913" s="229"/>
      <c r="Q913" s="229"/>
      <c r="R913" s="229"/>
      <c r="S913" s="229"/>
      <c r="T913" s="229"/>
      <c r="U913" s="229"/>
      <c r="V913" s="229"/>
    </row>
    <row r="914" spans="8:22" x14ac:dyDescent="0.3">
      <c r="H914" s="250"/>
      <c r="I914" s="251"/>
      <c r="J914" s="251"/>
      <c r="K914" s="252"/>
      <c r="L914" s="229"/>
      <c r="M914" s="229"/>
      <c r="N914" s="229"/>
      <c r="O914" s="229"/>
      <c r="P914" s="229"/>
      <c r="Q914" s="229"/>
      <c r="R914" s="229"/>
      <c r="S914" s="229"/>
      <c r="T914" s="229"/>
      <c r="U914" s="229"/>
      <c r="V914" s="229"/>
    </row>
    <row r="915" spans="8:22" x14ac:dyDescent="0.3">
      <c r="H915" s="250"/>
      <c r="I915" s="251"/>
      <c r="J915" s="251"/>
      <c r="K915" s="252"/>
      <c r="L915" s="229"/>
      <c r="M915" s="229"/>
      <c r="N915" s="229"/>
      <c r="O915" s="229"/>
      <c r="P915" s="229"/>
      <c r="Q915" s="229"/>
      <c r="R915" s="229"/>
      <c r="S915" s="229"/>
      <c r="T915" s="229"/>
      <c r="U915" s="229"/>
      <c r="V915" s="229"/>
    </row>
    <row r="916" spans="8:22" x14ac:dyDescent="0.3">
      <c r="H916" s="250"/>
      <c r="I916" s="251"/>
      <c r="J916" s="251"/>
      <c r="K916" s="252"/>
      <c r="L916" s="229"/>
      <c r="M916" s="229"/>
      <c r="N916" s="229"/>
      <c r="O916" s="229"/>
      <c r="P916" s="229"/>
      <c r="Q916" s="229"/>
      <c r="R916" s="229"/>
      <c r="S916" s="229"/>
      <c r="T916" s="229"/>
      <c r="U916" s="229"/>
      <c r="V916" s="229"/>
    </row>
    <row r="917" spans="8:22" x14ac:dyDescent="0.3">
      <c r="H917" s="250"/>
      <c r="I917" s="251"/>
      <c r="J917" s="251"/>
      <c r="K917" s="252"/>
      <c r="L917" s="229"/>
      <c r="M917" s="229"/>
      <c r="N917" s="229"/>
      <c r="O917" s="229"/>
      <c r="P917" s="229"/>
      <c r="Q917" s="229"/>
      <c r="R917" s="229"/>
      <c r="S917" s="229"/>
      <c r="T917" s="229"/>
      <c r="U917" s="229"/>
      <c r="V917" s="229"/>
    </row>
    <row r="918" spans="8:22" x14ac:dyDescent="0.3">
      <c r="H918" s="250"/>
      <c r="I918" s="251"/>
      <c r="J918" s="251"/>
      <c r="K918" s="252"/>
      <c r="L918" s="229"/>
      <c r="M918" s="229"/>
      <c r="N918" s="229"/>
      <c r="O918" s="229"/>
      <c r="P918" s="229"/>
      <c r="Q918" s="229"/>
      <c r="R918" s="229"/>
      <c r="S918" s="229"/>
      <c r="T918" s="229"/>
      <c r="U918" s="229"/>
      <c r="V918" s="229"/>
    </row>
    <row r="919" spans="8:22" x14ac:dyDescent="0.3">
      <c r="H919" s="250"/>
      <c r="I919" s="251"/>
      <c r="J919" s="251"/>
      <c r="K919" s="252"/>
      <c r="L919" s="229"/>
      <c r="M919" s="229"/>
      <c r="N919" s="229"/>
      <c r="O919" s="229"/>
      <c r="P919" s="229"/>
      <c r="Q919" s="229"/>
      <c r="R919" s="229"/>
      <c r="S919" s="229"/>
      <c r="T919" s="229"/>
      <c r="U919" s="229"/>
      <c r="V919" s="229"/>
    </row>
    <row r="920" spans="8:22" x14ac:dyDescent="0.3">
      <c r="H920" s="250"/>
      <c r="I920" s="251"/>
      <c r="J920" s="251"/>
      <c r="K920" s="252"/>
      <c r="L920" s="229"/>
      <c r="M920" s="229"/>
      <c r="N920" s="229"/>
      <c r="O920" s="229"/>
      <c r="P920" s="229"/>
      <c r="Q920" s="229"/>
      <c r="R920" s="229"/>
      <c r="S920" s="229"/>
      <c r="T920" s="229"/>
      <c r="U920" s="229"/>
      <c r="V920" s="229"/>
    </row>
    <row r="921" spans="8:22" x14ac:dyDescent="0.3">
      <c r="H921" s="250"/>
      <c r="I921" s="251"/>
      <c r="J921" s="251"/>
      <c r="K921" s="252"/>
      <c r="L921" s="229"/>
      <c r="M921" s="229"/>
      <c r="N921" s="229"/>
      <c r="O921" s="229"/>
      <c r="P921" s="229"/>
      <c r="Q921" s="229"/>
      <c r="R921" s="229"/>
      <c r="S921" s="229"/>
      <c r="T921" s="229"/>
      <c r="U921" s="229"/>
      <c r="V921" s="229"/>
    </row>
    <row r="922" spans="8:22" x14ac:dyDescent="0.3">
      <c r="H922" s="250"/>
      <c r="I922" s="251"/>
      <c r="J922" s="251"/>
      <c r="K922" s="252"/>
      <c r="L922" s="229"/>
      <c r="M922" s="229"/>
      <c r="N922" s="229"/>
      <c r="O922" s="229"/>
      <c r="P922" s="229"/>
      <c r="Q922" s="229"/>
      <c r="R922" s="229"/>
      <c r="S922" s="229"/>
      <c r="T922" s="229"/>
      <c r="U922" s="229"/>
      <c r="V922" s="229"/>
    </row>
    <row r="923" spans="8:22" x14ac:dyDescent="0.3">
      <c r="H923" s="250"/>
      <c r="I923" s="251"/>
      <c r="J923" s="251"/>
      <c r="K923" s="252"/>
      <c r="L923" s="229"/>
      <c r="M923" s="229"/>
      <c r="N923" s="229"/>
      <c r="O923" s="229"/>
      <c r="P923" s="229"/>
      <c r="Q923" s="229"/>
      <c r="R923" s="229"/>
      <c r="S923" s="229"/>
      <c r="T923" s="229"/>
      <c r="U923" s="229"/>
      <c r="V923" s="229"/>
    </row>
    <row r="924" spans="8:22" x14ac:dyDescent="0.3">
      <c r="H924" s="250"/>
      <c r="I924" s="251"/>
      <c r="J924" s="251"/>
      <c r="K924" s="252"/>
      <c r="L924" s="229"/>
      <c r="M924" s="229"/>
      <c r="N924" s="229"/>
      <c r="O924" s="229"/>
      <c r="P924" s="229"/>
      <c r="Q924" s="229"/>
      <c r="R924" s="229"/>
      <c r="S924" s="229"/>
      <c r="T924" s="229"/>
      <c r="U924" s="229"/>
      <c r="V924" s="229"/>
    </row>
    <row r="925" spans="8:22" x14ac:dyDescent="0.3">
      <c r="H925" s="250"/>
      <c r="I925" s="251"/>
      <c r="J925" s="251"/>
      <c r="K925" s="252"/>
      <c r="L925" s="229"/>
      <c r="M925" s="229"/>
      <c r="N925" s="229"/>
      <c r="O925" s="229"/>
      <c r="P925" s="229"/>
      <c r="Q925" s="229"/>
      <c r="R925" s="229"/>
      <c r="S925" s="229"/>
      <c r="T925" s="229"/>
      <c r="U925" s="229"/>
      <c r="V925" s="229"/>
    </row>
    <row r="926" spans="8:22" x14ac:dyDescent="0.3">
      <c r="H926" s="250"/>
      <c r="I926" s="251"/>
      <c r="J926" s="251"/>
      <c r="K926" s="252"/>
      <c r="L926" s="229"/>
      <c r="M926" s="229"/>
      <c r="N926" s="229"/>
      <c r="O926" s="229"/>
      <c r="P926" s="229"/>
      <c r="Q926" s="229"/>
      <c r="R926" s="229"/>
      <c r="S926" s="229"/>
      <c r="T926" s="229"/>
      <c r="U926" s="229"/>
      <c r="V926" s="229"/>
    </row>
    <row r="927" spans="8:22" x14ac:dyDescent="0.3">
      <c r="H927" s="250"/>
      <c r="I927" s="251"/>
      <c r="J927" s="251"/>
      <c r="K927" s="252"/>
      <c r="L927" s="229"/>
      <c r="M927" s="229"/>
      <c r="N927" s="229"/>
      <c r="O927" s="229"/>
      <c r="P927" s="229"/>
      <c r="Q927" s="229"/>
      <c r="R927" s="229"/>
      <c r="S927" s="229"/>
      <c r="T927" s="229"/>
      <c r="U927" s="229"/>
      <c r="V927" s="229"/>
    </row>
    <row r="928" spans="8:22" x14ac:dyDescent="0.3">
      <c r="H928" s="250"/>
      <c r="I928" s="251"/>
      <c r="J928" s="251"/>
      <c r="K928" s="252"/>
      <c r="L928" s="229"/>
      <c r="M928" s="229"/>
      <c r="N928" s="229"/>
      <c r="O928" s="229"/>
      <c r="P928" s="229"/>
      <c r="Q928" s="229"/>
      <c r="R928" s="229"/>
      <c r="S928" s="229"/>
      <c r="T928" s="229"/>
      <c r="U928" s="229"/>
      <c r="V928" s="229"/>
    </row>
    <row r="929" spans="8:22" x14ac:dyDescent="0.3">
      <c r="H929" s="250"/>
      <c r="I929" s="251"/>
      <c r="J929" s="251"/>
      <c r="K929" s="252"/>
      <c r="L929" s="229"/>
      <c r="M929" s="229"/>
      <c r="N929" s="229"/>
      <c r="O929" s="229"/>
      <c r="P929" s="229"/>
      <c r="Q929" s="229"/>
      <c r="R929" s="229"/>
      <c r="S929" s="229"/>
      <c r="T929" s="229"/>
      <c r="U929" s="229"/>
      <c r="V929" s="229"/>
    </row>
    <row r="930" spans="8:22" x14ac:dyDescent="0.3">
      <c r="H930" s="250"/>
      <c r="I930" s="251"/>
      <c r="J930" s="251"/>
      <c r="K930" s="252"/>
      <c r="L930" s="229"/>
      <c r="M930" s="229"/>
      <c r="N930" s="229"/>
      <c r="O930" s="229"/>
      <c r="P930" s="229"/>
      <c r="Q930" s="229"/>
      <c r="R930" s="229"/>
      <c r="S930" s="229"/>
      <c r="T930" s="229"/>
      <c r="U930" s="229"/>
      <c r="V930" s="229"/>
    </row>
    <row r="931" spans="8:22" x14ac:dyDescent="0.3">
      <c r="H931" s="250"/>
      <c r="I931" s="251"/>
      <c r="J931" s="251"/>
      <c r="K931" s="252"/>
      <c r="L931" s="229"/>
      <c r="M931" s="229"/>
      <c r="N931" s="229"/>
      <c r="O931" s="229"/>
      <c r="P931" s="229"/>
      <c r="Q931" s="229"/>
      <c r="R931" s="229"/>
      <c r="S931" s="229"/>
      <c r="T931" s="229"/>
      <c r="U931" s="229"/>
      <c r="V931" s="229"/>
    </row>
    <row r="932" spans="8:22" x14ac:dyDescent="0.3">
      <c r="H932" s="250"/>
      <c r="I932" s="251"/>
      <c r="J932" s="251"/>
      <c r="K932" s="252"/>
      <c r="L932" s="229"/>
      <c r="M932" s="229"/>
      <c r="N932" s="229"/>
      <c r="O932" s="229"/>
      <c r="P932" s="229"/>
      <c r="Q932" s="229"/>
      <c r="R932" s="229"/>
      <c r="S932" s="229"/>
      <c r="T932" s="229"/>
      <c r="U932" s="229"/>
      <c r="V932" s="229"/>
    </row>
    <row r="933" spans="8:22" x14ac:dyDescent="0.3">
      <c r="H933" s="250"/>
      <c r="I933" s="251"/>
      <c r="J933" s="251"/>
      <c r="K933" s="252"/>
      <c r="L933" s="229"/>
      <c r="M933" s="229"/>
      <c r="N933" s="229"/>
      <c r="O933" s="229"/>
      <c r="P933" s="229"/>
      <c r="Q933" s="229"/>
      <c r="R933" s="229"/>
      <c r="S933" s="229"/>
      <c r="T933" s="229"/>
      <c r="U933" s="229"/>
      <c r="V933" s="229"/>
    </row>
    <row r="934" spans="8:22" x14ac:dyDescent="0.3">
      <c r="H934" s="250"/>
      <c r="I934" s="251"/>
      <c r="J934" s="251"/>
      <c r="K934" s="252"/>
      <c r="L934" s="229"/>
      <c r="M934" s="229"/>
      <c r="N934" s="229"/>
      <c r="O934" s="229"/>
      <c r="P934" s="229"/>
      <c r="Q934" s="229"/>
      <c r="R934" s="229"/>
      <c r="S934" s="229"/>
      <c r="T934" s="229"/>
      <c r="U934" s="229"/>
      <c r="V934" s="229"/>
    </row>
    <row r="935" spans="8:22" x14ac:dyDescent="0.3">
      <c r="H935" s="250"/>
      <c r="I935" s="251"/>
      <c r="J935" s="251"/>
      <c r="K935" s="252"/>
      <c r="L935" s="229"/>
      <c r="M935" s="229"/>
      <c r="N935" s="229"/>
      <c r="O935" s="229"/>
      <c r="P935" s="229"/>
      <c r="Q935" s="229"/>
      <c r="R935" s="229"/>
      <c r="S935" s="229"/>
      <c r="T935" s="229"/>
      <c r="U935" s="229"/>
      <c r="V935" s="229"/>
    </row>
    <row r="936" spans="8:22" x14ac:dyDescent="0.3">
      <c r="H936" s="250"/>
      <c r="I936" s="251"/>
      <c r="J936" s="251"/>
      <c r="K936" s="252"/>
      <c r="L936" s="229"/>
      <c r="M936" s="229"/>
      <c r="N936" s="229"/>
      <c r="O936" s="229"/>
      <c r="P936" s="229"/>
      <c r="Q936" s="229"/>
      <c r="R936" s="229"/>
      <c r="S936" s="229"/>
      <c r="T936" s="229"/>
      <c r="U936" s="229"/>
      <c r="V936" s="229"/>
    </row>
    <row r="937" spans="8:22" x14ac:dyDescent="0.3">
      <c r="H937" s="250"/>
      <c r="I937" s="251"/>
      <c r="J937" s="251"/>
      <c r="K937" s="252"/>
      <c r="L937" s="229"/>
      <c r="M937" s="229"/>
      <c r="N937" s="229"/>
      <c r="O937" s="229"/>
      <c r="P937" s="229"/>
      <c r="Q937" s="229"/>
      <c r="R937" s="229"/>
      <c r="S937" s="229"/>
      <c r="T937" s="229"/>
      <c r="U937" s="229"/>
      <c r="V937" s="229"/>
    </row>
    <row r="938" spans="8:22" x14ac:dyDescent="0.3">
      <c r="H938" s="250"/>
      <c r="I938" s="251"/>
      <c r="J938" s="251"/>
      <c r="K938" s="252"/>
      <c r="L938" s="229"/>
      <c r="M938" s="229"/>
      <c r="N938" s="229"/>
      <c r="O938" s="229"/>
      <c r="P938" s="229"/>
      <c r="Q938" s="229"/>
      <c r="R938" s="229"/>
      <c r="S938" s="229"/>
      <c r="T938" s="229"/>
      <c r="U938" s="229"/>
      <c r="V938" s="229"/>
    </row>
    <row r="939" spans="8:22" x14ac:dyDescent="0.3">
      <c r="H939" s="250"/>
      <c r="I939" s="251"/>
      <c r="J939" s="251"/>
      <c r="K939" s="252"/>
      <c r="L939" s="229"/>
      <c r="M939" s="229"/>
      <c r="N939" s="229"/>
      <c r="O939" s="229"/>
      <c r="P939" s="229"/>
      <c r="Q939" s="229"/>
      <c r="R939" s="229"/>
      <c r="S939" s="229"/>
      <c r="T939" s="229"/>
      <c r="U939" s="229"/>
      <c r="V939" s="229"/>
    </row>
    <row r="940" spans="8:22" x14ac:dyDescent="0.3">
      <c r="H940" s="250"/>
      <c r="I940" s="251"/>
      <c r="J940" s="251"/>
      <c r="K940" s="252"/>
      <c r="L940" s="229"/>
      <c r="M940" s="229"/>
      <c r="N940" s="229"/>
      <c r="O940" s="229"/>
      <c r="P940" s="229"/>
      <c r="Q940" s="229"/>
      <c r="R940" s="229"/>
      <c r="S940" s="229"/>
      <c r="T940" s="229"/>
      <c r="U940" s="229"/>
      <c r="V940" s="229"/>
    </row>
    <row r="941" spans="8:22" x14ac:dyDescent="0.3">
      <c r="H941" s="250"/>
      <c r="I941" s="251"/>
      <c r="J941" s="251"/>
      <c r="K941" s="252"/>
      <c r="L941" s="229"/>
      <c r="M941" s="229"/>
      <c r="N941" s="229"/>
      <c r="O941" s="229"/>
      <c r="P941" s="229"/>
      <c r="Q941" s="229"/>
      <c r="R941" s="229"/>
      <c r="S941" s="229"/>
      <c r="T941" s="229"/>
      <c r="U941" s="229"/>
      <c r="V941" s="229"/>
    </row>
    <row r="942" spans="8:22" x14ac:dyDescent="0.3">
      <c r="H942" s="250"/>
      <c r="I942" s="251"/>
      <c r="J942" s="251"/>
      <c r="K942" s="252"/>
      <c r="L942" s="229"/>
      <c r="M942" s="229"/>
      <c r="N942" s="229"/>
      <c r="O942" s="229"/>
      <c r="P942" s="229"/>
      <c r="Q942" s="229"/>
      <c r="R942" s="229"/>
      <c r="S942" s="229"/>
      <c r="T942" s="229"/>
      <c r="U942" s="229"/>
      <c r="V942" s="229"/>
    </row>
    <row r="943" spans="8:22" x14ac:dyDescent="0.3">
      <c r="H943" s="250"/>
      <c r="I943" s="251"/>
      <c r="J943" s="251"/>
      <c r="K943" s="252"/>
      <c r="L943" s="229"/>
      <c r="M943" s="229"/>
      <c r="N943" s="229"/>
      <c r="O943" s="229"/>
      <c r="P943" s="229"/>
      <c r="Q943" s="229"/>
      <c r="R943" s="229"/>
      <c r="S943" s="229"/>
      <c r="T943" s="229"/>
      <c r="U943" s="229"/>
      <c r="V943" s="229"/>
    </row>
    <row r="944" spans="8:22" x14ac:dyDescent="0.3">
      <c r="H944" s="250"/>
      <c r="I944" s="251"/>
      <c r="J944" s="251"/>
      <c r="K944" s="252"/>
      <c r="L944" s="229"/>
      <c r="M944" s="229"/>
      <c r="N944" s="229"/>
      <c r="O944" s="229"/>
      <c r="P944" s="229"/>
      <c r="Q944" s="229"/>
      <c r="R944" s="229"/>
      <c r="S944" s="229"/>
      <c r="T944" s="229"/>
      <c r="U944" s="229"/>
      <c r="V944" s="229"/>
    </row>
    <row r="945" spans="8:22" x14ac:dyDescent="0.3">
      <c r="H945" s="250"/>
      <c r="I945" s="251"/>
      <c r="J945" s="251"/>
      <c r="K945" s="252"/>
      <c r="L945" s="229"/>
      <c r="M945" s="229"/>
      <c r="N945" s="229"/>
      <c r="O945" s="229"/>
      <c r="P945" s="229"/>
      <c r="Q945" s="229"/>
      <c r="R945" s="229"/>
      <c r="S945" s="229"/>
      <c r="T945" s="229"/>
      <c r="U945" s="229"/>
      <c r="V945" s="229"/>
    </row>
    <row r="946" spans="8:22" x14ac:dyDescent="0.3">
      <c r="H946" s="250"/>
      <c r="I946" s="251"/>
      <c r="J946" s="251"/>
      <c r="K946" s="252"/>
      <c r="L946" s="229"/>
      <c r="M946" s="229"/>
      <c r="N946" s="229"/>
      <c r="O946" s="229"/>
      <c r="P946" s="229"/>
      <c r="Q946" s="229"/>
      <c r="R946" s="229"/>
      <c r="S946" s="229"/>
      <c r="T946" s="229"/>
      <c r="U946" s="229"/>
      <c r="V946" s="229"/>
    </row>
    <row r="947" spans="8:22" x14ac:dyDescent="0.3">
      <c r="H947" s="250"/>
      <c r="I947" s="251"/>
      <c r="J947" s="251"/>
      <c r="K947" s="252"/>
      <c r="L947" s="229"/>
      <c r="M947" s="229"/>
      <c r="N947" s="229"/>
      <c r="O947" s="229"/>
      <c r="P947" s="229"/>
      <c r="Q947" s="229"/>
      <c r="R947" s="229"/>
      <c r="S947" s="229"/>
      <c r="T947" s="229"/>
      <c r="U947" s="229"/>
      <c r="V947" s="229"/>
    </row>
    <row r="948" spans="8:22" x14ac:dyDescent="0.3">
      <c r="H948" s="250"/>
      <c r="I948" s="251"/>
      <c r="J948" s="251"/>
      <c r="K948" s="252"/>
      <c r="L948" s="229"/>
      <c r="M948" s="229"/>
      <c r="N948" s="229"/>
      <c r="O948" s="229"/>
      <c r="P948" s="229"/>
      <c r="Q948" s="229"/>
      <c r="R948" s="229"/>
      <c r="S948" s="229"/>
      <c r="T948" s="229"/>
      <c r="U948" s="229"/>
      <c r="V948" s="229"/>
    </row>
    <row r="949" spans="8:22" x14ac:dyDescent="0.3">
      <c r="H949" s="250"/>
      <c r="I949" s="251"/>
      <c r="J949" s="251"/>
      <c r="K949" s="252"/>
      <c r="L949" s="229"/>
      <c r="M949" s="229"/>
      <c r="N949" s="229"/>
      <c r="O949" s="229"/>
      <c r="P949" s="229"/>
      <c r="Q949" s="229"/>
      <c r="R949" s="229"/>
      <c r="S949" s="229"/>
      <c r="T949" s="229"/>
      <c r="U949" s="229"/>
      <c r="V949" s="229"/>
    </row>
    <row r="950" spans="8:22" x14ac:dyDescent="0.3">
      <c r="H950" s="250"/>
      <c r="I950" s="251"/>
      <c r="J950" s="251"/>
      <c r="K950" s="252"/>
      <c r="L950" s="229"/>
      <c r="M950" s="229"/>
      <c r="N950" s="229"/>
      <c r="O950" s="229"/>
      <c r="P950" s="229"/>
      <c r="Q950" s="229"/>
      <c r="R950" s="229"/>
      <c r="S950" s="229"/>
      <c r="T950" s="229"/>
      <c r="U950" s="229"/>
      <c r="V950" s="229"/>
    </row>
    <row r="951" spans="8:22" x14ac:dyDescent="0.3">
      <c r="H951" s="250"/>
      <c r="I951" s="251"/>
      <c r="J951" s="251"/>
      <c r="K951" s="252"/>
      <c r="L951" s="229"/>
      <c r="M951" s="229"/>
      <c r="N951" s="229"/>
      <c r="O951" s="229"/>
      <c r="P951" s="229"/>
      <c r="Q951" s="229"/>
      <c r="R951" s="229"/>
      <c r="S951" s="229"/>
      <c r="T951" s="229"/>
      <c r="U951" s="229"/>
      <c r="V951" s="229"/>
    </row>
    <row r="952" spans="8:22" x14ac:dyDescent="0.3">
      <c r="H952" s="250"/>
      <c r="I952" s="251"/>
      <c r="J952" s="251"/>
      <c r="K952" s="252"/>
      <c r="L952" s="229"/>
      <c r="M952" s="229"/>
      <c r="N952" s="229"/>
      <c r="O952" s="229"/>
      <c r="P952" s="229"/>
      <c r="Q952" s="229"/>
      <c r="R952" s="229"/>
      <c r="S952" s="229"/>
      <c r="T952" s="229"/>
      <c r="U952" s="229"/>
      <c r="V952" s="229"/>
    </row>
    <row r="953" spans="8:22" x14ac:dyDescent="0.3">
      <c r="H953" s="250"/>
      <c r="I953" s="251"/>
      <c r="J953" s="251"/>
      <c r="K953" s="252"/>
      <c r="L953" s="229"/>
      <c r="M953" s="229"/>
      <c r="N953" s="229"/>
      <c r="O953" s="229"/>
      <c r="P953" s="229"/>
      <c r="Q953" s="229"/>
      <c r="R953" s="229"/>
      <c r="S953" s="229"/>
      <c r="T953" s="229"/>
      <c r="U953" s="229"/>
      <c r="V953" s="229"/>
    </row>
    <row r="954" spans="8:22" x14ac:dyDescent="0.3">
      <c r="H954" s="250"/>
      <c r="I954" s="251"/>
      <c r="J954" s="251"/>
      <c r="K954" s="252"/>
      <c r="L954" s="229"/>
      <c r="M954" s="229"/>
      <c r="N954" s="229"/>
      <c r="O954" s="229"/>
      <c r="P954" s="229"/>
      <c r="Q954" s="229"/>
      <c r="R954" s="229"/>
      <c r="S954" s="229"/>
      <c r="T954" s="229"/>
      <c r="U954" s="229"/>
      <c r="V954" s="229"/>
    </row>
    <row r="955" spans="8:22" x14ac:dyDescent="0.3">
      <c r="H955" s="250"/>
      <c r="I955" s="251"/>
      <c r="J955" s="251"/>
      <c r="K955" s="252"/>
      <c r="L955" s="229"/>
      <c r="M955" s="229"/>
      <c r="N955" s="229"/>
      <c r="O955" s="229"/>
      <c r="P955" s="229"/>
      <c r="Q955" s="229"/>
      <c r="R955" s="229"/>
      <c r="S955" s="229"/>
      <c r="T955" s="229"/>
      <c r="U955" s="229"/>
      <c r="V955" s="229"/>
    </row>
    <row r="956" spans="8:22" x14ac:dyDescent="0.3">
      <c r="H956" s="250"/>
      <c r="I956" s="251"/>
      <c r="J956" s="251"/>
      <c r="K956" s="252"/>
      <c r="L956" s="229"/>
      <c r="M956" s="229"/>
      <c r="N956" s="229"/>
      <c r="O956" s="229"/>
      <c r="P956" s="229"/>
      <c r="Q956" s="229"/>
      <c r="R956" s="229"/>
      <c r="S956" s="229"/>
      <c r="T956" s="229"/>
      <c r="U956" s="229"/>
      <c r="V956" s="229"/>
    </row>
    <row r="957" spans="8:22" x14ac:dyDescent="0.3">
      <c r="H957" s="250"/>
      <c r="I957" s="251"/>
      <c r="J957" s="251"/>
      <c r="K957" s="252"/>
      <c r="L957" s="229"/>
      <c r="M957" s="229"/>
      <c r="N957" s="229"/>
      <c r="O957" s="229"/>
      <c r="P957" s="229"/>
      <c r="Q957" s="229"/>
      <c r="R957" s="229"/>
      <c r="S957" s="229"/>
      <c r="T957" s="229"/>
      <c r="U957" s="229"/>
      <c r="V957" s="229"/>
    </row>
    <row r="958" spans="8:22" x14ac:dyDescent="0.3">
      <c r="H958" s="250"/>
      <c r="I958" s="251"/>
      <c r="J958" s="251"/>
      <c r="K958" s="252"/>
      <c r="L958" s="229"/>
      <c r="M958" s="229"/>
      <c r="N958" s="229"/>
      <c r="O958" s="229"/>
      <c r="P958" s="229"/>
      <c r="Q958" s="229"/>
      <c r="R958" s="229"/>
      <c r="S958" s="229"/>
      <c r="T958" s="229"/>
      <c r="U958" s="229"/>
      <c r="V958" s="229"/>
    </row>
    <row r="959" spans="8:22" x14ac:dyDescent="0.3">
      <c r="H959" s="250"/>
      <c r="I959" s="251"/>
      <c r="J959" s="251"/>
      <c r="K959" s="252"/>
      <c r="L959" s="229"/>
      <c r="M959" s="229"/>
      <c r="N959" s="229"/>
      <c r="O959" s="229"/>
      <c r="P959" s="229"/>
      <c r="Q959" s="229"/>
      <c r="R959" s="229"/>
      <c r="S959" s="229"/>
      <c r="T959" s="229"/>
      <c r="U959" s="229"/>
      <c r="V959" s="229"/>
    </row>
    <row r="960" spans="8:22" x14ac:dyDescent="0.3">
      <c r="H960" s="250"/>
      <c r="I960" s="251"/>
      <c r="J960" s="251"/>
      <c r="K960" s="252"/>
      <c r="L960" s="229"/>
      <c r="M960" s="229"/>
      <c r="N960" s="229"/>
      <c r="O960" s="229"/>
      <c r="P960" s="229"/>
      <c r="Q960" s="229"/>
      <c r="R960" s="229"/>
      <c r="S960" s="229"/>
      <c r="T960" s="229"/>
      <c r="U960" s="229"/>
      <c r="V960" s="229"/>
    </row>
    <row r="961" spans="8:22" x14ac:dyDescent="0.3">
      <c r="H961" s="250"/>
      <c r="I961" s="251"/>
      <c r="J961" s="251"/>
      <c r="K961" s="252"/>
      <c r="L961" s="229"/>
      <c r="M961" s="229"/>
      <c r="N961" s="229"/>
      <c r="O961" s="229"/>
      <c r="P961" s="229"/>
      <c r="Q961" s="229"/>
      <c r="R961" s="229"/>
      <c r="S961" s="229"/>
      <c r="T961" s="229"/>
      <c r="U961" s="229"/>
      <c r="V961" s="229"/>
    </row>
    <row r="962" spans="8:22" x14ac:dyDescent="0.3">
      <c r="H962" s="250"/>
      <c r="I962" s="251"/>
      <c r="J962" s="251"/>
      <c r="K962" s="252"/>
      <c r="L962" s="229"/>
      <c r="M962" s="229"/>
      <c r="N962" s="229"/>
      <c r="O962" s="229"/>
      <c r="P962" s="229"/>
      <c r="Q962" s="229"/>
      <c r="R962" s="229"/>
      <c r="S962" s="229"/>
      <c r="T962" s="229"/>
      <c r="U962" s="229"/>
      <c r="V962" s="229"/>
    </row>
    <row r="963" spans="8:22" x14ac:dyDescent="0.3">
      <c r="H963" s="250"/>
      <c r="I963" s="251"/>
      <c r="J963" s="251"/>
      <c r="K963" s="252"/>
      <c r="L963" s="229"/>
      <c r="M963" s="229"/>
      <c r="N963" s="229"/>
      <c r="O963" s="229"/>
      <c r="P963" s="229"/>
      <c r="Q963" s="229"/>
      <c r="R963" s="229"/>
      <c r="S963" s="229"/>
      <c r="T963" s="229"/>
      <c r="U963" s="229"/>
      <c r="V963" s="229"/>
    </row>
    <row r="964" spans="8:22" x14ac:dyDescent="0.3">
      <c r="H964" s="250"/>
      <c r="I964" s="251"/>
      <c r="J964" s="251"/>
      <c r="K964" s="252"/>
      <c r="L964" s="229"/>
      <c r="M964" s="229"/>
      <c r="N964" s="229"/>
      <c r="O964" s="229"/>
      <c r="P964" s="229"/>
      <c r="Q964" s="229"/>
      <c r="R964" s="229"/>
      <c r="S964" s="229"/>
      <c r="T964" s="229"/>
      <c r="U964" s="229"/>
      <c r="V964" s="229"/>
    </row>
    <row r="965" spans="8:22" x14ac:dyDescent="0.3">
      <c r="H965" s="250"/>
      <c r="I965" s="251"/>
      <c r="J965" s="251"/>
      <c r="K965" s="252"/>
      <c r="L965" s="229"/>
      <c r="M965" s="229"/>
      <c r="N965" s="229"/>
      <c r="O965" s="229"/>
      <c r="P965" s="229"/>
      <c r="Q965" s="229"/>
      <c r="R965" s="229"/>
      <c r="S965" s="229"/>
      <c r="T965" s="229"/>
      <c r="U965" s="229"/>
      <c r="V965" s="229"/>
    </row>
    <row r="966" spans="8:22" x14ac:dyDescent="0.3">
      <c r="H966" s="250"/>
      <c r="I966" s="251"/>
      <c r="J966" s="251"/>
      <c r="K966" s="252"/>
      <c r="L966" s="229"/>
      <c r="M966" s="229"/>
      <c r="N966" s="229"/>
      <c r="O966" s="229"/>
      <c r="P966" s="229"/>
      <c r="Q966" s="229"/>
      <c r="R966" s="229"/>
      <c r="S966" s="229"/>
      <c r="T966" s="229"/>
      <c r="U966" s="229"/>
      <c r="V966" s="229"/>
    </row>
    <row r="967" spans="8:22" x14ac:dyDescent="0.3">
      <c r="H967" s="250"/>
      <c r="I967" s="251"/>
      <c r="J967" s="251"/>
      <c r="K967" s="252"/>
      <c r="L967" s="229"/>
      <c r="M967" s="229"/>
      <c r="N967" s="229"/>
      <c r="O967" s="229"/>
      <c r="P967" s="229"/>
      <c r="Q967" s="229"/>
      <c r="R967" s="229"/>
      <c r="S967" s="229"/>
      <c r="T967" s="229"/>
      <c r="U967" s="229"/>
      <c r="V967" s="229"/>
    </row>
    <row r="968" spans="8:22" x14ac:dyDescent="0.3">
      <c r="H968" s="250"/>
      <c r="I968" s="251"/>
      <c r="J968" s="251"/>
      <c r="K968" s="252"/>
      <c r="L968" s="229"/>
      <c r="M968" s="229"/>
      <c r="N968" s="229"/>
      <c r="O968" s="229"/>
      <c r="P968" s="229"/>
      <c r="Q968" s="229"/>
      <c r="R968" s="229"/>
      <c r="S968" s="229"/>
      <c r="T968" s="229"/>
      <c r="U968" s="229"/>
      <c r="V968" s="229"/>
    </row>
    <row r="969" spans="8:22" x14ac:dyDescent="0.3">
      <c r="H969" s="250"/>
      <c r="I969" s="251"/>
      <c r="J969" s="251"/>
      <c r="K969" s="252"/>
      <c r="L969" s="229"/>
      <c r="M969" s="229"/>
      <c r="N969" s="229"/>
      <c r="O969" s="229"/>
      <c r="P969" s="229"/>
      <c r="Q969" s="229"/>
      <c r="R969" s="229"/>
      <c r="S969" s="229"/>
      <c r="T969" s="229"/>
      <c r="U969" s="229"/>
      <c r="V969" s="229"/>
    </row>
    <row r="970" spans="8:22" x14ac:dyDescent="0.3">
      <c r="H970" s="250"/>
      <c r="I970" s="251"/>
      <c r="J970" s="251"/>
      <c r="K970" s="252"/>
      <c r="L970" s="229"/>
      <c r="M970" s="229"/>
      <c r="N970" s="229"/>
      <c r="O970" s="229"/>
      <c r="P970" s="229"/>
      <c r="Q970" s="229"/>
      <c r="R970" s="229"/>
      <c r="S970" s="229"/>
      <c r="T970" s="229"/>
      <c r="U970" s="229"/>
      <c r="V970" s="229"/>
    </row>
    <row r="971" spans="8:22" x14ac:dyDescent="0.3">
      <c r="H971" s="250"/>
      <c r="I971" s="251"/>
      <c r="J971" s="251"/>
      <c r="K971" s="252"/>
      <c r="L971" s="229"/>
      <c r="M971" s="229"/>
      <c r="N971" s="229"/>
      <c r="O971" s="229"/>
      <c r="P971" s="229"/>
      <c r="Q971" s="229"/>
      <c r="R971" s="229"/>
      <c r="S971" s="229"/>
      <c r="T971" s="229"/>
      <c r="U971" s="229"/>
      <c r="V971" s="229"/>
    </row>
    <row r="972" spans="8:22" x14ac:dyDescent="0.3">
      <c r="H972" s="250"/>
      <c r="I972" s="251"/>
      <c r="J972" s="251"/>
      <c r="K972" s="252"/>
      <c r="L972" s="229"/>
      <c r="M972" s="229"/>
      <c r="N972" s="229"/>
      <c r="O972" s="229"/>
      <c r="P972" s="229"/>
      <c r="Q972" s="229"/>
      <c r="R972" s="229"/>
      <c r="S972" s="229"/>
      <c r="T972" s="229"/>
      <c r="U972" s="229"/>
      <c r="V972" s="229"/>
    </row>
    <row r="973" spans="8:22" x14ac:dyDescent="0.3">
      <c r="H973" s="250"/>
      <c r="I973" s="251"/>
      <c r="J973" s="251"/>
      <c r="K973" s="252"/>
      <c r="L973" s="229"/>
      <c r="M973" s="229"/>
      <c r="N973" s="229"/>
      <c r="O973" s="229"/>
      <c r="P973" s="229"/>
      <c r="Q973" s="229"/>
      <c r="R973" s="229"/>
      <c r="S973" s="229"/>
      <c r="T973" s="229"/>
      <c r="U973" s="229"/>
      <c r="V973" s="229"/>
    </row>
    <row r="974" spans="8:22" x14ac:dyDescent="0.3">
      <c r="H974" s="250"/>
      <c r="I974" s="251"/>
      <c r="J974" s="251"/>
      <c r="K974" s="252"/>
      <c r="L974" s="229"/>
      <c r="M974" s="229"/>
      <c r="N974" s="229"/>
      <c r="O974" s="229"/>
      <c r="P974" s="229"/>
      <c r="Q974" s="229"/>
      <c r="R974" s="229"/>
      <c r="S974" s="229"/>
      <c r="T974" s="229"/>
      <c r="U974" s="229"/>
      <c r="V974" s="229"/>
    </row>
    <row r="975" spans="8:22" x14ac:dyDescent="0.3">
      <c r="H975" s="250"/>
      <c r="I975" s="251"/>
      <c r="J975" s="251"/>
      <c r="K975" s="252"/>
      <c r="L975" s="229"/>
      <c r="M975" s="229"/>
      <c r="N975" s="229"/>
      <c r="O975" s="229"/>
      <c r="P975" s="229"/>
      <c r="Q975" s="229"/>
      <c r="R975" s="229"/>
      <c r="S975" s="229"/>
      <c r="T975" s="229"/>
      <c r="U975" s="229"/>
      <c r="V975" s="229"/>
    </row>
    <row r="976" spans="8:22" x14ac:dyDescent="0.3">
      <c r="H976" s="250"/>
      <c r="I976" s="251"/>
      <c r="J976" s="251"/>
      <c r="K976" s="252"/>
      <c r="L976" s="229"/>
      <c r="M976" s="229"/>
      <c r="N976" s="229"/>
      <c r="O976" s="229"/>
      <c r="P976" s="229"/>
      <c r="Q976" s="229"/>
      <c r="R976" s="229"/>
      <c r="S976" s="229"/>
      <c r="T976" s="229"/>
      <c r="U976" s="229"/>
      <c r="V976" s="229"/>
    </row>
    <row r="977" spans="8:22" x14ac:dyDescent="0.3">
      <c r="H977" s="250"/>
      <c r="I977" s="251"/>
      <c r="J977" s="251"/>
      <c r="K977" s="252"/>
      <c r="L977" s="229"/>
      <c r="M977" s="229"/>
      <c r="N977" s="229"/>
      <c r="O977" s="229"/>
      <c r="P977" s="229"/>
      <c r="Q977" s="229"/>
      <c r="R977" s="229"/>
      <c r="S977" s="229"/>
      <c r="T977" s="229"/>
      <c r="U977" s="229"/>
      <c r="V977" s="229"/>
    </row>
    <row r="978" spans="8:22" x14ac:dyDescent="0.3">
      <c r="H978" s="250"/>
      <c r="I978" s="251"/>
      <c r="J978" s="251"/>
      <c r="K978" s="252"/>
      <c r="L978" s="229"/>
      <c r="M978" s="229"/>
      <c r="N978" s="229"/>
      <c r="O978" s="229"/>
      <c r="P978" s="229"/>
      <c r="Q978" s="229"/>
      <c r="R978" s="229"/>
      <c r="S978" s="229"/>
      <c r="T978" s="229"/>
      <c r="U978" s="229"/>
      <c r="V978" s="229"/>
    </row>
    <row r="979" spans="8:22" x14ac:dyDescent="0.3">
      <c r="H979" s="250"/>
      <c r="I979" s="251"/>
      <c r="J979" s="251"/>
      <c r="K979" s="252"/>
      <c r="L979" s="229"/>
      <c r="M979" s="229"/>
      <c r="N979" s="229"/>
      <c r="O979" s="229"/>
      <c r="P979" s="229"/>
      <c r="Q979" s="229"/>
      <c r="R979" s="229"/>
      <c r="S979" s="229"/>
      <c r="T979" s="229"/>
      <c r="U979" s="229"/>
      <c r="V979" s="229"/>
    </row>
    <row r="980" spans="8:22" x14ac:dyDescent="0.3">
      <c r="H980" s="250"/>
      <c r="I980" s="251"/>
      <c r="J980" s="251"/>
      <c r="K980" s="252"/>
      <c r="L980" s="229"/>
      <c r="M980" s="229"/>
      <c r="N980" s="229"/>
      <c r="O980" s="229"/>
      <c r="P980" s="229"/>
      <c r="Q980" s="229"/>
      <c r="R980" s="229"/>
      <c r="S980" s="229"/>
      <c r="T980" s="229"/>
      <c r="U980" s="229"/>
      <c r="V980" s="229"/>
    </row>
    <row r="981" spans="8:22" x14ac:dyDescent="0.3">
      <c r="H981" s="250"/>
      <c r="I981" s="251"/>
      <c r="J981" s="251"/>
      <c r="K981" s="252"/>
      <c r="L981" s="229"/>
      <c r="M981" s="229"/>
      <c r="N981" s="229"/>
      <c r="O981" s="229"/>
      <c r="P981" s="229"/>
      <c r="Q981" s="229"/>
      <c r="R981" s="229"/>
      <c r="S981" s="229"/>
      <c r="T981" s="229"/>
      <c r="U981" s="229"/>
      <c r="V981" s="229"/>
    </row>
    <row r="982" spans="8:22" x14ac:dyDescent="0.3">
      <c r="H982" s="250"/>
      <c r="I982" s="251"/>
      <c r="J982" s="251"/>
      <c r="K982" s="252"/>
      <c r="L982" s="229"/>
      <c r="M982" s="229"/>
      <c r="N982" s="229"/>
      <c r="O982" s="229"/>
      <c r="P982" s="229"/>
      <c r="Q982" s="229"/>
      <c r="R982" s="229"/>
      <c r="S982" s="229"/>
      <c r="T982" s="229"/>
      <c r="U982" s="229"/>
      <c r="V982" s="229"/>
    </row>
    <row r="983" spans="8:22" x14ac:dyDescent="0.3">
      <c r="H983" s="250"/>
      <c r="I983" s="251"/>
      <c r="J983" s="251"/>
      <c r="K983" s="252"/>
      <c r="L983" s="229"/>
      <c r="M983" s="229"/>
      <c r="N983" s="229"/>
      <c r="O983" s="229"/>
      <c r="P983" s="229"/>
      <c r="Q983" s="229"/>
      <c r="R983" s="229"/>
      <c r="S983" s="229"/>
      <c r="T983" s="229"/>
      <c r="U983" s="229"/>
      <c r="V983" s="229"/>
    </row>
    <row r="984" spans="8:22" x14ac:dyDescent="0.3">
      <c r="H984" s="250"/>
      <c r="I984" s="251"/>
      <c r="J984" s="251"/>
      <c r="K984" s="252"/>
      <c r="L984" s="229"/>
      <c r="M984" s="229"/>
      <c r="N984" s="229"/>
      <c r="O984" s="229"/>
      <c r="P984" s="229"/>
      <c r="Q984" s="229"/>
      <c r="R984" s="229"/>
      <c r="S984" s="229"/>
      <c r="T984" s="229"/>
      <c r="U984" s="229"/>
      <c r="V984" s="229"/>
    </row>
    <row r="985" spans="8:22" x14ac:dyDescent="0.3">
      <c r="H985" s="250"/>
      <c r="I985" s="251"/>
      <c r="J985" s="251"/>
      <c r="K985" s="252"/>
      <c r="L985" s="229"/>
      <c r="M985" s="229"/>
      <c r="N985" s="229"/>
      <c r="O985" s="229"/>
      <c r="P985" s="229"/>
      <c r="Q985" s="229"/>
      <c r="R985" s="229"/>
      <c r="S985" s="229"/>
      <c r="T985" s="229"/>
      <c r="U985" s="229"/>
      <c r="V985" s="229"/>
    </row>
    <row r="986" spans="8:22" x14ac:dyDescent="0.3">
      <c r="H986" s="250"/>
      <c r="I986" s="251"/>
      <c r="J986" s="251"/>
      <c r="K986" s="252"/>
      <c r="L986" s="229"/>
      <c r="M986" s="229"/>
      <c r="N986" s="229"/>
      <c r="O986" s="229"/>
      <c r="P986" s="229"/>
      <c r="Q986" s="229"/>
      <c r="R986" s="229"/>
      <c r="S986" s="229"/>
      <c r="T986" s="229"/>
      <c r="U986" s="229"/>
      <c r="V986" s="229"/>
    </row>
    <row r="987" spans="8:22" x14ac:dyDescent="0.3">
      <c r="H987" s="250"/>
      <c r="I987" s="251"/>
      <c r="J987" s="251"/>
      <c r="K987" s="252"/>
      <c r="L987" s="229"/>
      <c r="M987" s="229"/>
      <c r="N987" s="229"/>
      <c r="O987" s="229"/>
      <c r="P987" s="229"/>
      <c r="Q987" s="229"/>
      <c r="R987" s="229"/>
      <c r="S987" s="229"/>
      <c r="T987" s="229"/>
      <c r="U987" s="229"/>
      <c r="V987" s="229"/>
    </row>
    <row r="988" spans="8:22" x14ac:dyDescent="0.3">
      <c r="H988" s="250"/>
      <c r="I988" s="251"/>
      <c r="J988" s="251"/>
      <c r="K988" s="252"/>
      <c r="L988" s="229"/>
      <c r="M988" s="229"/>
      <c r="N988" s="229"/>
      <c r="O988" s="229"/>
      <c r="P988" s="229"/>
      <c r="Q988" s="229"/>
      <c r="R988" s="229"/>
      <c r="S988" s="229"/>
      <c r="T988" s="229"/>
      <c r="U988" s="229"/>
      <c r="V988" s="229"/>
    </row>
    <row r="989" spans="8:22" x14ac:dyDescent="0.3">
      <c r="H989" s="250"/>
      <c r="I989" s="251"/>
      <c r="J989" s="251"/>
      <c r="K989" s="252"/>
      <c r="L989" s="229"/>
      <c r="M989" s="229"/>
      <c r="N989" s="229"/>
      <c r="O989" s="229"/>
      <c r="P989" s="229"/>
      <c r="Q989" s="229"/>
      <c r="R989" s="229"/>
      <c r="S989" s="229"/>
      <c r="T989" s="229"/>
      <c r="U989" s="229"/>
      <c r="V989" s="229"/>
    </row>
    <row r="990" spans="8:22" x14ac:dyDescent="0.3">
      <c r="H990" s="250"/>
      <c r="I990" s="251"/>
      <c r="J990" s="251"/>
      <c r="K990" s="252"/>
      <c r="L990" s="229"/>
      <c r="M990" s="229"/>
      <c r="N990" s="229"/>
      <c r="O990" s="229"/>
      <c r="P990" s="229"/>
      <c r="Q990" s="229"/>
      <c r="R990" s="229"/>
      <c r="S990" s="229"/>
      <c r="T990" s="229"/>
      <c r="U990" s="229"/>
      <c r="V990" s="229"/>
    </row>
    <row r="991" spans="8:22" x14ac:dyDescent="0.3">
      <c r="H991" s="250"/>
      <c r="I991" s="251"/>
      <c r="J991" s="251"/>
      <c r="K991" s="252"/>
      <c r="L991" s="229"/>
      <c r="M991" s="229"/>
      <c r="N991" s="229"/>
      <c r="O991" s="229"/>
      <c r="P991" s="229"/>
      <c r="Q991" s="229"/>
      <c r="R991" s="229"/>
      <c r="S991" s="229"/>
      <c r="T991" s="229"/>
      <c r="U991" s="229"/>
      <c r="V991" s="229"/>
    </row>
    <row r="992" spans="8:22" x14ac:dyDescent="0.3">
      <c r="H992" s="250"/>
      <c r="I992" s="251"/>
      <c r="J992" s="251"/>
      <c r="K992" s="252"/>
      <c r="L992" s="229"/>
      <c r="M992" s="229"/>
      <c r="N992" s="229"/>
      <c r="O992" s="229"/>
      <c r="P992" s="229"/>
      <c r="Q992" s="229"/>
      <c r="R992" s="229"/>
      <c r="S992" s="229"/>
      <c r="T992" s="229"/>
      <c r="U992" s="229"/>
      <c r="V992" s="229"/>
    </row>
    <row r="993" spans="8:22" x14ac:dyDescent="0.3">
      <c r="H993" s="250"/>
      <c r="I993" s="251"/>
      <c r="J993" s="251"/>
      <c r="K993" s="252"/>
      <c r="L993" s="229"/>
      <c r="M993" s="229"/>
      <c r="N993" s="229"/>
      <c r="O993" s="229"/>
      <c r="P993" s="229"/>
      <c r="Q993" s="229"/>
      <c r="R993" s="229"/>
      <c r="S993" s="229"/>
      <c r="T993" s="229"/>
      <c r="U993" s="229"/>
      <c r="V993" s="229"/>
    </row>
    <row r="994" spans="8:22" x14ac:dyDescent="0.3">
      <c r="H994" s="250"/>
      <c r="I994" s="251"/>
      <c r="J994" s="251"/>
      <c r="K994" s="252"/>
      <c r="L994" s="229"/>
      <c r="M994" s="229"/>
      <c r="N994" s="229"/>
      <c r="O994" s="229"/>
      <c r="P994" s="229"/>
      <c r="Q994" s="229"/>
      <c r="R994" s="229"/>
      <c r="S994" s="229"/>
      <c r="T994" s="229"/>
      <c r="U994" s="229"/>
      <c r="V994" s="229"/>
    </row>
    <row r="995" spans="8:22" x14ac:dyDescent="0.3">
      <c r="H995" s="250"/>
      <c r="I995" s="251"/>
      <c r="J995" s="251"/>
      <c r="K995" s="252"/>
      <c r="L995" s="229"/>
      <c r="M995" s="229"/>
      <c r="N995" s="229"/>
      <c r="O995" s="229"/>
      <c r="P995" s="229"/>
      <c r="Q995" s="229"/>
      <c r="R995" s="229"/>
      <c r="S995" s="229"/>
      <c r="T995" s="229"/>
      <c r="U995" s="229"/>
      <c r="V995" s="229"/>
    </row>
    <row r="996" spans="8:22" x14ac:dyDescent="0.3">
      <c r="H996" s="250"/>
      <c r="I996" s="251"/>
      <c r="J996" s="251"/>
      <c r="K996" s="252"/>
      <c r="L996" s="229"/>
      <c r="M996" s="229"/>
      <c r="N996" s="229"/>
      <c r="O996" s="229"/>
      <c r="P996" s="229"/>
      <c r="Q996" s="229"/>
      <c r="R996" s="229"/>
      <c r="S996" s="229"/>
      <c r="T996" s="229"/>
      <c r="U996" s="229"/>
      <c r="V996" s="229"/>
    </row>
    <row r="997" spans="8:22" x14ac:dyDescent="0.3">
      <c r="H997" s="250"/>
      <c r="I997" s="251"/>
      <c r="J997" s="251"/>
      <c r="K997" s="252"/>
      <c r="L997" s="229"/>
      <c r="M997" s="229"/>
      <c r="N997" s="229"/>
      <c r="O997" s="229"/>
      <c r="P997" s="229"/>
      <c r="Q997" s="229"/>
      <c r="R997" s="229"/>
      <c r="S997" s="229"/>
      <c r="T997" s="229"/>
      <c r="U997" s="229"/>
      <c r="V997" s="229"/>
    </row>
    <row r="998" spans="8:22" x14ac:dyDescent="0.3">
      <c r="H998" s="250"/>
      <c r="I998" s="251"/>
      <c r="J998" s="251"/>
      <c r="K998" s="252"/>
      <c r="L998" s="229"/>
      <c r="M998" s="229"/>
      <c r="N998" s="229"/>
      <c r="O998" s="229"/>
      <c r="P998" s="229"/>
      <c r="Q998" s="229"/>
      <c r="R998" s="229"/>
      <c r="S998" s="229"/>
      <c r="T998" s="229"/>
      <c r="U998" s="229"/>
      <c r="V998" s="229"/>
    </row>
    <row r="999" spans="8:22" x14ac:dyDescent="0.3">
      <c r="H999" s="250"/>
      <c r="I999" s="251"/>
      <c r="J999" s="251"/>
      <c r="K999" s="252"/>
      <c r="L999" s="229"/>
      <c r="M999" s="229"/>
      <c r="N999" s="229"/>
      <c r="O999" s="229"/>
      <c r="P999" s="229"/>
      <c r="Q999" s="229"/>
      <c r="R999" s="229"/>
      <c r="S999" s="229"/>
      <c r="T999" s="229"/>
      <c r="U999" s="229"/>
      <c r="V999" s="229"/>
    </row>
  </sheetData>
  <sheetProtection sheet="1" objects="1" scenarios="1"/>
  <mergeCells count="32">
    <mergeCell ref="Y99:AD99"/>
    <mergeCell ref="Y95:AD95"/>
    <mergeCell ref="X70:Y70"/>
    <mergeCell ref="X85:Y85"/>
    <mergeCell ref="Y63:AC63"/>
    <mergeCell ref="X40:Y40"/>
    <mergeCell ref="Y57:AC57"/>
    <mergeCell ref="Y60:AC60"/>
    <mergeCell ref="X16:Y16"/>
    <mergeCell ref="X20:Y20"/>
    <mergeCell ref="AB20:AC20"/>
    <mergeCell ref="X32:Y32"/>
    <mergeCell ref="AB32:AC32"/>
    <mergeCell ref="AB35:AC35"/>
    <mergeCell ref="AB6:AC6"/>
    <mergeCell ref="X7:Y7"/>
    <mergeCell ref="X8:Y8"/>
    <mergeCell ref="X9:Y9"/>
    <mergeCell ref="X38:AC38"/>
    <mergeCell ref="X15:Y15"/>
    <mergeCell ref="X10:Y10"/>
    <mergeCell ref="X11:Y11"/>
    <mergeCell ref="X12:Y12"/>
    <mergeCell ref="X13:Y13"/>
    <mergeCell ref="X14:Y14"/>
    <mergeCell ref="X6:Z6"/>
    <mergeCell ref="A1:AA1"/>
    <mergeCell ref="M5:P5"/>
    <mergeCell ref="R5:T5"/>
    <mergeCell ref="B4:D4"/>
    <mergeCell ref="E4:G4"/>
    <mergeCell ref="H4:L4"/>
  </mergeCells>
  <phoneticPr fontId="122" type="noConversion"/>
  <pageMargins left="0.78740157499999996" right="0.78740157499999996" top="0.984251969" bottom="0.984251969" header="0.4921259845" footer="0.4921259845"/>
  <pageSetup paperSize="9" orientation="portrait" r:id="rId1"/>
  <headerFooter alignWithMargins="0"/>
  <drawing r:id="rId2"/>
  <legacyDrawing r:id="rId3"/>
  <controls>
    <mc:AlternateContent xmlns:mc="http://schemas.openxmlformats.org/markup-compatibility/2006">
      <mc:Choice Requires="x14">
        <control shapeId="43032" r:id="rId4" name="CmdBtn_CalcTable">
          <controlPr defaultSize="0" autoLine="0" autoPict="0" r:id="rId5">
            <anchor moveWithCells="1">
              <from>
                <xdr:col>24</xdr:col>
                <xdr:colOff>152400</xdr:colOff>
                <xdr:row>47</xdr:row>
                <xdr:rowOff>95250</xdr:rowOff>
              </from>
              <to>
                <xdr:col>25</xdr:col>
                <xdr:colOff>412750</xdr:colOff>
                <xdr:row>50</xdr:row>
                <xdr:rowOff>57150</xdr:rowOff>
              </to>
            </anchor>
          </controlPr>
        </control>
      </mc:Choice>
      <mc:Fallback>
        <control shapeId="43032" r:id="rId4" name="CmdBtn_CalcTabl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92D050"/>
  </sheetPr>
  <dimension ref="A1:I218"/>
  <sheetViews>
    <sheetView zoomScale="70" zoomScaleNormal="70" workbookViewId="0">
      <pane xSplit="6" ySplit="10" topLeftCell="G53" activePane="bottomRight" state="frozen"/>
      <selection pane="topRight" activeCell="G1" sqref="G1"/>
      <selection pane="bottomLeft" activeCell="A3" sqref="A3"/>
      <selection pane="bottomRight" activeCell="A13" sqref="A13:D14"/>
    </sheetView>
  </sheetViews>
  <sheetFormatPr defaultColWidth="11.453125" defaultRowHeight="12.5" x14ac:dyDescent="0.25"/>
  <cols>
    <col min="1" max="1" width="107.453125" customWidth="1"/>
    <col min="2" max="2" width="12.453125" customWidth="1"/>
    <col min="4" max="4" width="54.453125" bestFit="1" customWidth="1"/>
    <col min="5" max="5" width="30.453125" customWidth="1"/>
    <col min="6" max="6" width="14.81640625" customWidth="1"/>
    <col min="7" max="7" width="25.7265625" customWidth="1"/>
    <col min="8" max="8" width="75" style="35" bestFit="1" customWidth="1"/>
    <col min="9" max="9" width="52.1796875" customWidth="1"/>
  </cols>
  <sheetData>
    <row r="1" spans="1:9" ht="13.5" x14ac:dyDescent="0.3">
      <c r="A1" s="37" t="s">
        <v>241</v>
      </c>
      <c r="C1" s="364"/>
      <c r="D1" s="83" t="s">
        <v>309</v>
      </c>
      <c r="F1" s="62"/>
      <c r="G1" s="417"/>
      <c r="H1" s="423"/>
    </row>
    <row r="2" spans="1:9" ht="13" x14ac:dyDescent="0.3">
      <c r="C2" s="79"/>
      <c r="D2" s="83" t="s">
        <v>308</v>
      </c>
      <c r="F2" s="62"/>
      <c r="G2" s="417"/>
      <c r="H2" s="423"/>
    </row>
    <row r="3" spans="1:9" ht="13" x14ac:dyDescent="0.3">
      <c r="C3" s="81"/>
      <c r="D3" s="83" t="s">
        <v>310</v>
      </c>
      <c r="F3" s="62"/>
      <c r="G3" s="417"/>
      <c r="H3" s="423"/>
    </row>
    <row r="4" spans="1:9" x14ac:dyDescent="0.25">
      <c r="F4" s="62"/>
      <c r="G4" s="417"/>
      <c r="H4" s="423"/>
    </row>
    <row r="5" spans="1:9" ht="14" thickBot="1" x14ac:dyDescent="0.3">
      <c r="A5" s="32" t="s">
        <v>231</v>
      </c>
      <c r="B5" s="33" t="s">
        <v>136</v>
      </c>
      <c r="C5" s="33" t="s">
        <v>137</v>
      </c>
      <c r="D5" s="32" t="s">
        <v>138</v>
      </c>
      <c r="E5" s="32" t="s">
        <v>139</v>
      </c>
      <c r="F5" s="63"/>
      <c r="G5" s="417"/>
      <c r="H5" s="423"/>
    </row>
    <row r="6" spans="1:9" ht="27" x14ac:dyDescent="0.25">
      <c r="A6" s="51" t="s">
        <v>240</v>
      </c>
      <c r="B6" s="358">
        <v>1</v>
      </c>
      <c r="C6" s="58" t="s">
        <v>6</v>
      </c>
      <c r="D6" s="52"/>
      <c r="E6" s="407" t="s">
        <v>244</v>
      </c>
      <c r="F6" s="62"/>
      <c r="G6" s="417"/>
      <c r="H6" s="423"/>
    </row>
    <row r="7" spans="1:9" ht="27" x14ac:dyDescent="0.25">
      <c r="A7" s="52" t="s">
        <v>242</v>
      </c>
      <c r="B7" s="358">
        <v>10</v>
      </c>
      <c r="C7" s="58" t="s">
        <v>6</v>
      </c>
      <c r="D7" s="536" t="s">
        <v>979</v>
      </c>
      <c r="E7" s="407" t="s">
        <v>983</v>
      </c>
      <c r="F7" s="551" t="s">
        <v>982</v>
      </c>
      <c r="G7" s="417"/>
      <c r="H7" s="423"/>
    </row>
    <row r="8" spans="1:9" ht="13.5" x14ac:dyDescent="0.25">
      <c r="A8" s="52" t="s">
        <v>287</v>
      </c>
      <c r="B8" s="358">
        <v>10</v>
      </c>
      <c r="C8" s="58" t="s">
        <v>215</v>
      </c>
      <c r="D8" s="51"/>
      <c r="E8" s="407" t="s">
        <v>244</v>
      </c>
      <c r="F8" s="407"/>
      <c r="G8" s="417"/>
      <c r="H8" s="423"/>
    </row>
    <row r="9" spans="1:9" x14ac:dyDescent="0.25">
      <c r="A9" s="53"/>
      <c r="B9" s="50"/>
      <c r="C9" s="50"/>
      <c r="D9" s="53"/>
      <c r="E9" s="422"/>
      <c r="F9" s="407"/>
      <c r="G9" s="417"/>
      <c r="H9" s="423"/>
    </row>
    <row r="10" spans="1:9" ht="14" thickBot="1" x14ac:dyDescent="0.3">
      <c r="A10" s="54" t="s">
        <v>135</v>
      </c>
      <c r="B10" s="56" t="s">
        <v>136</v>
      </c>
      <c r="C10" s="59" t="s">
        <v>137</v>
      </c>
      <c r="D10" s="54" t="s">
        <v>138</v>
      </c>
      <c r="E10" s="54" t="s">
        <v>139</v>
      </c>
      <c r="F10" s="407"/>
      <c r="G10" s="417"/>
      <c r="H10" s="424"/>
    </row>
    <row r="11" spans="1:9" x14ac:dyDescent="0.25">
      <c r="A11" s="53"/>
      <c r="B11" s="50"/>
      <c r="C11" s="50"/>
      <c r="D11" s="53"/>
      <c r="E11" s="422"/>
      <c r="F11" s="407"/>
      <c r="G11" s="417"/>
      <c r="H11" s="423"/>
    </row>
    <row r="12" spans="1:9" ht="13.5" x14ac:dyDescent="0.25">
      <c r="A12" s="55" t="s">
        <v>257</v>
      </c>
      <c r="B12" s="48"/>
      <c r="C12" s="48"/>
      <c r="D12" s="60"/>
      <c r="E12" s="408"/>
      <c r="F12" s="407"/>
      <c r="G12" s="417"/>
      <c r="H12" s="423"/>
    </row>
    <row r="13" spans="1:9" ht="13.5" x14ac:dyDescent="0.25">
      <c r="A13" s="39" t="s">
        <v>234</v>
      </c>
      <c r="B13" s="357">
        <v>0</v>
      </c>
      <c r="C13" s="38" t="s">
        <v>211</v>
      </c>
      <c r="D13" s="39" t="s">
        <v>210</v>
      </c>
      <c r="E13" s="375"/>
      <c r="F13" s="407"/>
      <c r="G13" s="417"/>
      <c r="H13" s="425"/>
    </row>
    <row r="14" spans="1:9" ht="13.5" x14ac:dyDescent="0.25">
      <c r="A14" s="39" t="s">
        <v>232</v>
      </c>
      <c r="B14" s="357">
        <v>1</v>
      </c>
      <c r="C14" s="38" t="s">
        <v>211</v>
      </c>
      <c r="D14" s="39" t="s">
        <v>212</v>
      </c>
      <c r="E14" s="375"/>
      <c r="F14" s="407"/>
      <c r="G14" s="417"/>
      <c r="H14" s="425"/>
    </row>
    <row r="15" spans="1:9" ht="113.25" customHeight="1" x14ac:dyDescent="0.25">
      <c r="A15" s="39" t="s">
        <v>233</v>
      </c>
      <c r="B15" s="357" t="s">
        <v>978</v>
      </c>
      <c r="C15" s="40" t="s">
        <v>213</v>
      </c>
      <c r="D15" s="548" t="s">
        <v>966</v>
      </c>
      <c r="E15" s="409" t="s">
        <v>650</v>
      </c>
      <c r="F15" s="537" t="s">
        <v>914</v>
      </c>
      <c r="G15" s="550" t="s">
        <v>980</v>
      </c>
      <c r="H15" s="426"/>
    </row>
    <row r="16" spans="1:9" ht="27" x14ac:dyDescent="0.25">
      <c r="A16" s="43" t="s">
        <v>235</v>
      </c>
      <c r="B16" s="57">
        <f>MechanicalData!B54-2*MechanicalData!B57</f>
        <v>156.91666666666666</v>
      </c>
      <c r="C16" s="40" t="s">
        <v>215</v>
      </c>
      <c r="D16" s="39" t="s">
        <v>214</v>
      </c>
      <c r="E16" s="410" t="s">
        <v>236</v>
      </c>
      <c r="F16" s="407"/>
      <c r="G16" s="427"/>
      <c r="H16" s="425"/>
      <c r="I16" s="36"/>
    </row>
    <row r="17" spans="1:8" ht="13.5" x14ac:dyDescent="0.25">
      <c r="A17" s="39" t="s">
        <v>237</v>
      </c>
      <c r="B17" s="57">
        <f>MechanicalData!B52/2+MechanicalData!B57+MechanicalData!B58+B6</f>
        <v>89.523927875243672</v>
      </c>
      <c r="C17" s="40" t="s">
        <v>215</v>
      </c>
      <c r="D17" s="39" t="s">
        <v>151</v>
      </c>
      <c r="E17" s="410" t="s">
        <v>238</v>
      </c>
      <c r="F17" s="407"/>
      <c r="G17" s="427"/>
      <c r="H17" s="426"/>
    </row>
    <row r="18" spans="1:8" ht="13.5" x14ac:dyDescent="0.25">
      <c r="A18" s="39" t="s">
        <v>239</v>
      </c>
      <c r="B18" s="57">
        <f>MechanicalData!B54/2-MechanicalData!B57-B6</f>
        <v>77.458333333333329</v>
      </c>
      <c r="C18" s="38" t="s">
        <v>215</v>
      </c>
      <c r="D18" s="39" t="s">
        <v>150</v>
      </c>
      <c r="E18" s="410" t="s">
        <v>236</v>
      </c>
      <c r="F18" s="407"/>
      <c r="G18" s="427"/>
      <c r="H18" s="426"/>
    </row>
    <row r="19" spans="1:8" ht="27" x14ac:dyDescent="0.25">
      <c r="A19" s="43" t="s">
        <v>246</v>
      </c>
      <c r="B19" s="57">
        <f>MechanicalData!B54-B6</f>
        <v>160.5</v>
      </c>
      <c r="C19" s="40" t="s">
        <v>215</v>
      </c>
      <c r="D19" s="39" t="s">
        <v>226</v>
      </c>
      <c r="E19" s="410" t="s">
        <v>236</v>
      </c>
      <c r="F19" s="407"/>
      <c r="G19" s="544"/>
      <c r="H19" s="426"/>
    </row>
    <row r="20" spans="1:8" ht="60" x14ac:dyDescent="0.25">
      <c r="A20" s="43" t="s">
        <v>500</v>
      </c>
      <c r="B20" s="57">
        <f>IF(B13=1,B18-MAX(B33,B34)-B8,B18-MAX(B33,B34))</f>
        <v>77.458333333333329</v>
      </c>
      <c r="C20" s="40" t="s">
        <v>215</v>
      </c>
      <c r="D20" s="39" t="s">
        <v>260</v>
      </c>
      <c r="E20" s="411" t="s">
        <v>715</v>
      </c>
      <c r="F20" s="407"/>
      <c r="G20" s="544"/>
      <c r="H20" s="426"/>
    </row>
    <row r="21" spans="1:8" ht="30" x14ac:dyDescent="0.25">
      <c r="A21" s="43" t="s">
        <v>243</v>
      </c>
      <c r="B21" s="356">
        <v>1</v>
      </c>
      <c r="C21" s="38" t="s">
        <v>215</v>
      </c>
      <c r="D21" s="521" t="s">
        <v>216</v>
      </c>
      <c r="E21" s="411" t="s">
        <v>244</v>
      </c>
      <c r="F21" s="538" t="s">
        <v>967</v>
      </c>
      <c r="G21" s="544"/>
      <c r="H21" s="426"/>
    </row>
    <row r="22" spans="1:8" ht="13.5" x14ac:dyDescent="0.25">
      <c r="A22" s="43" t="s">
        <v>247</v>
      </c>
      <c r="B22" s="57">
        <f>MechanicalData!B40/360*MechanicalData!B51</f>
        <v>1.0694444444444444</v>
      </c>
      <c r="C22" s="38" t="s">
        <v>215</v>
      </c>
      <c r="D22" s="39" t="s">
        <v>152</v>
      </c>
      <c r="E22" s="410" t="s">
        <v>238</v>
      </c>
      <c r="F22" s="407"/>
      <c r="G22" s="544"/>
      <c r="H22" s="424"/>
    </row>
    <row r="23" spans="1:8" ht="40" x14ac:dyDescent="0.25">
      <c r="A23" s="39" t="s">
        <v>245</v>
      </c>
      <c r="B23" s="555">
        <v>0.101563</v>
      </c>
      <c r="C23" s="40" t="s">
        <v>215</v>
      </c>
      <c r="D23" s="39" t="s">
        <v>219</v>
      </c>
      <c r="E23" s="412" t="s">
        <v>644</v>
      </c>
      <c r="F23" s="407"/>
      <c r="G23" s="544"/>
      <c r="H23" s="426"/>
    </row>
    <row r="24" spans="1:8" ht="27" x14ac:dyDescent="0.25">
      <c r="A24" s="43" t="s">
        <v>248</v>
      </c>
      <c r="B24" s="356">
        <v>0.3</v>
      </c>
      <c r="C24" s="40" t="s">
        <v>215</v>
      </c>
      <c r="D24" s="39" t="s">
        <v>227</v>
      </c>
      <c r="E24" s="411" t="s">
        <v>244</v>
      </c>
      <c r="F24" s="407"/>
      <c r="G24" s="544"/>
      <c r="H24" s="426"/>
    </row>
    <row r="25" spans="1:8" ht="13.5" x14ac:dyDescent="0.25">
      <c r="A25" s="39" t="s">
        <v>249</v>
      </c>
      <c r="B25" s="554">
        <v>5</v>
      </c>
      <c r="C25" s="40" t="s">
        <v>221</v>
      </c>
      <c r="D25" s="39" t="s">
        <v>220</v>
      </c>
      <c r="E25" s="411" t="s">
        <v>244</v>
      </c>
      <c r="F25" s="407"/>
      <c r="G25" s="544"/>
      <c r="H25" s="426"/>
    </row>
    <row r="26" spans="1:8" ht="29.5" x14ac:dyDescent="0.25">
      <c r="A26" s="45" t="s">
        <v>252</v>
      </c>
      <c r="B26" s="356">
        <v>100</v>
      </c>
      <c r="C26" s="40" t="s">
        <v>250</v>
      </c>
      <c r="D26" s="522" t="s">
        <v>223</v>
      </c>
      <c r="E26" s="413" t="s">
        <v>244</v>
      </c>
      <c r="F26" s="538" t="s">
        <v>968</v>
      </c>
      <c r="G26" s="544"/>
      <c r="H26" s="425"/>
    </row>
    <row r="27" spans="1:8" ht="13.5" x14ac:dyDescent="0.25">
      <c r="A27" s="45" t="s">
        <v>251</v>
      </c>
      <c r="B27" s="359">
        <v>50</v>
      </c>
      <c r="C27" s="40" t="s">
        <v>225</v>
      </c>
      <c r="D27" s="45" t="s">
        <v>224</v>
      </c>
      <c r="E27" s="413" t="s">
        <v>244</v>
      </c>
      <c r="F27" s="407"/>
      <c r="G27" s="544"/>
      <c r="H27" s="425"/>
    </row>
    <row r="28" spans="1:8" ht="170" x14ac:dyDescent="0.25">
      <c r="A28" s="46" t="s">
        <v>645</v>
      </c>
      <c r="B28" s="356">
        <v>0</v>
      </c>
      <c r="C28" s="40" t="s">
        <v>213</v>
      </c>
      <c r="D28" s="522" t="s">
        <v>228</v>
      </c>
      <c r="E28" s="414" t="s">
        <v>646</v>
      </c>
      <c r="F28" s="538" t="s">
        <v>969</v>
      </c>
      <c r="G28" s="545"/>
      <c r="H28" s="426"/>
    </row>
    <row r="29" spans="1:8" ht="70" x14ac:dyDescent="0.25">
      <c r="A29" s="47" t="s">
        <v>253</v>
      </c>
      <c r="B29" s="356">
        <v>3.5996100000000002</v>
      </c>
      <c r="C29" s="40" t="s">
        <v>213</v>
      </c>
      <c r="D29" s="45" t="s">
        <v>217</v>
      </c>
      <c r="E29" s="413" t="s">
        <v>647</v>
      </c>
      <c r="F29" s="407"/>
      <c r="G29" s="546"/>
      <c r="H29" s="426"/>
    </row>
    <row r="30" spans="1:8" ht="60" x14ac:dyDescent="0.25">
      <c r="A30" s="47" t="s">
        <v>254</v>
      </c>
      <c r="B30" s="356">
        <v>7.5</v>
      </c>
      <c r="C30" s="40" t="s">
        <v>213</v>
      </c>
      <c r="D30" s="45" t="s">
        <v>218</v>
      </c>
      <c r="E30" s="414" t="s">
        <v>648</v>
      </c>
      <c r="F30" s="407"/>
      <c r="G30" s="546"/>
      <c r="H30" s="426"/>
    </row>
    <row r="31" spans="1:8" ht="29.5" x14ac:dyDescent="0.25">
      <c r="A31" s="47" t="s">
        <v>264</v>
      </c>
      <c r="B31" s="359">
        <v>2000</v>
      </c>
      <c r="C31" s="38" t="s">
        <v>222</v>
      </c>
      <c r="D31" s="522" t="s">
        <v>970</v>
      </c>
      <c r="E31" s="414" t="s">
        <v>984</v>
      </c>
      <c r="F31" s="538" t="s">
        <v>971</v>
      </c>
      <c r="G31" s="546"/>
      <c r="H31" s="425"/>
    </row>
    <row r="32" spans="1:8" ht="50" x14ac:dyDescent="0.25">
      <c r="A32" s="47" t="s">
        <v>262</v>
      </c>
      <c r="B32" s="359">
        <v>200</v>
      </c>
      <c r="C32" s="38" t="s">
        <v>222</v>
      </c>
      <c r="D32" s="45" t="s">
        <v>261</v>
      </c>
      <c r="E32" s="414" t="s">
        <v>643</v>
      </c>
      <c r="F32" s="407"/>
      <c r="G32" s="546"/>
      <c r="H32" s="425"/>
    </row>
    <row r="33" spans="1:8" ht="13.5" x14ac:dyDescent="0.25">
      <c r="A33" s="47" t="s">
        <v>263</v>
      </c>
      <c r="B33" s="356">
        <v>0</v>
      </c>
      <c r="C33" s="38" t="s">
        <v>215</v>
      </c>
      <c r="D33" s="45" t="s">
        <v>258</v>
      </c>
      <c r="E33" s="414"/>
      <c r="F33" s="407"/>
      <c r="G33" s="546"/>
      <c r="H33" s="425"/>
    </row>
    <row r="34" spans="1:8" ht="13.5" x14ac:dyDescent="0.25">
      <c r="A34" s="47" t="s">
        <v>263</v>
      </c>
      <c r="B34" s="356">
        <v>0</v>
      </c>
      <c r="C34" s="38" t="s">
        <v>215</v>
      </c>
      <c r="D34" s="45" t="s">
        <v>259</v>
      </c>
      <c r="E34" s="414"/>
      <c r="F34" s="407"/>
      <c r="G34" s="546"/>
      <c r="H34" s="425"/>
    </row>
    <row r="35" spans="1:8" ht="30" x14ac:dyDescent="0.25">
      <c r="A35" s="47" t="s">
        <v>255</v>
      </c>
      <c r="B35" s="359">
        <v>0</v>
      </c>
      <c r="C35" s="38" t="s">
        <v>211</v>
      </c>
      <c r="D35" s="522" t="s">
        <v>229</v>
      </c>
      <c r="E35" s="414" t="s">
        <v>256</v>
      </c>
      <c r="F35" s="538" t="s">
        <v>981</v>
      </c>
      <c r="G35" s="546"/>
      <c r="H35" s="425"/>
    </row>
    <row r="36" spans="1:8" ht="13.5" x14ac:dyDescent="0.25">
      <c r="A36" s="47"/>
      <c r="B36" s="48"/>
      <c r="C36" s="38"/>
      <c r="D36" s="45"/>
      <c r="E36" s="414"/>
      <c r="F36" s="407"/>
      <c r="G36" s="546"/>
      <c r="H36" s="425"/>
    </row>
    <row r="37" spans="1:8" ht="90" x14ac:dyDescent="0.25">
      <c r="A37" s="47" t="s">
        <v>285</v>
      </c>
      <c r="B37" s="57">
        <f>IF(B13=1,B18-B7-B8-MAX(B33,B34),B18-B7-MAX(B33,B34))</f>
        <v>67.458333333333329</v>
      </c>
      <c r="C37" s="154" t="s">
        <v>215</v>
      </c>
      <c r="D37" s="45" t="s">
        <v>153</v>
      </c>
      <c r="E37" s="414" t="s">
        <v>299</v>
      </c>
      <c r="F37" s="407"/>
      <c r="G37" s="546"/>
      <c r="H37" s="425"/>
    </row>
    <row r="38" spans="1:8" ht="120" x14ac:dyDescent="0.25">
      <c r="A38" s="47" t="s">
        <v>286</v>
      </c>
      <c r="B38" s="57">
        <f>IF(B13=1,B18-B7-MAX(B33,B34),B37)</f>
        <v>67.458333333333329</v>
      </c>
      <c r="C38" s="154" t="s">
        <v>215</v>
      </c>
      <c r="D38" s="45" t="s">
        <v>154</v>
      </c>
      <c r="E38" s="414" t="s">
        <v>716</v>
      </c>
      <c r="F38" s="407"/>
      <c r="G38" s="546"/>
      <c r="H38" s="425"/>
    </row>
    <row r="39" spans="1:8" ht="13.5" x14ac:dyDescent="0.25">
      <c r="A39" s="47"/>
      <c r="B39" s="48"/>
      <c r="C39" s="38"/>
      <c r="D39" s="45"/>
      <c r="E39" s="414"/>
      <c r="F39" s="407"/>
      <c r="G39" s="546"/>
      <c r="H39" s="425"/>
    </row>
    <row r="40" spans="1:8" ht="20" x14ac:dyDescent="0.25">
      <c r="A40" s="47" t="s">
        <v>272</v>
      </c>
      <c r="B40" s="356" t="s">
        <v>269</v>
      </c>
      <c r="C40" s="38" t="s">
        <v>213</v>
      </c>
      <c r="D40" s="539" t="s">
        <v>991</v>
      </c>
      <c r="E40" s="414" t="s">
        <v>311</v>
      </c>
      <c r="F40" s="551" t="s">
        <v>985</v>
      </c>
      <c r="G40" s="546"/>
      <c r="H40" s="425"/>
    </row>
    <row r="41" spans="1:8" ht="20" x14ac:dyDescent="0.25">
      <c r="A41" s="47" t="s">
        <v>273</v>
      </c>
      <c r="B41" s="356">
        <v>1</v>
      </c>
      <c r="C41" s="38" t="s">
        <v>211</v>
      </c>
      <c r="D41" s="539" t="s">
        <v>992</v>
      </c>
      <c r="E41" s="414" t="s">
        <v>311</v>
      </c>
      <c r="F41" s="551" t="s">
        <v>985</v>
      </c>
      <c r="G41" s="546"/>
      <c r="H41" s="425"/>
    </row>
    <row r="42" spans="1:8" ht="20" x14ac:dyDescent="0.25">
      <c r="A42" s="47" t="s">
        <v>271</v>
      </c>
      <c r="B42" s="356">
        <v>1</v>
      </c>
      <c r="C42" s="38" t="s">
        <v>211</v>
      </c>
      <c r="D42" s="522" t="s">
        <v>265</v>
      </c>
      <c r="E42" s="414"/>
      <c r="F42" s="538" t="s">
        <v>988</v>
      </c>
      <c r="G42" s="546"/>
      <c r="H42" s="425"/>
    </row>
    <row r="43" spans="1:8" ht="29.5" x14ac:dyDescent="0.25">
      <c r="A43" s="47" t="s">
        <v>274</v>
      </c>
      <c r="B43" s="360">
        <v>1E-3</v>
      </c>
      <c r="C43" s="38" t="s">
        <v>288</v>
      </c>
      <c r="D43" s="522" t="s">
        <v>266</v>
      </c>
      <c r="E43" s="414"/>
      <c r="F43" s="538" t="s">
        <v>986</v>
      </c>
      <c r="G43" s="546"/>
      <c r="H43" s="425"/>
    </row>
    <row r="44" spans="1:8" ht="29.5" x14ac:dyDescent="0.25">
      <c r="A44" s="47" t="s">
        <v>275</v>
      </c>
      <c r="B44" s="356">
        <v>200</v>
      </c>
      <c r="C44" s="38" t="s">
        <v>222</v>
      </c>
      <c r="D44" s="522" t="s">
        <v>267</v>
      </c>
      <c r="E44" s="414" t="s">
        <v>289</v>
      </c>
      <c r="F44" s="538" t="s">
        <v>987</v>
      </c>
      <c r="G44" s="546"/>
      <c r="H44" s="425"/>
    </row>
    <row r="45" spans="1:8" ht="49.5" x14ac:dyDescent="0.25">
      <c r="A45" s="46" t="s">
        <v>270</v>
      </c>
      <c r="B45" s="356">
        <v>2</v>
      </c>
      <c r="C45" s="38" t="s">
        <v>213</v>
      </c>
      <c r="D45" s="522" t="s">
        <v>268</v>
      </c>
      <c r="E45" s="414" t="s">
        <v>290</v>
      </c>
      <c r="F45" s="538" t="s">
        <v>989</v>
      </c>
      <c r="G45" s="547"/>
      <c r="H45" s="425"/>
    </row>
    <row r="46" spans="1:8" ht="13.5" x14ac:dyDescent="0.25">
      <c r="A46" s="47"/>
      <c r="B46" s="361"/>
      <c r="C46" s="38"/>
      <c r="D46" s="45"/>
      <c r="E46" s="414"/>
      <c r="F46" s="407"/>
      <c r="G46" s="417"/>
      <c r="H46" s="425"/>
    </row>
    <row r="47" spans="1:8" ht="30" x14ac:dyDescent="0.25">
      <c r="A47" s="47" t="s">
        <v>282</v>
      </c>
      <c r="B47" s="360">
        <v>7.0000000000000001E-3</v>
      </c>
      <c r="C47" s="49" t="s">
        <v>281</v>
      </c>
      <c r="D47" s="522" t="s">
        <v>276</v>
      </c>
      <c r="E47" s="415"/>
      <c r="F47" s="538" t="s">
        <v>990</v>
      </c>
      <c r="G47" s="417"/>
      <c r="H47" s="425"/>
    </row>
    <row r="48" spans="1:8" ht="13.5" x14ac:dyDescent="0.25">
      <c r="A48" s="47" t="s">
        <v>293</v>
      </c>
      <c r="B48" s="356">
        <v>0.25</v>
      </c>
      <c r="C48" s="38" t="s">
        <v>211</v>
      </c>
      <c r="D48" s="45" t="s">
        <v>277</v>
      </c>
      <c r="E48" s="414" t="s">
        <v>294</v>
      </c>
      <c r="F48" s="407"/>
      <c r="G48" s="417"/>
      <c r="H48" s="425"/>
    </row>
    <row r="49" spans="1:8" ht="80" x14ac:dyDescent="0.25">
      <c r="A49" s="47" t="s">
        <v>656</v>
      </c>
      <c r="B49" s="356">
        <v>0</v>
      </c>
      <c r="C49" s="38" t="s">
        <v>288</v>
      </c>
      <c r="D49" s="522" t="s">
        <v>230</v>
      </c>
      <c r="E49" s="414" t="s">
        <v>657</v>
      </c>
      <c r="F49" s="538" t="s">
        <v>915</v>
      </c>
      <c r="G49" s="417"/>
      <c r="H49" s="425"/>
    </row>
    <row r="50" spans="1:8" ht="20" x14ac:dyDescent="0.25">
      <c r="A50" s="47" t="s">
        <v>284</v>
      </c>
      <c r="B50" s="356">
        <v>1</v>
      </c>
      <c r="C50" s="38" t="s">
        <v>213</v>
      </c>
      <c r="D50" s="522" t="s">
        <v>278</v>
      </c>
      <c r="E50" s="414"/>
      <c r="F50" s="538" t="s">
        <v>916</v>
      </c>
      <c r="G50" s="417"/>
      <c r="H50" s="425"/>
    </row>
    <row r="51" spans="1:8" ht="30" x14ac:dyDescent="0.25">
      <c r="A51" s="47" t="s">
        <v>291</v>
      </c>
      <c r="B51" s="356">
        <v>2</v>
      </c>
      <c r="C51" s="38" t="s">
        <v>213</v>
      </c>
      <c r="D51" s="522" t="s">
        <v>279</v>
      </c>
      <c r="E51" s="414" t="s">
        <v>292</v>
      </c>
      <c r="F51" s="538" t="s">
        <v>917</v>
      </c>
      <c r="G51" s="417"/>
      <c r="H51" s="425"/>
    </row>
    <row r="52" spans="1:8" ht="20" x14ac:dyDescent="0.25">
      <c r="A52" s="47" t="s">
        <v>283</v>
      </c>
      <c r="B52" s="356">
        <v>20</v>
      </c>
      <c r="C52" s="38" t="s">
        <v>225</v>
      </c>
      <c r="D52" s="522" t="s">
        <v>280</v>
      </c>
      <c r="E52" s="414"/>
      <c r="F52" s="538" t="s">
        <v>918</v>
      </c>
      <c r="G52" s="417"/>
      <c r="H52" s="425"/>
    </row>
    <row r="53" spans="1:8" ht="40.5" x14ac:dyDescent="0.25">
      <c r="A53" s="47" t="s">
        <v>996</v>
      </c>
      <c r="B53" s="356" t="s">
        <v>997</v>
      </c>
      <c r="C53" s="38" t="s">
        <v>211</v>
      </c>
      <c r="D53" s="539" t="s">
        <v>993</v>
      </c>
      <c r="E53" s="414" t="s">
        <v>965</v>
      </c>
      <c r="F53" s="537" t="s">
        <v>919</v>
      </c>
      <c r="G53" s="417"/>
      <c r="H53" s="425"/>
    </row>
    <row r="54" spans="1:8" ht="40.5" x14ac:dyDescent="0.25">
      <c r="A54" s="47" t="s">
        <v>298</v>
      </c>
      <c r="B54" s="356" t="s">
        <v>297</v>
      </c>
      <c r="C54" s="38" t="s">
        <v>211</v>
      </c>
      <c r="D54" s="539" t="s">
        <v>995</v>
      </c>
      <c r="E54" s="414" t="s">
        <v>499</v>
      </c>
      <c r="F54" s="537" t="s">
        <v>919</v>
      </c>
      <c r="G54" s="417"/>
      <c r="H54" s="425"/>
    </row>
    <row r="55" spans="1:8" ht="30" x14ac:dyDescent="0.25">
      <c r="A55" s="47" t="s">
        <v>295</v>
      </c>
      <c r="B55" s="359">
        <v>0</v>
      </c>
      <c r="C55" s="38" t="s">
        <v>211</v>
      </c>
      <c r="D55" s="45" t="s">
        <v>994</v>
      </c>
      <c r="E55" s="414" t="s">
        <v>296</v>
      </c>
      <c r="F55" s="407"/>
      <c r="G55" s="417"/>
      <c r="H55" s="425"/>
    </row>
    <row r="56" spans="1:8" ht="13.5" x14ac:dyDescent="0.25">
      <c r="A56" s="47"/>
      <c r="B56" s="361"/>
      <c r="C56" s="38"/>
      <c r="D56" s="543"/>
      <c r="E56" s="529" t="s">
        <v>972</v>
      </c>
      <c r="F56" s="407"/>
      <c r="G56" s="417"/>
      <c r="H56" s="425"/>
    </row>
    <row r="57" spans="1:8" ht="13.5" x14ac:dyDescent="0.25">
      <c r="A57" s="418" t="s">
        <v>714</v>
      </c>
      <c r="B57" s="361"/>
      <c r="C57" s="361"/>
      <c r="D57" s="523"/>
      <c r="E57" s="530" t="s">
        <v>973</v>
      </c>
      <c r="F57" s="407"/>
      <c r="G57" s="417"/>
      <c r="H57" s="424"/>
    </row>
    <row r="58" spans="1:8" ht="13.5" x14ac:dyDescent="0.3">
      <c r="A58" s="416"/>
      <c r="B58" s="416"/>
      <c r="C58" s="416"/>
      <c r="D58" s="416"/>
      <c r="E58" s="416"/>
      <c r="F58" s="407"/>
      <c r="G58" s="417"/>
      <c r="H58" s="423"/>
    </row>
    <row r="59" spans="1:8" ht="13.5" x14ac:dyDescent="0.3">
      <c r="A59" s="416"/>
      <c r="B59" s="416"/>
      <c r="C59" s="417"/>
      <c r="D59" s="417"/>
      <c r="E59" s="417"/>
      <c r="F59" s="407"/>
      <c r="G59" s="417"/>
      <c r="H59" s="423"/>
    </row>
    <row r="60" spans="1:8" ht="13.5" x14ac:dyDescent="0.3">
      <c r="A60" s="419"/>
      <c r="B60" s="420"/>
      <c r="C60" s="420"/>
      <c r="D60" s="420"/>
      <c r="E60" s="420"/>
      <c r="F60" s="407"/>
      <c r="G60" s="417"/>
      <c r="H60" s="423"/>
    </row>
    <row r="61" spans="1:8" ht="13.5" x14ac:dyDescent="0.3">
      <c r="A61" s="421"/>
      <c r="B61" s="383"/>
      <c r="C61" s="383"/>
      <c r="D61" s="383"/>
      <c r="E61" s="383"/>
      <c r="F61" s="407"/>
      <c r="G61" s="417"/>
      <c r="H61" s="423"/>
    </row>
    <row r="62" spans="1:8" ht="13.5" x14ac:dyDescent="0.3">
      <c r="A62" s="607" t="s">
        <v>607</v>
      </c>
      <c r="B62" s="607"/>
      <c r="C62" s="607"/>
      <c r="D62" s="607"/>
      <c r="E62" s="607"/>
      <c r="F62" s="407"/>
      <c r="G62" s="417"/>
      <c r="H62" s="423"/>
    </row>
    <row r="63" spans="1:8" ht="13.5" x14ac:dyDescent="0.3">
      <c r="A63" s="416"/>
      <c r="B63" s="416"/>
      <c r="C63" s="416"/>
      <c r="D63" s="416"/>
      <c r="E63" s="416"/>
      <c r="F63" s="407"/>
      <c r="G63" s="417"/>
      <c r="H63" s="423"/>
    </row>
    <row r="64" spans="1:8" ht="13.5" x14ac:dyDescent="0.3">
      <c r="A64" s="416"/>
      <c r="B64" s="416"/>
      <c r="C64" s="416"/>
      <c r="D64" s="416"/>
      <c r="E64" s="416"/>
      <c r="F64" s="407"/>
      <c r="G64" s="417"/>
      <c r="H64" s="423"/>
    </row>
    <row r="65" spans="1:8" ht="13.5" x14ac:dyDescent="0.3">
      <c r="A65" s="416"/>
      <c r="B65" s="416"/>
      <c r="C65" s="416"/>
      <c r="D65" s="417"/>
      <c r="E65" s="416"/>
      <c r="F65" s="407"/>
      <c r="G65" s="417"/>
      <c r="H65" s="425"/>
    </row>
    <row r="66" spans="1:8" ht="13.5" x14ac:dyDescent="0.3">
      <c r="A66" s="416"/>
      <c r="B66" s="416"/>
      <c r="C66" s="416"/>
      <c r="D66" s="416"/>
      <c r="E66" s="416"/>
      <c r="F66" s="407"/>
      <c r="G66" s="417"/>
      <c r="H66" s="423"/>
    </row>
    <row r="67" spans="1:8" ht="13.5" x14ac:dyDescent="0.3">
      <c r="A67" s="416"/>
      <c r="B67" s="416"/>
      <c r="C67" s="416"/>
      <c r="D67" s="416"/>
      <c r="E67" s="416"/>
      <c r="F67" s="407"/>
      <c r="G67" s="417"/>
      <c r="H67" s="423"/>
    </row>
    <row r="68" spans="1:8" ht="13.5" x14ac:dyDescent="0.3">
      <c r="A68" s="416"/>
      <c r="B68" s="416"/>
      <c r="C68" s="416"/>
      <c r="D68" s="416"/>
      <c r="E68" s="416"/>
      <c r="F68" s="407"/>
      <c r="G68" s="417"/>
      <c r="H68" s="423"/>
    </row>
    <row r="69" spans="1:8" ht="13.5" x14ac:dyDescent="0.3">
      <c r="A69" s="416"/>
      <c r="B69" s="416"/>
      <c r="C69" s="416"/>
      <c r="D69" s="416"/>
      <c r="E69" s="416"/>
      <c r="F69" s="407"/>
      <c r="G69" s="417"/>
      <c r="H69" s="423"/>
    </row>
    <row r="70" spans="1:8" ht="13.5" x14ac:dyDescent="0.3">
      <c r="A70" s="416"/>
      <c r="B70" s="416"/>
      <c r="C70" s="416"/>
      <c r="D70" s="416"/>
      <c r="E70" s="416"/>
      <c r="F70" s="407"/>
      <c r="G70" s="417"/>
      <c r="H70" s="423"/>
    </row>
    <row r="71" spans="1:8" ht="13.5" x14ac:dyDescent="0.3">
      <c r="A71" s="416"/>
      <c r="B71" s="416"/>
      <c r="C71" s="416"/>
      <c r="D71" s="416"/>
      <c r="E71" s="416"/>
      <c r="F71" s="407"/>
      <c r="G71" s="417"/>
      <c r="H71" s="423"/>
    </row>
    <row r="72" spans="1:8" ht="13.5" x14ac:dyDescent="0.3">
      <c r="A72" s="416"/>
      <c r="B72" s="416"/>
      <c r="C72" s="416"/>
      <c r="D72" s="416"/>
      <c r="E72" s="416"/>
      <c r="F72" s="407"/>
      <c r="G72" s="417"/>
      <c r="H72" s="423"/>
    </row>
    <row r="73" spans="1:8" ht="13.5" x14ac:dyDescent="0.3">
      <c r="A73" s="416"/>
      <c r="B73" s="416"/>
      <c r="C73" s="416"/>
      <c r="D73" s="416"/>
      <c r="E73" s="416"/>
      <c r="F73" s="407"/>
      <c r="G73" s="417"/>
      <c r="H73" s="423"/>
    </row>
    <row r="74" spans="1:8" ht="13.5" x14ac:dyDescent="0.3">
      <c r="A74" s="416"/>
      <c r="B74" s="416"/>
      <c r="C74" s="416"/>
      <c r="D74" s="416"/>
      <c r="E74" s="416"/>
      <c r="F74" s="407"/>
      <c r="G74" s="417"/>
      <c r="H74" s="423"/>
    </row>
    <row r="75" spans="1:8" x14ac:dyDescent="0.25">
      <c r="A75" s="417"/>
      <c r="B75" s="417"/>
      <c r="C75" s="417"/>
      <c r="D75" s="417"/>
      <c r="E75" s="417"/>
      <c r="F75" s="407"/>
      <c r="G75" s="417"/>
      <c r="H75" s="423"/>
    </row>
    <row r="76" spans="1:8" x14ac:dyDescent="0.25">
      <c r="A76" s="417"/>
      <c r="B76" s="417"/>
      <c r="C76" s="417"/>
      <c r="D76" s="417"/>
      <c r="E76" s="417"/>
      <c r="F76" s="407"/>
      <c r="G76" s="417"/>
      <c r="H76" s="423"/>
    </row>
    <row r="77" spans="1:8" x14ac:dyDescent="0.25">
      <c r="A77" s="417"/>
      <c r="B77" s="417"/>
      <c r="C77" s="417"/>
      <c r="D77" s="417"/>
      <c r="E77" s="417"/>
      <c r="F77" s="407"/>
      <c r="G77" s="417"/>
      <c r="H77" s="423"/>
    </row>
    <row r="78" spans="1:8" x14ac:dyDescent="0.25">
      <c r="A78" s="417"/>
      <c r="B78" s="417"/>
      <c r="C78" s="417"/>
      <c r="D78" s="417"/>
      <c r="E78" s="417"/>
      <c r="F78" s="407"/>
      <c r="G78" s="417"/>
      <c r="H78" s="423"/>
    </row>
    <row r="79" spans="1:8" x14ac:dyDescent="0.25">
      <c r="A79" s="417"/>
      <c r="B79" s="417"/>
      <c r="C79" s="417"/>
      <c r="D79" s="417"/>
      <c r="E79" s="417"/>
      <c r="F79" s="407"/>
      <c r="G79" s="417"/>
      <c r="H79" s="423"/>
    </row>
    <row r="80" spans="1:8" x14ac:dyDescent="0.25">
      <c r="A80" s="417"/>
      <c r="B80" s="417"/>
      <c r="C80" s="417"/>
      <c r="D80" s="417"/>
      <c r="E80" s="417"/>
      <c r="F80" s="407"/>
      <c r="G80" s="417"/>
      <c r="H80" s="423"/>
    </row>
    <row r="81" spans="1:8" x14ac:dyDescent="0.25">
      <c r="A81" s="417"/>
      <c r="B81" s="417"/>
      <c r="C81" s="417"/>
      <c r="D81" s="417"/>
      <c r="E81" s="417"/>
      <c r="F81" s="407"/>
      <c r="G81" s="417"/>
      <c r="H81" s="423"/>
    </row>
    <row r="82" spans="1:8" x14ac:dyDescent="0.25">
      <c r="A82" s="417"/>
      <c r="B82" s="417"/>
      <c r="C82" s="417"/>
      <c r="D82" s="417"/>
      <c r="E82" s="417"/>
      <c r="F82" s="407"/>
    </row>
    <row r="83" spans="1:8" x14ac:dyDescent="0.25">
      <c r="A83" s="417"/>
      <c r="B83" s="417"/>
      <c r="C83" s="417"/>
      <c r="D83" s="417"/>
      <c r="E83" s="417"/>
      <c r="F83" s="407"/>
    </row>
    <row r="84" spans="1:8" x14ac:dyDescent="0.25">
      <c r="A84" s="417"/>
      <c r="B84" s="417"/>
      <c r="C84" s="417"/>
      <c r="D84" s="417"/>
      <c r="E84" s="417"/>
      <c r="F84" s="407"/>
    </row>
    <row r="85" spans="1:8" x14ac:dyDescent="0.25">
      <c r="A85" s="417"/>
      <c r="B85" s="417"/>
      <c r="C85" s="417"/>
      <c r="D85" s="417"/>
      <c r="E85" s="417"/>
    </row>
    <row r="86" spans="1:8" x14ac:dyDescent="0.25">
      <c r="A86" s="417"/>
      <c r="B86" s="417"/>
      <c r="C86" s="417"/>
      <c r="D86" s="417"/>
      <c r="E86" s="417"/>
    </row>
    <row r="87" spans="1:8" x14ac:dyDescent="0.25">
      <c r="A87" s="417"/>
      <c r="B87" s="417"/>
      <c r="C87" s="417"/>
      <c r="D87" s="417"/>
      <c r="E87" s="417"/>
    </row>
    <row r="88" spans="1:8" x14ac:dyDescent="0.25">
      <c r="A88" s="417"/>
      <c r="B88" s="417"/>
      <c r="C88" s="417"/>
      <c r="D88" s="417"/>
      <c r="E88" s="417"/>
    </row>
    <row r="89" spans="1:8" x14ac:dyDescent="0.25">
      <c r="A89" s="417"/>
      <c r="B89" s="417"/>
      <c r="C89" s="417"/>
      <c r="D89" s="417"/>
      <c r="E89" s="417"/>
    </row>
    <row r="90" spans="1:8" x14ac:dyDescent="0.25">
      <c r="A90" s="417"/>
      <c r="B90" s="417"/>
      <c r="C90" s="417"/>
      <c r="D90" s="417"/>
      <c r="E90" s="417"/>
    </row>
    <row r="91" spans="1:8" x14ac:dyDescent="0.25">
      <c r="A91" s="417"/>
      <c r="B91" s="417"/>
      <c r="C91" s="417"/>
      <c r="D91" s="417"/>
      <c r="E91" s="417"/>
    </row>
    <row r="92" spans="1:8" x14ac:dyDescent="0.25">
      <c r="A92" s="417"/>
      <c r="B92" s="417"/>
      <c r="C92" s="417"/>
      <c r="D92" s="417"/>
      <c r="E92" s="417"/>
    </row>
    <row r="93" spans="1:8" x14ac:dyDescent="0.25">
      <c r="A93" s="417"/>
      <c r="B93" s="417"/>
      <c r="C93" s="417"/>
      <c r="D93" s="417"/>
      <c r="E93" s="417"/>
    </row>
    <row r="94" spans="1:8" x14ac:dyDescent="0.25">
      <c r="A94" s="417"/>
      <c r="B94" s="417"/>
      <c r="C94" s="417"/>
      <c r="D94" s="417"/>
      <c r="E94" s="417"/>
    </row>
    <row r="95" spans="1:8" x14ac:dyDescent="0.25">
      <c r="A95" s="417"/>
      <c r="B95" s="417"/>
      <c r="C95" s="417"/>
      <c r="D95" s="417"/>
      <c r="E95" s="417"/>
    </row>
    <row r="96" spans="1:8" x14ac:dyDescent="0.25">
      <c r="A96" s="417"/>
      <c r="B96" s="417"/>
      <c r="C96" s="417"/>
      <c r="D96" s="417"/>
      <c r="E96" s="417"/>
    </row>
    <row r="97" spans="1:5" x14ac:dyDescent="0.25">
      <c r="A97" s="417"/>
      <c r="B97" s="417"/>
      <c r="C97" s="417"/>
      <c r="D97" s="417"/>
      <c r="E97" s="417"/>
    </row>
    <row r="98" spans="1:5" x14ac:dyDescent="0.25">
      <c r="A98" s="417"/>
      <c r="B98" s="417"/>
      <c r="C98" s="417"/>
      <c r="D98" s="417"/>
      <c r="E98" s="417"/>
    </row>
    <row r="99" spans="1:5" x14ac:dyDescent="0.25">
      <c r="A99" s="417"/>
      <c r="B99" s="417"/>
      <c r="C99" s="417"/>
      <c r="D99" s="417"/>
      <c r="E99" s="417"/>
    </row>
    <row r="100" spans="1:5" x14ac:dyDescent="0.25">
      <c r="A100" s="417"/>
      <c r="B100" s="417"/>
      <c r="C100" s="417"/>
      <c r="D100" s="417"/>
      <c r="E100" s="417"/>
    </row>
    <row r="101" spans="1:5" x14ac:dyDescent="0.25">
      <c r="A101" s="417"/>
      <c r="B101" s="417"/>
      <c r="C101" s="417"/>
      <c r="D101" s="417"/>
      <c r="E101" s="417"/>
    </row>
    <row r="102" spans="1:5" x14ac:dyDescent="0.25">
      <c r="A102" s="417"/>
      <c r="B102" s="417"/>
      <c r="C102" s="417"/>
      <c r="D102" s="417"/>
      <c r="E102" s="417"/>
    </row>
    <row r="103" spans="1:5" x14ac:dyDescent="0.25">
      <c r="A103" s="417"/>
      <c r="B103" s="417"/>
      <c r="C103" s="417"/>
      <c r="D103" s="417"/>
      <c r="E103" s="417"/>
    </row>
    <row r="104" spans="1:5" x14ac:dyDescent="0.25">
      <c r="A104" s="417"/>
      <c r="B104" s="417"/>
      <c r="C104" s="417"/>
      <c r="D104" s="417"/>
      <c r="E104" s="417"/>
    </row>
    <row r="105" spans="1:5" x14ac:dyDescent="0.25">
      <c r="A105" s="417"/>
      <c r="B105" s="417"/>
      <c r="C105" s="417"/>
      <c r="D105" s="417"/>
      <c r="E105" s="417"/>
    </row>
    <row r="106" spans="1:5" x14ac:dyDescent="0.25">
      <c r="A106" s="417"/>
      <c r="B106" s="417"/>
      <c r="C106" s="417"/>
      <c r="D106" s="417"/>
      <c r="E106" s="417"/>
    </row>
    <row r="107" spans="1:5" x14ac:dyDescent="0.25">
      <c r="A107" s="417"/>
      <c r="B107" s="417"/>
      <c r="C107" s="417"/>
      <c r="D107" s="417"/>
      <c r="E107" s="417"/>
    </row>
    <row r="108" spans="1:5" x14ac:dyDescent="0.25">
      <c r="A108" s="417"/>
      <c r="B108" s="417"/>
      <c r="C108" s="417"/>
      <c r="D108" s="417"/>
      <c r="E108" s="417"/>
    </row>
    <row r="109" spans="1:5" x14ac:dyDescent="0.25">
      <c r="A109" s="417"/>
      <c r="B109" s="417"/>
      <c r="C109" s="417"/>
      <c r="D109" s="417"/>
      <c r="E109" s="417"/>
    </row>
    <row r="110" spans="1:5" x14ac:dyDescent="0.25">
      <c r="A110" s="417"/>
      <c r="B110" s="417"/>
      <c r="C110" s="417"/>
      <c r="D110" s="417"/>
      <c r="E110" s="417"/>
    </row>
    <row r="111" spans="1:5" x14ac:dyDescent="0.25">
      <c r="A111" s="417"/>
      <c r="B111" s="417"/>
      <c r="C111" s="417"/>
      <c r="D111" s="417"/>
      <c r="E111" s="417"/>
    </row>
    <row r="112" spans="1:5" x14ac:dyDescent="0.25">
      <c r="A112" s="417"/>
      <c r="B112" s="417"/>
      <c r="C112" s="417"/>
      <c r="D112" s="417"/>
      <c r="E112" s="417"/>
    </row>
    <row r="113" spans="1:5" x14ac:dyDescent="0.25">
      <c r="A113" s="417"/>
      <c r="B113" s="417"/>
      <c r="C113" s="417"/>
      <c r="D113" s="417"/>
      <c r="E113" s="417"/>
    </row>
    <row r="114" spans="1:5" x14ac:dyDescent="0.25">
      <c r="A114" s="417"/>
      <c r="B114" s="417"/>
      <c r="C114" s="417"/>
      <c r="D114" s="417"/>
      <c r="E114" s="417"/>
    </row>
    <row r="115" spans="1:5" x14ac:dyDescent="0.25">
      <c r="A115" s="417"/>
      <c r="B115" s="417"/>
      <c r="C115" s="417"/>
      <c r="D115" s="417"/>
      <c r="E115" s="417"/>
    </row>
    <row r="116" spans="1:5" x14ac:dyDescent="0.25">
      <c r="A116" s="417"/>
      <c r="B116" s="417"/>
      <c r="C116" s="417"/>
      <c r="D116" s="417"/>
      <c r="E116" s="417"/>
    </row>
    <row r="117" spans="1:5" x14ac:dyDescent="0.25">
      <c r="A117" s="417"/>
      <c r="B117" s="417"/>
      <c r="C117" s="417"/>
      <c r="D117" s="417"/>
      <c r="E117" s="417"/>
    </row>
    <row r="118" spans="1:5" x14ac:dyDescent="0.25">
      <c r="A118" s="417"/>
      <c r="B118" s="417"/>
      <c r="C118" s="417"/>
      <c r="D118" s="417"/>
      <c r="E118" s="417"/>
    </row>
    <row r="119" spans="1:5" x14ac:dyDescent="0.25">
      <c r="A119" s="417"/>
      <c r="B119" s="417"/>
      <c r="C119" s="417"/>
      <c r="D119" s="417"/>
      <c r="E119" s="417"/>
    </row>
    <row r="120" spans="1:5" x14ac:dyDescent="0.25">
      <c r="A120" s="417"/>
      <c r="B120" s="417"/>
      <c r="C120" s="417"/>
      <c r="D120" s="417"/>
      <c r="E120" s="417"/>
    </row>
    <row r="121" spans="1:5" x14ac:dyDescent="0.25">
      <c r="A121" s="417"/>
      <c r="B121" s="417"/>
      <c r="C121" s="417"/>
      <c r="D121" s="417"/>
      <c r="E121" s="417"/>
    </row>
    <row r="122" spans="1:5" x14ac:dyDescent="0.25">
      <c r="A122" s="417"/>
      <c r="B122" s="417"/>
      <c r="C122" s="417"/>
      <c r="D122" s="417"/>
      <c r="E122" s="417"/>
    </row>
    <row r="123" spans="1:5" x14ac:dyDescent="0.25">
      <c r="A123" s="417"/>
      <c r="B123" s="417"/>
      <c r="C123" s="417"/>
      <c r="D123" s="417"/>
      <c r="E123" s="417"/>
    </row>
    <row r="124" spans="1:5" x14ac:dyDescent="0.25">
      <c r="A124" s="417"/>
      <c r="B124" s="417"/>
      <c r="C124" s="417"/>
      <c r="D124" s="417"/>
      <c r="E124" s="417"/>
    </row>
    <row r="125" spans="1:5" x14ac:dyDescent="0.25">
      <c r="A125" s="417"/>
      <c r="B125" s="417"/>
      <c r="C125" s="417"/>
      <c r="D125" s="417"/>
      <c r="E125" s="417"/>
    </row>
    <row r="126" spans="1:5" x14ac:dyDescent="0.25">
      <c r="A126" s="417"/>
      <c r="B126" s="417"/>
      <c r="C126" s="417"/>
      <c r="D126" s="417"/>
      <c r="E126" s="417"/>
    </row>
    <row r="127" spans="1:5" x14ac:dyDescent="0.25">
      <c r="A127" s="417"/>
      <c r="B127" s="417"/>
      <c r="C127" s="417"/>
      <c r="D127" s="417"/>
      <c r="E127" s="417"/>
    </row>
    <row r="128" spans="1:5" x14ac:dyDescent="0.25">
      <c r="A128" s="417"/>
      <c r="B128" s="417"/>
      <c r="C128" s="417"/>
      <c r="D128" s="417"/>
      <c r="E128" s="417"/>
    </row>
    <row r="129" spans="1:5" x14ac:dyDescent="0.25">
      <c r="A129" s="417"/>
      <c r="B129" s="417"/>
      <c r="C129" s="417"/>
      <c r="D129" s="417"/>
      <c r="E129" s="417"/>
    </row>
    <row r="130" spans="1:5" x14ac:dyDescent="0.25">
      <c r="A130" s="417"/>
      <c r="B130" s="417"/>
      <c r="C130" s="417"/>
      <c r="D130" s="417"/>
      <c r="E130" s="417"/>
    </row>
    <row r="131" spans="1:5" x14ac:dyDescent="0.25">
      <c r="A131" s="417"/>
      <c r="B131" s="417"/>
      <c r="C131" s="417"/>
      <c r="D131" s="417"/>
      <c r="E131" s="417"/>
    </row>
    <row r="132" spans="1:5" x14ac:dyDescent="0.25">
      <c r="A132" s="417"/>
      <c r="B132" s="417"/>
      <c r="C132" s="417"/>
      <c r="D132" s="417"/>
      <c r="E132" s="417"/>
    </row>
    <row r="133" spans="1:5" x14ac:dyDescent="0.25">
      <c r="A133" s="417"/>
      <c r="B133" s="417"/>
      <c r="C133" s="417"/>
      <c r="D133" s="417"/>
      <c r="E133" s="417"/>
    </row>
    <row r="134" spans="1:5" x14ac:dyDescent="0.25">
      <c r="A134" s="417"/>
      <c r="B134" s="417"/>
      <c r="C134" s="417"/>
      <c r="D134" s="417"/>
      <c r="E134" s="417"/>
    </row>
    <row r="135" spans="1:5" x14ac:dyDescent="0.25">
      <c r="A135" s="417"/>
      <c r="B135" s="417"/>
      <c r="C135" s="417"/>
      <c r="D135" s="417"/>
      <c r="E135" s="417"/>
    </row>
    <row r="136" spans="1:5" x14ac:dyDescent="0.25">
      <c r="A136" s="417"/>
      <c r="B136" s="417"/>
      <c r="C136" s="417"/>
      <c r="D136" s="417"/>
      <c r="E136" s="417"/>
    </row>
    <row r="137" spans="1:5" x14ac:dyDescent="0.25">
      <c r="A137" s="417"/>
      <c r="B137" s="417"/>
      <c r="C137" s="417"/>
      <c r="D137" s="417"/>
      <c r="E137" s="417"/>
    </row>
    <row r="138" spans="1:5" x14ac:dyDescent="0.25">
      <c r="A138" s="417"/>
      <c r="B138" s="417"/>
      <c r="C138" s="417"/>
      <c r="D138" s="417"/>
      <c r="E138" s="417"/>
    </row>
    <row r="139" spans="1:5" x14ac:dyDescent="0.25">
      <c r="A139" s="417"/>
      <c r="B139" s="417"/>
      <c r="C139" s="417"/>
      <c r="D139" s="417"/>
      <c r="E139" s="417"/>
    </row>
    <row r="140" spans="1:5" x14ac:dyDescent="0.25">
      <c r="A140" s="417"/>
      <c r="B140" s="417"/>
      <c r="C140" s="417"/>
      <c r="D140" s="417"/>
      <c r="E140" s="417"/>
    </row>
    <row r="141" spans="1:5" x14ac:dyDescent="0.25">
      <c r="A141" s="417"/>
      <c r="B141" s="417"/>
      <c r="C141" s="417"/>
      <c r="D141" s="417"/>
      <c r="E141" s="417"/>
    </row>
    <row r="142" spans="1:5" x14ac:dyDescent="0.25">
      <c r="A142" s="417"/>
      <c r="B142" s="417"/>
      <c r="C142" s="417"/>
      <c r="D142" s="417"/>
      <c r="E142" s="417"/>
    </row>
    <row r="143" spans="1:5" x14ac:dyDescent="0.25">
      <c r="A143" s="417"/>
      <c r="B143" s="417"/>
      <c r="C143" s="417"/>
      <c r="D143" s="417"/>
      <c r="E143" s="417"/>
    </row>
    <row r="144" spans="1:5" x14ac:dyDescent="0.25">
      <c r="A144" s="417"/>
      <c r="B144" s="417"/>
      <c r="C144" s="417"/>
      <c r="D144" s="417"/>
      <c r="E144" s="417"/>
    </row>
    <row r="145" spans="1:5" x14ac:dyDescent="0.25">
      <c r="A145" s="417"/>
      <c r="B145" s="417"/>
      <c r="C145" s="417"/>
      <c r="D145" s="417"/>
      <c r="E145" s="417"/>
    </row>
    <row r="146" spans="1:5" x14ac:dyDescent="0.25">
      <c r="A146" s="417"/>
      <c r="B146" s="417"/>
      <c r="C146" s="417"/>
      <c r="D146" s="417"/>
      <c r="E146" s="417"/>
    </row>
    <row r="147" spans="1:5" x14ac:dyDescent="0.25">
      <c r="A147" s="417"/>
      <c r="B147" s="417"/>
      <c r="C147" s="417"/>
      <c r="D147" s="417"/>
      <c r="E147" s="417"/>
    </row>
    <row r="148" spans="1:5" x14ac:dyDescent="0.25">
      <c r="A148" s="417"/>
      <c r="B148" s="417"/>
      <c r="C148" s="417"/>
      <c r="D148" s="417"/>
      <c r="E148" s="417"/>
    </row>
    <row r="149" spans="1:5" x14ac:dyDescent="0.25">
      <c r="A149" s="417"/>
      <c r="B149" s="417"/>
      <c r="C149" s="417"/>
      <c r="D149" s="417"/>
      <c r="E149" s="417"/>
    </row>
    <row r="150" spans="1:5" x14ac:dyDescent="0.25">
      <c r="A150" s="417"/>
      <c r="B150" s="417"/>
      <c r="C150" s="417"/>
      <c r="D150" s="417"/>
      <c r="E150" s="417"/>
    </row>
    <row r="151" spans="1:5" x14ac:dyDescent="0.25">
      <c r="A151" s="417"/>
      <c r="B151" s="417"/>
      <c r="C151" s="417"/>
      <c r="D151" s="417"/>
      <c r="E151" s="417"/>
    </row>
    <row r="152" spans="1:5" x14ac:dyDescent="0.25">
      <c r="A152" s="417"/>
      <c r="B152" s="417"/>
      <c r="C152" s="417"/>
      <c r="D152" s="417"/>
      <c r="E152" s="417"/>
    </row>
    <row r="153" spans="1:5" x14ac:dyDescent="0.25">
      <c r="A153" s="417"/>
      <c r="B153" s="417"/>
      <c r="C153" s="417"/>
      <c r="D153" s="417"/>
      <c r="E153" s="417"/>
    </row>
    <row r="154" spans="1:5" x14ac:dyDescent="0.25">
      <c r="A154" s="417"/>
      <c r="B154" s="417"/>
      <c r="C154" s="417"/>
      <c r="D154" s="417"/>
      <c r="E154" s="417"/>
    </row>
    <row r="155" spans="1:5" x14ac:dyDescent="0.25">
      <c r="A155" s="417"/>
      <c r="B155" s="417"/>
      <c r="C155" s="417"/>
      <c r="D155" s="417"/>
      <c r="E155" s="417"/>
    </row>
    <row r="156" spans="1:5" x14ac:dyDescent="0.25">
      <c r="A156" s="417"/>
      <c r="B156" s="417"/>
      <c r="C156" s="417"/>
      <c r="D156" s="417"/>
      <c r="E156" s="417"/>
    </row>
    <row r="157" spans="1:5" x14ac:dyDescent="0.25">
      <c r="A157" s="417"/>
      <c r="B157" s="417"/>
      <c r="C157" s="417"/>
      <c r="D157" s="417"/>
      <c r="E157" s="417"/>
    </row>
    <row r="158" spans="1:5" x14ac:dyDescent="0.25">
      <c r="A158" s="417"/>
      <c r="B158" s="417"/>
      <c r="C158" s="417"/>
      <c r="D158" s="417"/>
      <c r="E158" s="417"/>
    </row>
    <row r="159" spans="1:5" x14ac:dyDescent="0.25">
      <c r="A159" s="417"/>
      <c r="B159" s="417"/>
      <c r="C159" s="417"/>
      <c r="D159" s="417"/>
      <c r="E159" s="417"/>
    </row>
    <row r="160" spans="1:5" x14ac:dyDescent="0.25">
      <c r="A160" s="417"/>
      <c r="B160" s="417"/>
      <c r="C160" s="417"/>
      <c r="D160" s="417"/>
      <c r="E160" s="417"/>
    </row>
    <row r="161" spans="1:5" x14ac:dyDescent="0.25">
      <c r="A161" s="417"/>
      <c r="B161" s="417"/>
      <c r="C161" s="417"/>
      <c r="D161" s="417"/>
      <c r="E161" s="417"/>
    </row>
    <row r="162" spans="1:5" x14ac:dyDescent="0.25">
      <c r="A162" s="417"/>
      <c r="B162" s="417"/>
      <c r="C162" s="417"/>
      <c r="D162" s="417"/>
      <c r="E162" s="417"/>
    </row>
    <row r="163" spans="1:5" x14ac:dyDescent="0.25">
      <c r="A163" s="417"/>
      <c r="B163" s="417"/>
      <c r="C163" s="417"/>
      <c r="D163" s="417"/>
      <c r="E163" s="417"/>
    </row>
    <row r="164" spans="1:5" x14ac:dyDescent="0.25">
      <c r="A164" s="417"/>
      <c r="B164" s="417"/>
      <c r="C164" s="417"/>
      <c r="D164" s="417"/>
      <c r="E164" s="417"/>
    </row>
    <row r="165" spans="1:5" x14ac:dyDescent="0.25">
      <c r="A165" s="417"/>
      <c r="B165" s="417"/>
      <c r="C165" s="417"/>
      <c r="D165" s="417"/>
      <c r="E165" s="417"/>
    </row>
    <row r="166" spans="1:5" x14ac:dyDescent="0.25">
      <c r="A166" s="417"/>
      <c r="B166" s="417"/>
      <c r="C166" s="417"/>
      <c r="D166" s="417"/>
      <c r="E166" s="417"/>
    </row>
    <row r="167" spans="1:5" x14ac:dyDescent="0.25">
      <c r="A167" s="417"/>
      <c r="B167" s="417"/>
      <c r="C167" s="417"/>
      <c r="D167" s="417"/>
      <c r="E167" s="417"/>
    </row>
    <row r="168" spans="1:5" x14ac:dyDescent="0.25">
      <c r="A168" s="417"/>
      <c r="B168" s="417"/>
      <c r="C168" s="417"/>
      <c r="D168" s="417"/>
      <c r="E168" s="417"/>
    </row>
    <row r="169" spans="1:5" x14ac:dyDescent="0.25">
      <c r="A169" s="417"/>
      <c r="B169" s="417"/>
      <c r="C169" s="417"/>
      <c r="D169" s="417"/>
      <c r="E169" s="417"/>
    </row>
    <row r="170" spans="1:5" x14ac:dyDescent="0.25">
      <c r="A170" s="417"/>
      <c r="B170" s="417"/>
      <c r="C170" s="417"/>
      <c r="D170" s="417"/>
      <c r="E170" s="417"/>
    </row>
    <row r="171" spans="1:5" x14ac:dyDescent="0.25">
      <c r="A171" s="417"/>
      <c r="B171" s="417"/>
      <c r="C171" s="417"/>
      <c r="D171" s="417"/>
      <c r="E171" s="417"/>
    </row>
    <row r="172" spans="1:5" x14ac:dyDescent="0.25">
      <c r="A172" s="417"/>
      <c r="B172" s="417"/>
      <c r="C172" s="417"/>
      <c r="D172" s="417"/>
      <c r="E172" s="417"/>
    </row>
    <row r="173" spans="1:5" x14ac:dyDescent="0.25">
      <c r="A173" s="417"/>
      <c r="B173" s="417"/>
      <c r="C173" s="417"/>
      <c r="D173" s="417"/>
      <c r="E173" s="417"/>
    </row>
    <row r="174" spans="1:5" x14ac:dyDescent="0.25">
      <c r="A174" s="417"/>
      <c r="B174" s="417"/>
      <c r="C174" s="417"/>
      <c r="D174" s="417"/>
      <c r="E174" s="417"/>
    </row>
    <row r="175" spans="1:5" x14ac:dyDescent="0.25">
      <c r="A175" s="417"/>
      <c r="B175" s="417"/>
      <c r="C175" s="417"/>
      <c r="D175" s="417"/>
      <c r="E175" s="417"/>
    </row>
    <row r="176" spans="1:5" x14ac:dyDescent="0.25">
      <c r="A176" s="417"/>
      <c r="B176" s="417"/>
      <c r="C176" s="417"/>
      <c r="D176" s="417"/>
      <c r="E176" s="417"/>
    </row>
    <row r="177" spans="1:5" x14ac:dyDescent="0.25">
      <c r="A177" s="417"/>
      <c r="B177" s="417"/>
      <c r="C177" s="417"/>
      <c r="D177" s="417"/>
      <c r="E177" s="417"/>
    </row>
    <row r="178" spans="1:5" x14ac:dyDescent="0.25">
      <c r="A178" s="417"/>
      <c r="B178" s="417"/>
      <c r="C178" s="417"/>
      <c r="D178" s="417"/>
      <c r="E178" s="417"/>
    </row>
    <row r="179" spans="1:5" x14ac:dyDescent="0.25">
      <c r="A179" s="417"/>
      <c r="B179" s="417"/>
      <c r="C179" s="417"/>
      <c r="D179" s="417"/>
      <c r="E179" s="417"/>
    </row>
    <row r="180" spans="1:5" x14ac:dyDescent="0.25">
      <c r="A180" s="417"/>
      <c r="B180" s="417"/>
      <c r="C180" s="417"/>
      <c r="D180" s="417"/>
      <c r="E180" s="417"/>
    </row>
    <row r="181" spans="1:5" x14ac:dyDescent="0.25">
      <c r="A181" s="417"/>
      <c r="B181" s="417"/>
      <c r="C181" s="417"/>
      <c r="D181" s="417"/>
      <c r="E181" s="417"/>
    </row>
    <row r="182" spans="1:5" x14ac:dyDescent="0.25">
      <c r="A182" s="417"/>
      <c r="B182" s="417"/>
      <c r="C182" s="417"/>
      <c r="D182" s="417"/>
      <c r="E182" s="417"/>
    </row>
    <row r="183" spans="1:5" x14ac:dyDescent="0.25">
      <c r="A183" s="417"/>
      <c r="B183" s="417"/>
      <c r="C183" s="417"/>
      <c r="D183" s="417"/>
      <c r="E183" s="417"/>
    </row>
    <row r="184" spans="1:5" x14ac:dyDescent="0.25">
      <c r="A184" s="417"/>
      <c r="B184" s="417"/>
      <c r="C184" s="417"/>
      <c r="D184" s="417"/>
      <c r="E184" s="417"/>
    </row>
    <row r="185" spans="1:5" x14ac:dyDescent="0.25">
      <c r="A185" s="417"/>
      <c r="B185" s="417"/>
      <c r="C185" s="417"/>
      <c r="D185" s="417"/>
      <c r="E185" s="417"/>
    </row>
    <row r="186" spans="1:5" x14ac:dyDescent="0.25">
      <c r="A186" s="417"/>
      <c r="B186" s="417"/>
      <c r="C186" s="417"/>
      <c r="D186" s="417"/>
      <c r="E186" s="417"/>
    </row>
    <row r="187" spans="1:5" x14ac:dyDescent="0.25">
      <c r="A187" s="417"/>
      <c r="B187" s="417"/>
      <c r="C187" s="417"/>
      <c r="D187" s="417"/>
      <c r="E187" s="417"/>
    </row>
    <row r="188" spans="1:5" x14ac:dyDescent="0.25">
      <c r="A188" s="417"/>
      <c r="B188" s="417"/>
      <c r="C188" s="417"/>
      <c r="D188" s="417"/>
      <c r="E188" s="417"/>
    </row>
    <row r="189" spans="1:5" x14ac:dyDescent="0.25">
      <c r="A189" s="417"/>
      <c r="B189" s="417"/>
      <c r="C189" s="417"/>
      <c r="D189" s="417"/>
      <c r="E189" s="417"/>
    </row>
    <row r="190" spans="1:5" x14ac:dyDescent="0.25">
      <c r="A190" s="417"/>
      <c r="B190" s="417"/>
      <c r="C190" s="417"/>
      <c r="D190" s="417"/>
      <c r="E190" s="417"/>
    </row>
    <row r="191" spans="1:5" x14ac:dyDescent="0.25">
      <c r="A191" s="417"/>
      <c r="B191" s="417"/>
      <c r="C191" s="417"/>
      <c r="D191" s="417"/>
      <c r="E191" s="417"/>
    </row>
    <row r="192" spans="1:5" x14ac:dyDescent="0.25">
      <c r="A192" s="417"/>
      <c r="B192" s="417"/>
      <c r="C192" s="417"/>
      <c r="D192" s="417"/>
      <c r="E192" s="417"/>
    </row>
    <row r="193" spans="1:5" x14ac:dyDescent="0.25">
      <c r="A193" s="417"/>
      <c r="B193" s="417"/>
      <c r="C193" s="417"/>
      <c r="D193" s="417"/>
      <c r="E193" s="417"/>
    </row>
    <row r="194" spans="1:5" x14ac:dyDescent="0.25">
      <c r="A194" s="417"/>
      <c r="B194" s="417"/>
      <c r="C194" s="417"/>
      <c r="D194" s="417"/>
      <c r="E194" s="417"/>
    </row>
    <row r="195" spans="1:5" x14ac:dyDescent="0.25">
      <c r="A195" s="417"/>
      <c r="B195" s="417"/>
      <c r="C195" s="417"/>
      <c r="D195" s="417"/>
      <c r="E195" s="417"/>
    </row>
    <row r="196" spans="1:5" x14ac:dyDescent="0.25">
      <c r="A196" s="417"/>
      <c r="B196" s="417"/>
      <c r="C196" s="417"/>
      <c r="D196" s="417"/>
      <c r="E196" s="417"/>
    </row>
    <row r="197" spans="1:5" x14ac:dyDescent="0.25">
      <c r="A197" s="417"/>
      <c r="B197" s="417"/>
      <c r="C197" s="417"/>
      <c r="D197" s="417"/>
      <c r="E197" s="417"/>
    </row>
    <row r="198" spans="1:5" x14ac:dyDescent="0.25">
      <c r="A198" s="417"/>
      <c r="B198" s="417"/>
      <c r="C198" s="417"/>
      <c r="D198" s="417"/>
      <c r="E198" s="417"/>
    </row>
    <row r="199" spans="1:5" x14ac:dyDescent="0.25">
      <c r="A199" s="417"/>
      <c r="B199" s="417"/>
      <c r="C199" s="417"/>
      <c r="D199" s="417"/>
      <c r="E199" s="417"/>
    </row>
    <row r="200" spans="1:5" x14ac:dyDescent="0.25">
      <c r="A200" s="417"/>
      <c r="B200" s="417"/>
      <c r="C200" s="417"/>
      <c r="D200" s="417"/>
      <c r="E200" s="417"/>
    </row>
    <row r="201" spans="1:5" x14ac:dyDescent="0.25">
      <c r="A201" s="417"/>
      <c r="B201" s="417"/>
      <c r="C201" s="417"/>
      <c r="D201" s="417"/>
      <c r="E201" s="417"/>
    </row>
    <row r="202" spans="1:5" x14ac:dyDescent="0.25">
      <c r="A202" s="417"/>
      <c r="B202" s="417"/>
      <c r="C202" s="417"/>
      <c r="D202" s="417"/>
      <c r="E202" s="417"/>
    </row>
    <row r="203" spans="1:5" x14ac:dyDescent="0.25">
      <c r="A203" s="417"/>
      <c r="B203" s="417"/>
      <c r="C203" s="417"/>
      <c r="D203" s="417"/>
      <c r="E203" s="417"/>
    </row>
    <row r="204" spans="1:5" x14ac:dyDescent="0.25">
      <c r="A204" s="417"/>
      <c r="B204" s="417"/>
      <c r="C204" s="417"/>
      <c r="D204" s="417"/>
      <c r="E204" s="417"/>
    </row>
    <row r="205" spans="1:5" x14ac:dyDescent="0.25">
      <c r="A205" s="417"/>
      <c r="B205" s="417"/>
      <c r="C205" s="417"/>
      <c r="D205" s="417"/>
      <c r="E205" s="417"/>
    </row>
    <row r="206" spans="1:5" x14ac:dyDescent="0.25">
      <c r="A206" s="417"/>
      <c r="B206" s="417"/>
      <c r="C206" s="417"/>
      <c r="D206" s="417"/>
      <c r="E206" s="417"/>
    </row>
    <row r="207" spans="1:5" x14ac:dyDescent="0.25">
      <c r="A207" s="417"/>
      <c r="B207" s="417"/>
      <c r="C207" s="417"/>
      <c r="D207" s="417"/>
      <c r="E207" s="417"/>
    </row>
    <row r="208" spans="1:5" x14ac:dyDescent="0.25">
      <c r="A208" s="417"/>
      <c r="B208" s="417"/>
      <c r="C208" s="417"/>
      <c r="D208" s="417"/>
      <c r="E208" s="417"/>
    </row>
    <row r="209" spans="1:5" x14ac:dyDescent="0.25">
      <c r="A209" s="417"/>
      <c r="B209" s="417"/>
      <c r="C209" s="417"/>
      <c r="D209" s="417"/>
      <c r="E209" s="417"/>
    </row>
    <row r="210" spans="1:5" x14ac:dyDescent="0.25">
      <c r="A210" s="417"/>
      <c r="B210" s="417"/>
      <c r="C210" s="417"/>
      <c r="D210" s="417"/>
      <c r="E210" s="417"/>
    </row>
    <row r="211" spans="1:5" x14ac:dyDescent="0.25">
      <c r="A211" s="417"/>
      <c r="B211" s="417"/>
      <c r="C211" s="417"/>
      <c r="D211" s="417"/>
      <c r="E211" s="417"/>
    </row>
    <row r="212" spans="1:5" x14ac:dyDescent="0.25">
      <c r="A212" s="417"/>
      <c r="B212" s="417"/>
      <c r="C212" s="417"/>
      <c r="D212" s="417"/>
      <c r="E212" s="417"/>
    </row>
    <row r="213" spans="1:5" x14ac:dyDescent="0.25">
      <c r="A213" s="417"/>
      <c r="B213" s="417"/>
      <c r="C213" s="417"/>
      <c r="D213" s="417"/>
      <c r="E213" s="417"/>
    </row>
    <row r="214" spans="1:5" x14ac:dyDescent="0.25">
      <c r="A214" s="417"/>
      <c r="B214" s="417"/>
      <c r="C214" s="417"/>
      <c r="D214" s="417"/>
      <c r="E214" s="417"/>
    </row>
    <row r="215" spans="1:5" x14ac:dyDescent="0.25">
      <c r="A215" s="417"/>
      <c r="B215" s="417"/>
      <c r="C215" s="417"/>
      <c r="D215" s="417"/>
      <c r="E215" s="417"/>
    </row>
    <row r="216" spans="1:5" x14ac:dyDescent="0.25">
      <c r="A216" s="417"/>
      <c r="B216" s="417"/>
      <c r="C216" s="417"/>
      <c r="D216" s="417"/>
      <c r="E216" s="417"/>
    </row>
    <row r="217" spans="1:5" x14ac:dyDescent="0.25">
      <c r="A217" s="417"/>
      <c r="B217" s="417"/>
      <c r="C217" s="417"/>
      <c r="D217" s="417"/>
      <c r="E217" s="417"/>
    </row>
    <row r="218" spans="1:5" x14ac:dyDescent="0.25">
      <c r="A218" s="417"/>
      <c r="B218" s="417"/>
      <c r="C218" s="417"/>
      <c r="D218" s="417"/>
      <c r="E218" s="417"/>
    </row>
  </sheetData>
  <protectedRanges>
    <protectedRange sqref="B6" name="Bereich1"/>
    <protectedRange sqref="B7:B8" name="Bereich1_1"/>
  </protectedRanges>
  <mergeCells count="1">
    <mergeCell ref="A62:E62"/>
  </mergeCells>
  <phoneticPr fontId="122" type="noConversion"/>
  <conditionalFormatting sqref="B8">
    <cfRule type="expression" dxfId="5" priority="1">
      <formula>$B$13=0</formula>
    </cfRule>
    <cfRule type="expression" dxfId="4" priority="2">
      <formula>"$B$13=1"</formula>
    </cfRule>
  </conditionalFormatting>
  <dataValidations count="2">
    <dataValidation type="list" allowBlank="1" showInputMessage="1" showErrorMessage="1" sqref="B13:B14 B55">
      <formula1>"0,1"</formula1>
    </dataValidation>
    <dataValidation type="list" allowBlank="1" showInputMessage="1" showErrorMessage="1" sqref="B35">
      <formula1>"0,1"</formula1>
    </dataValidation>
  </dataValidation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7675" r:id="rId4" name="Generate_ES_kon">
          <controlPr defaultSize="0" autoFill="0" autoLine="0" r:id="rId5">
            <anchor moveWithCells="1">
              <from>
                <xdr:col>0</xdr:col>
                <xdr:colOff>5137150</xdr:colOff>
                <xdr:row>1</xdr:row>
                <xdr:rowOff>127000</xdr:rowOff>
              </from>
              <to>
                <xdr:col>0</xdr:col>
                <xdr:colOff>7092950</xdr:colOff>
                <xdr:row>3</xdr:row>
                <xdr:rowOff>44450</xdr:rowOff>
              </to>
            </anchor>
          </controlPr>
        </control>
      </mc:Choice>
      <mc:Fallback>
        <control shapeId="27675" r:id="rId4" name="Generate_ES_k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tabColor rgb="FF92D050"/>
  </sheetPr>
  <dimension ref="A1:XEY217"/>
  <sheetViews>
    <sheetView zoomScale="85" zoomScaleNormal="85" workbookViewId="0">
      <pane xSplit="5" ySplit="9" topLeftCell="F10" activePane="bottomRight" state="frozen"/>
      <selection pane="topRight" activeCell="F1" sqref="F1"/>
      <selection pane="bottomLeft" activeCell="A11" sqref="A11"/>
      <selection pane="bottomRight" activeCell="B22" sqref="B22"/>
    </sheetView>
  </sheetViews>
  <sheetFormatPr defaultColWidth="11.453125" defaultRowHeight="13.5" x14ac:dyDescent="0.3"/>
  <cols>
    <col min="1" max="1" width="110.7265625" style="66" customWidth="1"/>
    <col min="2" max="3" width="11.7265625" style="66" customWidth="1"/>
    <col min="4" max="4" width="57.7265625" style="66" customWidth="1"/>
    <col min="5" max="5" width="46.453125" style="66" customWidth="1"/>
    <col min="6" max="6" width="3.7265625" style="66" customWidth="1"/>
    <col min="7" max="7" width="16" style="66" customWidth="1"/>
    <col min="8" max="16384" width="11.453125" style="66"/>
  </cols>
  <sheetData>
    <row r="1" spans="1:8 16378:16379" x14ac:dyDescent="0.3">
      <c r="A1" s="37" t="s">
        <v>300</v>
      </c>
      <c r="B1" s="1"/>
      <c r="C1" s="364"/>
      <c r="D1" s="83" t="s">
        <v>309</v>
      </c>
      <c r="F1" s="68"/>
      <c r="XEX1" s="383"/>
      <c r="XEY1" s="383"/>
    </row>
    <row r="2" spans="1:8 16378:16379" x14ac:dyDescent="0.3">
      <c r="A2" s="1"/>
      <c r="B2" s="1"/>
      <c r="C2" s="79"/>
      <c r="D2" s="83" t="s">
        <v>308</v>
      </c>
      <c r="F2" s="68"/>
      <c r="XEX2" s="383"/>
      <c r="XEY2" s="383"/>
    </row>
    <row r="3" spans="1:8 16378:16379" x14ac:dyDescent="0.3">
      <c r="A3" s="1"/>
      <c r="B3" s="1"/>
      <c r="C3" s="81"/>
      <c r="D3" s="83" t="s">
        <v>310</v>
      </c>
      <c r="F3" s="68"/>
      <c r="XEX3" s="383"/>
      <c r="XEY3" s="383"/>
    </row>
    <row r="4" spans="1:8 16378:16379" x14ac:dyDescent="0.3">
      <c r="A4" s="1"/>
      <c r="B4" s="1"/>
      <c r="C4" s="104"/>
      <c r="D4" s="83" t="s">
        <v>330</v>
      </c>
      <c r="F4" s="68"/>
      <c r="XEX4" s="383"/>
      <c r="XEY4" s="383"/>
    </row>
    <row r="5" spans="1:8 16378:16379" ht="14" thickBot="1" x14ac:dyDescent="0.35">
      <c r="A5" s="32" t="s">
        <v>231</v>
      </c>
      <c r="B5" s="65" t="s">
        <v>136</v>
      </c>
      <c r="C5" s="65" t="s">
        <v>137</v>
      </c>
      <c r="D5" s="32" t="s">
        <v>138</v>
      </c>
      <c r="E5" s="32" t="s">
        <v>139</v>
      </c>
      <c r="F5" s="68"/>
      <c r="XEX5" s="383"/>
      <c r="XEY5" s="383"/>
    </row>
    <row r="6" spans="1:8 16378:16379" x14ac:dyDescent="0.3">
      <c r="A6" s="51" t="s">
        <v>329</v>
      </c>
      <c r="B6" s="362">
        <v>50</v>
      </c>
      <c r="C6" s="58" t="s">
        <v>323</v>
      </c>
      <c r="D6" s="52"/>
      <c r="E6" s="374" t="s">
        <v>244</v>
      </c>
      <c r="F6" s="68"/>
      <c r="XEX6" s="383"/>
      <c r="XEY6" s="383"/>
    </row>
    <row r="7" spans="1:8 16378:16379" x14ac:dyDescent="0.3">
      <c r="A7" s="51" t="s">
        <v>427</v>
      </c>
      <c r="B7" s="362">
        <v>200</v>
      </c>
      <c r="C7" s="58" t="s">
        <v>428</v>
      </c>
      <c r="D7" s="52"/>
      <c r="E7" s="374" t="s">
        <v>429</v>
      </c>
      <c r="F7" s="68"/>
      <c r="XEX7" s="383"/>
      <c r="XEY7" s="383"/>
    </row>
    <row r="8" spans="1:8 16378:16379" x14ac:dyDescent="0.3">
      <c r="A8" s="39"/>
      <c r="B8" s="44"/>
      <c r="C8" s="44"/>
      <c r="D8" s="39"/>
      <c r="E8" s="375"/>
      <c r="F8" s="68"/>
      <c r="XEX8" s="383"/>
      <c r="XEY8" s="383"/>
    </row>
    <row r="9" spans="1:8 16378:16379" ht="84" customHeight="1" thickBot="1" x14ac:dyDescent="0.35">
      <c r="A9" s="54" t="s">
        <v>135</v>
      </c>
      <c r="B9" s="59" t="s">
        <v>136</v>
      </c>
      <c r="C9" s="59" t="s">
        <v>137</v>
      </c>
      <c r="D9" s="54" t="s">
        <v>138</v>
      </c>
      <c r="E9" s="54" t="s">
        <v>139</v>
      </c>
      <c r="F9" s="68"/>
      <c r="XEX9" s="383"/>
      <c r="XEY9" s="383"/>
    </row>
    <row r="10" spans="1:8 16378:16379" x14ac:dyDescent="0.3">
      <c r="A10" s="1"/>
      <c r="B10" s="2"/>
      <c r="C10" s="2"/>
      <c r="D10" s="1"/>
      <c r="F10" s="68"/>
      <c r="XEX10" s="383"/>
      <c r="XEY10" s="383"/>
    </row>
    <row r="11" spans="1:8 16378:16379" s="69" customFormat="1" x14ac:dyDescent="0.3">
      <c r="A11" s="67" t="s">
        <v>381</v>
      </c>
      <c r="B11" s="68"/>
      <c r="C11" s="68"/>
      <c r="D11" s="68"/>
      <c r="E11" s="68"/>
      <c r="F11" s="68"/>
      <c r="XEX11" s="428"/>
      <c r="XEY11" s="428"/>
    </row>
    <row r="12" spans="1:8 16378:16379" s="69" customFormat="1" ht="30" x14ac:dyDescent="0.3">
      <c r="A12" s="70" t="s">
        <v>325</v>
      </c>
      <c r="B12" s="101">
        <f>MechanicalData!B25</f>
        <v>5.4</v>
      </c>
      <c r="C12" s="100" t="s">
        <v>323</v>
      </c>
      <c r="D12" s="525" t="s">
        <v>9</v>
      </c>
      <c r="F12" s="68"/>
      <c r="G12" s="538" t="s">
        <v>920</v>
      </c>
      <c r="XEX12" s="428"/>
      <c r="XEY12" s="428"/>
    </row>
    <row r="13" spans="1:8 16378:16379" s="69" customFormat="1" x14ac:dyDescent="0.3">
      <c r="A13" s="70" t="s">
        <v>334</v>
      </c>
      <c r="B13" s="103" t="s">
        <v>998</v>
      </c>
      <c r="C13" s="100" t="s">
        <v>324</v>
      </c>
      <c r="D13" s="541" t="s">
        <v>1000</v>
      </c>
      <c r="E13" s="376" t="s">
        <v>569</v>
      </c>
      <c r="F13" s="68"/>
      <c r="G13" s="538" t="s">
        <v>912</v>
      </c>
      <c r="XEX13" s="428"/>
      <c r="XEY13" s="428"/>
    </row>
    <row r="14" spans="1:8 16378:16379" s="69" customFormat="1" x14ac:dyDescent="0.3">
      <c r="A14" s="70" t="s">
        <v>335</v>
      </c>
      <c r="B14" s="103" t="s">
        <v>191</v>
      </c>
      <c r="C14" s="100" t="s">
        <v>323</v>
      </c>
      <c r="D14" s="541" t="s">
        <v>12</v>
      </c>
      <c r="E14" s="376" t="s">
        <v>568</v>
      </c>
      <c r="F14" s="68"/>
      <c r="G14" s="538" t="s">
        <v>912</v>
      </c>
      <c r="H14" s="552" t="s">
        <v>999</v>
      </c>
      <c r="XEX14" s="428"/>
      <c r="XEY14" s="428"/>
    </row>
    <row r="15" spans="1:8 16378:16379" s="69" customFormat="1" x14ac:dyDescent="0.3">
      <c r="A15" s="70" t="s">
        <v>336</v>
      </c>
      <c r="B15" s="103" t="s">
        <v>327</v>
      </c>
      <c r="C15" s="100" t="s">
        <v>215</v>
      </c>
      <c r="D15" s="541" t="s">
        <v>13</v>
      </c>
      <c r="E15" s="376" t="s">
        <v>568</v>
      </c>
      <c r="F15" s="68"/>
      <c r="G15" s="538" t="s">
        <v>912</v>
      </c>
      <c r="H15" s="552" t="s">
        <v>999</v>
      </c>
      <c r="XEX15" s="428"/>
      <c r="XEY15" s="428"/>
    </row>
    <row r="16" spans="1:8 16378:16379" s="69" customFormat="1" x14ac:dyDescent="0.3">
      <c r="A16" s="70" t="s">
        <v>337</v>
      </c>
      <c r="B16" s="103" t="s">
        <v>328</v>
      </c>
      <c r="C16" s="100" t="s">
        <v>324</v>
      </c>
      <c r="D16" s="541" t="s">
        <v>14</v>
      </c>
      <c r="E16" s="376" t="s">
        <v>568</v>
      </c>
      <c r="F16" s="68"/>
      <c r="G16" s="538" t="s">
        <v>912</v>
      </c>
      <c r="H16" s="552" t="s">
        <v>999</v>
      </c>
      <c r="XEX16" s="428"/>
      <c r="XEY16" s="428"/>
    </row>
    <row r="17" spans="1:7 16378:16379" ht="20" x14ac:dyDescent="0.3">
      <c r="A17" s="66" t="s">
        <v>386</v>
      </c>
      <c r="B17" s="363">
        <v>525</v>
      </c>
      <c r="C17" s="99" t="s">
        <v>384</v>
      </c>
      <c r="D17" s="524" t="s">
        <v>383</v>
      </c>
      <c r="E17" s="376" t="s">
        <v>385</v>
      </c>
      <c r="F17" s="68"/>
      <c r="G17" s="538" t="s">
        <v>921</v>
      </c>
      <c r="XEX17" s="383"/>
      <c r="XEY17" s="383"/>
    </row>
    <row r="18" spans="1:7 16378:16379" s="69" customFormat="1" x14ac:dyDescent="0.3">
      <c r="A18" s="70" t="s">
        <v>347</v>
      </c>
      <c r="B18" s="358">
        <v>0.25</v>
      </c>
      <c r="C18" s="100" t="s">
        <v>324</v>
      </c>
      <c r="D18" s="70" t="s">
        <v>10</v>
      </c>
      <c r="E18" s="377"/>
      <c r="F18" s="68"/>
      <c r="XEX18" s="428"/>
      <c r="XEY18" s="428"/>
    </row>
    <row r="19" spans="1:7 16378:16379" s="69" customFormat="1" x14ac:dyDescent="0.3">
      <c r="A19" s="70" t="s">
        <v>349</v>
      </c>
      <c r="B19" s="363">
        <v>1</v>
      </c>
      <c r="C19" s="100" t="s">
        <v>348</v>
      </c>
      <c r="D19" s="70" t="s">
        <v>11</v>
      </c>
      <c r="E19" s="377"/>
      <c r="F19" s="68"/>
      <c r="XEX19" s="428"/>
      <c r="XEY19" s="428"/>
    </row>
    <row r="20" spans="1:7 16378:16379" s="69" customFormat="1" x14ac:dyDescent="0.3">
      <c r="A20" s="70" t="s">
        <v>388</v>
      </c>
      <c r="B20" s="363">
        <v>30</v>
      </c>
      <c r="C20" s="100" t="s">
        <v>324</v>
      </c>
      <c r="D20" s="70" t="s">
        <v>387</v>
      </c>
      <c r="E20" s="377"/>
      <c r="F20" s="68"/>
      <c r="XEX20" s="428"/>
      <c r="XEY20" s="428"/>
    </row>
    <row r="21" spans="1:7 16378:16379" s="69" customFormat="1" x14ac:dyDescent="0.3">
      <c r="A21" s="70" t="s">
        <v>390</v>
      </c>
      <c r="B21" s="358">
        <v>0.3</v>
      </c>
      <c r="C21" s="102" t="s">
        <v>211</v>
      </c>
      <c r="D21" s="70" t="s">
        <v>389</v>
      </c>
      <c r="E21" s="511"/>
      <c r="F21" s="68"/>
      <c r="XEX21" s="428"/>
      <c r="XEY21" s="428"/>
    </row>
    <row r="22" spans="1:7 16378:16379" s="69" customFormat="1" x14ac:dyDescent="0.3">
      <c r="A22" s="70" t="s">
        <v>343</v>
      </c>
      <c r="B22" s="106">
        <f>SA_Config!E21</f>
        <v>0</v>
      </c>
      <c r="C22" s="102" t="s">
        <v>211</v>
      </c>
      <c r="D22" s="70" t="s">
        <v>26</v>
      </c>
      <c r="E22" s="377" t="s">
        <v>435</v>
      </c>
      <c r="F22" s="68"/>
      <c r="XEX22" s="428"/>
      <c r="XEY22" s="428"/>
    </row>
    <row r="23" spans="1:7 16378:16379" s="69" customFormat="1" x14ac:dyDescent="0.3">
      <c r="A23" s="70"/>
      <c r="B23" s="99"/>
      <c r="C23" s="100"/>
      <c r="D23" s="70"/>
      <c r="E23" s="377"/>
      <c r="F23" s="68"/>
      <c r="XEX23" s="428"/>
      <c r="XEY23" s="428"/>
    </row>
    <row r="24" spans="1:7 16378:16379" s="69" customFormat="1" x14ac:dyDescent="0.3">
      <c r="A24" s="67" t="s">
        <v>382</v>
      </c>
      <c r="B24" s="99"/>
      <c r="C24" s="100"/>
      <c r="D24" s="70"/>
      <c r="E24" s="377"/>
      <c r="F24" s="68"/>
      <c r="XEX24" s="428"/>
      <c r="XEY24" s="428"/>
    </row>
    <row r="25" spans="1:7 16378:16379" s="69" customFormat="1" x14ac:dyDescent="0.3">
      <c r="A25" s="70" t="s">
        <v>340</v>
      </c>
      <c r="B25" s="101">
        <f>MechanicalData!B53/2+MechanicalData!B39+B6</f>
        <v>624.9636363636364</v>
      </c>
      <c r="C25" s="100" t="s">
        <v>323</v>
      </c>
      <c r="D25" s="70" t="s">
        <v>15</v>
      </c>
      <c r="E25" s="376" t="s">
        <v>331</v>
      </c>
      <c r="F25" s="68"/>
      <c r="XEX25" s="428"/>
      <c r="XEY25" s="428"/>
    </row>
    <row r="26" spans="1:7 16378:16379" s="69" customFormat="1" x14ac:dyDescent="0.3">
      <c r="A26" s="70" t="s">
        <v>339</v>
      </c>
      <c r="B26" s="105">
        <f ca="1">(INDIRECT("'Steering Ratio'!K"&amp;'Steering Ratio'!AC2)-INDIRECT("'Steering Ratio'!K"&amp;'Steering Ratio'!AC2-1)) /(INDIRECT("'Steering Ratio'!H"&amp;'Steering Ratio'!AC2)-INDIRECT("'Steering Ratio'!H"&amp;'Steering Ratio'!AC2-1))*(B25-INDIRECT("'Steering Ratio'!H"&amp;'Steering Ratio'!AC2-1))+INDIRECT("'Steering Ratio'!K"&amp;'Steering Ratio'!AC2-1)</f>
        <v>95.480555555555412</v>
      </c>
      <c r="C26" s="100" t="s">
        <v>215</v>
      </c>
      <c r="D26" s="70" t="s">
        <v>16</v>
      </c>
      <c r="E26" s="376" t="s">
        <v>332</v>
      </c>
      <c r="F26" s="68"/>
      <c r="XEX26" s="428"/>
      <c r="XEY26" s="428"/>
    </row>
    <row r="27" spans="1:7 16378:16379" s="69" customFormat="1" x14ac:dyDescent="0.3">
      <c r="A27" s="70" t="s">
        <v>338</v>
      </c>
      <c r="B27" s="105">
        <f>IF(B90=180,'Steering Ratio'!K172,'Steering Ratio'!K187)</f>
        <v>25.208333333333332</v>
      </c>
      <c r="C27" s="100" t="s">
        <v>215</v>
      </c>
      <c r="D27" s="70" t="s">
        <v>17</v>
      </c>
      <c r="E27" s="377" t="s">
        <v>333</v>
      </c>
      <c r="F27" s="68"/>
      <c r="XEX27" s="428"/>
      <c r="XEY27" s="428"/>
    </row>
    <row r="28" spans="1:7 16378:16379" s="69" customFormat="1" x14ac:dyDescent="0.3">
      <c r="A28" s="70" t="s">
        <v>341</v>
      </c>
      <c r="B28" s="106">
        <f>B42+1</f>
        <v>243</v>
      </c>
      <c r="C28" s="100" t="s">
        <v>324</v>
      </c>
      <c r="D28" s="70" t="s">
        <v>18</v>
      </c>
      <c r="E28" s="377" t="s">
        <v>346</v>
      </c>
      <c r="F28" s="68"/>
      <c r="XEX28" s="428"/>
      <c r="XEY28" s="428"/>
    </row>
    <row r="29" spans="1:7 16378:16379" s="69" customFormat="1" x14ac:dyDescent="0.3">
      <c r="A29" s="70" t="s">
        <v>342</v>
      </c>
      <c r="B29" s="106">
        <f>B45+1</f>
        <v>98</v>
      </c>
      <c r="C29" s="100" t="s">
        <v>324</v>
      </c>
      <c r="D29" s="70" t="s">
        <v>19</v>
      </c>
      <c r="E29" s="377" t="s">
        <v>346</v>
      </c>
      <c r="F29" s="68"/>
      <c r="XEX29" s="428"/>
      <c r="XEY29" s="428"/>
    </row>
    <row r="30" spans="1:7 16378:16379" s="69" customFormat="1" x14ac:dyDescent="0.3">
      <c r="A30" s="70" t="s">
        <v>350</v>
      </c>
      <c r="B30" s="363">
        <v>20</v>
      </c>
      <c r="C30" s="100" t="s">
        <v>225</v>
      </c>
      <c r="D30" s="70" t="s">
        <v>20</v>
      </c>
      <c r="E30" s="377" t="s">
        <v>741</v>
      </c>
      <c r="F30" s="68"/>
      <c r="XEX30" s="428"/>
      <c r="XEY30" s="428"/>
    </row>
    <row r="31" spans="1:7 16378:16379" s="69" customFormat="1" ht="20" x14ac:dyDescent="0.3">
      <c r="A31" s="70" t="s">
        <v>351</v>
      </c>
      <c r="B31" s="363">
        <v>1000</v>
      </c>
      <c r="C31" s="100" t="s">
        <v>225</v>
      </c>
      <c r="D31" s="525" t="s">
        <v>21</v>
      </c>
      <c r="E31" s="377"/>
      <c r="F31" s="68"/>
      <c r="G31" s="538" t="s">
        <v>922</v>
      </c>
      <c r="XEX31" s="428"/>
      <c r="XEY31" s="428"/>
    </row>
    <row r="32" spans="1:7 16378:16379" s="69" customFormat="1" ht="20" x14ac:dyDescent="0.3">
      <c r="A32" s="70" t="s">
        <v>352</v>
      </c>
      <c r="B32" s="358">
        <v>0.79</v>
      </c>
      <c r="C32" s="100" t="s">
        <v>348</v>
      </c>
      <c r="D32" s="525" t="s">
        <v>22</v>
      </c>
      <c r="E32" s="377"/>
      <c r="F32" s="68"/>
      <c r="G32" s="538" t="s">
        <v>923</v>
      </c>
      <c r="XEX32" s="428"/>
      <c r="XEY32" s="428"/>
    </row>
    <row r="33" spans="1:7 16378:16379" s="69" customFormat="1" ht="20" x14ac:dyDescent="0.3">
      <c r="A33" s="70" t="s">
        <v>353</v>
      </c>
      <c r="B33" s="358">
        <v>0.27</v>
      </c>
      <c r="C33" s="100" t="s">
        <v>324</v>
      </c>
      <c r="D33" s="525" t="s">
        <v>23</v>
      </c>
      <c r="E33" s="377"/>
      <c r="F33" s="68"/>
      <c r="G33" s="538" t="s">
        <v>924</v>
      </c>
      <c r="XEX33" s="428"/>
      <c r="XEY33" s="428"/>
    </row>
    <row r="34" spans="1:7 16378:16379" s="69" customFormat="1" ht="20" x14ac:dyDescent="0.3">
      <c r="A34" s="70" t="s">
        <v>354</v>
      </c>
      <c r="B34" s="363">
        <v>25</v>
      </c>
      <c r="C34" s="100" t="s">
        <v>324</v>
      </c>
      <c r="D34" s="525" t="s">
        <v>24</v>
      </c>
      <c r="E34" s="377"/>
      <c r="F34" s="68"/>
      <c r="G34" s="538" t="s">
        <v>925</v>
      </c>
      <c r="XEX34" s="428"/>
      <c r="XEY34" s="428"/>
    </row>
    <row r="35" spans="1:7 16378:16379" s="69" customFormat="1" x14ac:dyDescent="0.3">
      <c r="A35" s="70" t="s">
        <v>355</v>
      </c>
      <c r="B35" s="363">
        <v>121</v>
      </c>
      <c r="C35" s="100" t="s">
        <v>324</v>
      </c>
      <c r="D35" s="70" t="s">
        <v>25</v>
      </c>
      <c r="E35" s="377" t="s">
        <v>897</v>
      </c>
      <c r="F35" s="68"/>
      <c r="G35" s="527"/>
      <c r="XEX35" s="428"/>
      <c r="XEY35" s="428"/>
    </row>
    <row r="36" spans="1:7 16378:16379" s="69" customFormat="1" ht="30" x14ac:dyDescent="0.3">
      <c r="A36" s="110" t="s">
        <v>425</v>
      </c>
      <c r="B36" s="363">
        <v>30</v>
      </c>
      <c r="C36" s="109" t="s">
        <v>222</v>
      </c>
      <c r="D36" s="526" t="s">
        <v>391</v>
      </c>
      <c r="E36" s="378" t="s">
        <v>392</v>
      </c>
      <c r="F36" s="68"/>
      <c r="G36" s="538" t="s">
        <v>926</v>
      </c>
      <c r="XEX36" s="428"/>
      <c r="XEY36" s="428"/>
    </row>
    <row r="37" spans="1:7 16378:16379" s="69" customFormat="1" x14ac:dyDescent="0.3">
      <c r="A37" s="110" t="s">
        <v>426</v>
      </c>
      <c r="B37" s="106">
        <f>B7/MechanicalData!B65*60</f>
        <v>4885.7142857142862</v>
      </c>
      <c r="C37" s="109" t="s">
        <v>222</v>
      </c>
      <c r="D37" s="110" t="s">
        <v>424</v>
      </c>
      <c r="E37" s="378"/>
      <c r="F37" s="68"/>
      <c r="G37" s="527"/>
      <c r="XEX37" s="428"/>
      <c r="XEY37" s="428"/>
    </row>
    <row r="38" spans="1:7 16378:16379" s="69" customFormat="1" x14ac:dyDescent="0.3">
      <c r="A38" s="70" t="s">
        <v>344</v>
      </c>
      <c r="B38" s="106">
        <f>SA_Config!E41</f>
        <v>30</v>
      </c>
      <c r="C38" s="102" t="s">
        <v>211</v>
      </c>
      <c r="D38" s="70" t="s">
        <v>27</v>
      </c>
      <c r="E38" s="377" t="s">
        <v>435</v>
      </c>
      <c r="F38" s="68"/>
      <c r="G38" s="527"/>
      <c r="XEX38" s="428"/>
      <c r="XEY38" s="428"/>
    </row>
    <row r="39" spans="1:7 16378:16379" s="69" customFormat="1" ht="20" x14ac:dyDescent="0.3">
      <c r="A39" s="70" t="s">
        <v>345</v>
      </c>
      <c r="B39" s="106">
        <f>SA_Config!G42</f>
        <v>0</v>
      </c>
      <c r="C39" s="102" t="s">
        <v>211</v>
      </c>
      <c r="D39" s="525" t="s">
        <v>28</v>
      </c>
      <c r="E39" s="377" t="s">
        <v>435</v>
      </c>
      <c r="F39" s="68"/>
      <c r="G39" s="538" t="s">
        <v>927</v>
      </c>
      <c r="XEX39" s="428"/>
      <c r="XEY39" s="428"/>
    </row>
    <row r="40" spans="1:7 16378:16379" s="69" customFormat="1" x14ac:dyDescent="0.3">
      <c r="A40" s="110"/>
      <c r="B40" s="109"/>
      <c r="C40" s="109"/>
      <c r="D40" s="110"/>
      <c r="E40" s="378"/>
      <c r="F40" s="68"/>
      <c r="G40" s="527"/>
      <c r="XEX40" s="428"/>
      <c r="XEY40" s="428"/>
    </row>
    <row r="41" spans="1:7 16378:16379" s="69" customFormat="1" x14ac:dyDescent="0.3">
      <c r="A41" s="67" t="s">
        <v>361</v>
      </c>
      <c r="B41" s="68"/>
      <c r="C41" s="68"/>
      <c r="D41" s="68"/>
      <c r="E41" s="68"/>
      <c r="F41" s="68"/>
      <c r="G41" s="527"/>
      <c r="XEX41" s="428"/>
      <c r="XEY41" s="428"/>
    </row>
    <row r="42" spans="1:7 16378:16379" s="69" customFormat="1" x14ac:dyDescent="0.3">
      <c r="A42" s="559" t="s">
        <v>359</v>
      </c>
      <c r="B42" s="364">
        <v>242</v>
      </c>
      <c r="C42" s="100" t="s">
        <v>324</v>
      </c>
      <c r="D42" s="70" t="s">
        <v>87</v>
      </c>
      <c r="E42" s="377" t="s">
        <v>898</v>
      </c>
      <c r="F42" s="68"/>
      <c r="G42" s="527"/>
      <c r="XEX42" s="428"/>
      <c r="XEY42" s="428"/>
    </row>
    <row r="43" spans="1:7 16378:16379" s="69" customFormat="1" x14ac:dyDescent="0.3">
      <c r="A43" s="70" t="s">
        <v>356</v>
      </c>
      <c r="B43" s="364">
        <v>270</v>
      </c>
      <c r="C43" s="100" t="s">
        <v>324</v>
      </c>
      <c r="D43" s="70" t="s">
        <v>88</v>
      </c>
      <c r="E43" s="377" t="s">
        <v>360</v>
      </c>
      <c r="F43" s="68"/>
      <c r="G43" s="527"/>
      <c r="XEX43" s="428"/>
      <c r="XEY43" s="428"/>
    </row>
    <row r="44" spans="1:7 16378:16379" s="69" customFormat="1" x14ac:dyDescent="0.3">
      <c r="A44" s="70" t="s">
        <v>357</v>
      </c>
      <c r="B44" s="364">
        <v>270</v>
      </c>
      <c r="C44" s="100" t="s">
        <v>324</v>
      </c>
      <c r="D44" s="70" t="s">
        <v>89</v>
      </c>
      <c r="E44" s="377" t="s">
        <v>360</v>
      </c>
      <c r="F44" s="68"/>
      <c r="G44" s="527"/>
      <c r="XEX44" s="428"/>
      <c r="XEY44" s="428"/>
    </row>
    <row r="45" spans="1:7 16378:16379" s="69" customFormat="1" x14ac:dyDescent="0.3">
      <c r="A45" s="70" t="s">
        <v>358</v>
      </c>
      <c r="B45" s="364">
        <v>97</v>
      </c>
      <c r="C45" s="100" t="s">
        <v>324</v>
      </c>
      <c r="D45" s="70" t="s">
        <v>90</v>
      </c>
      <c r="E45" s="377" t="s">
        <v>899</v>
      </c>
      <c r="F45" s="68"/>
      <c r="G45" s="527"/>
      <c r="XEX45" s="428"/>
      <c r="XEY45" s="428"/>
    </row>
    <row r="46" spans="1:7 16378:16379" s="69" customFormat="1" ht="20" x14ac:dyDescent="0.3">
      <c r="A46" s="70" t="s">
        <v>362</v>
      </c>
      <c r="B46" s="363">
        <v>1</v>
      </c>
      <c r="C46" s="100" t="s">
        <v>324</v>
      </c>
      <c r="D46" s="525" t="s">
        <v>91</v>
      </c>
      <c r="E46" s="377"/>
      <c r="F46" s="68"/>
      <c r="G46" s="538" t="s">
        <v>928</v>
      </c>
      <c r="XEX46" s="428"/>
      <c r="XEY46" s="428"/>
    </row>
    <row r="47" spans="1:7 16378:16379" s="69" customFormat="1" ht="20" x14ac:dyDescent="0.3">
      <c r="A47" s="70" t="s">
        <v>393</v>
      </c>
      <c r="B47" s="364">
        <v>150</v>
      </c>
      <c r="C47" s="100" t="s">
        <v>221</v>
      </c>
      <c r="D47" s="525" t="s">
        <v>394</v>
      </c>
      <c r="E47" s="377"/>
      <c r="F47" s="68"/>
      <c r="G47" s="538" t="s">
        <v>929</v>
      </c>
      <c r="XEX47" s="428"/>
      <c r="XEY47" s="428"/>
    </row>
    <row r="48" spans="1:7 16378:16379" s="69" customFormat="1" ht="20" x14ac:dyDescent="0.3">
      <c r="A48" s="70" t="s">
        <v>400</v>
      </c>
      <c r="B48" s="365">
        <v>1.1999999999999999E-3</v>
      </c>
      <c r="C48" s="102" t="s">
        <v>211</v>
      </c>
      <c r="D48" s="525" t="s">
        <v>396</v>
      </c>
      <c r="E48" s="377"/>
      <c r="F48" s="68"/>
      <c r="G48" s="538" t="s">
        <v>930</v>
      </c>
      <c r="XEX48" s="428"/>
      <c r="XEY48" s="428"/>
    </row>
    <row r="49" spans="1:7 16378:16379" s="69" customFormat="1" ht="20" x14ac:dyDescent="0.3">
      <c r="A49" s="70" t="s">
        <v>411</v>
      </c>
      <c r="B49" s="362">
        <v>1</v>
      </c>
      <c r="C49" s="100" t="s">
        <v>374</v>
      </c>
      <c r="D49" s="525" t="s">
        <v>397</v>
      </c>
      <c r="E49" s="377" t="s">
        <v>658</v>
      </c>
      <c r="F49" s="68"/>
      <c r="G49" s="538" t="s">
        <v>928</v>
      </c>
      <c r="XEX49" s="428"/>
      <c r="XEY49" s="428"/>
    </row>
    <row r="50" spans="1:7 16378:16379" s="69" customFormat="1" ht="20" x14ac:dyDescent="0.3">
      <c r="A50" s="70" t="s">
        <v>401</v>
      </c>
      <c r="B50" s="362">
        <v>0.1</v>
      </c>
      <c r="C50" s="100" t="s">
        <v>374</v>
      </c>
      <c r="D50" s="525" t="s">
        <v>398</v>
      </c>
      <c r="E50" s="377"/>
      <c r="F50" s="68"/>
      <c r="G50" s="538" t="s">
        <v>931</v>
      </c>
      <c r="XEX50" s="428"/>
      <c r="XEY50" s="428"/>
    </row>
    <row r="51" spans="1:7 16378:16379" s="69" customFormat="1" ht="20" x14ac:dyDescent="0.3">
      <c r="A51" s="70" t="s">
        <v>402</v>
      </c>
      <c r="B51" s="362">
        <v>1</v>
      </c>
      <c r="C51" s="100" t="s">
        <v>374</v>
      </c>
      <c r="D51" s="525" t="s">
        <v>399</v>
      </c>
      <c r="E51" s="377"/>
      <c r="F51" s="68"/>
      <c r="G51" s="538" t="s">
        <v>928</v>
      </c>
      <c r="XEX51" s="428"/>
      <c r="XEY51" s="428"/>
    </row>
    <row r="52" spans="1:7 16378:16379" s="69" customFormat="1" ht="20" x14ac:dyDescent="0.3">
      <c r="A52" s="70" t="s">
        <v>404</v>
      </c>
      <c r="B52" s="362">
        <v>1</v>
      </c>
      <c r="C52" s="100" t="s">
        <v>374</v>
      </c>
      <c r="D52" s="525" t="s">
        <v>403</v>
      </c>
      <c r="E52" s="377"/>
      <c r="F52" s="68"/>
      <c r="G52" s="538" t="s">
        <v>928</v>
      </c>
      <c r="XEX52" s="428"/>
      <c r="XEY52" s="428"/>
    </row>
    <row r="53" spans="1:7 16378:16379" s="69" customFormat="1" ht="20" x14ac:dyDescent="0.3">
      <c r="A53" s="70" t="s">
        <v>406</v>
      </c>
      <c r="B53" s="366">
        <v>1.5</v>
      </c>
      <c r="C53" s="100" t="s">
        <v>213</v>
      </c>
      <c r="D53" s="525" t="s">
        <v>405</v>
      </c>
      <c r="E53" s="377"/>
      <c r="F53" s="68"/>
      <c r="G53" s="538" t="s">
        <v>932</v>
      </c>
      <c r="XEX53" s="428"/>
      <c r="XEY53" s="428"/>
    </row>
    <row r="54" spans="1:7 16378:16379" s="69" customFormat="1" ht="20" x14ac:dyDescent="0.3">
      <c r="A54" s="70" t="s">
        <v>408</v>
      </c>
      <c r="B54" s="366">
        <v>1</v>
      </c>
      <c r="C54" s="100" t="s">
        <v>213</v>
      </c>
      <c r="D54" s="525" t="s">
        <v>407</v>
      </c>
      <c r="E54" s="377"/>
      <c r="F54" s="68"/>
      <c r="G54" s="538" t="s">
        <v>928</v>
      </c>
      <c r="XEX54" s="428"/>
      <c r="XEY54" s="428"/>
    </row>
    <row r="55" spans="1:7 16378:16379" s="69" customFormat="1" ht="20" x14ac:dyDescent="0.3">
      <c r="A55" s="70" t="s">
        <v>410</v>
      </c>
      <c r="B55" s="365">
        <v>0.02</v>
      </c>
      <c r="C55" s="102" t="s">
        <v>211</v>
      </c>
      <c r="D55" s="525" t="s">
        <v>409</v>
      </c>
      <c r="E55" s="377"/>
      <c r="F55" s="68"/>
      <c r="G55" s="538" t="s">
        <v>933</v>
      </c>
      <c r="XEX55" s="428"/>
      <c r="XEY55" s="428"/>
    </row>
    <row r="56" spans="1:7 16378:16379" s="69" customFormat="1" ht="20" x14ac:dyDescent="0.3">
      <c r="A56" s="70" t="s">
        <v>413</v>
      </c>
      <c r="B56" s="363">
        <v>45</v>
      </c>
      <c r="C56" s="100" t="s">
        <v>221</v>
      </c>
      <c r="D56" s="525" t="s">
        <v>412</v>
      </c>
      <c r="E56" s="377"/>
      <c r="F56" s="68"/>
      <c r="G56" s="538" t="s">
        <v>934</v>
      </c>
      <c r="XEX56" s="428"/>
      <c r="XEY56" s="428"/>
    </row>
    <row r="57" spans="1:7 16378:16379" s="69" customFormat="1" ht="20" x14ac:dyDescent="0.3">
      <c r="A57" s="70" t="s">
        <v>415</v>
      </c>
      <c r="B57" s="366">
        <v>2</v>
      </c>
      <c r="C57" s="100" t="s">
        <v>213</v>
      </c>
      <c r="D57" s="525" t="s">
        <v>414</v>
      </c>
      <c r="E57" s="377"/>
      <c r="F57" s="68"/>
      <c r="G57" s="538" t="s">
        <v>935</v>
      </c>
      <c r="XEX57" s="428"/>
      <c r="XEY57" s="428"/>
    </row>
    <row r="58" spans="1:7 16378:16379" s="69" customFormat="1" ht="20" x14ac:dyDescent="0.3">
      <c r="A58" s="70" t="s">
        <v>417</v>
      </c>
      <c r="B58" s="366">
        <v>1.5</v>
      </c>
      <c r="C58" s="100" t="s">
        <v>213</v>
      </c>
      <c r="D58" s="525" t="s">
        <v>416</v>
      </c>
      <c r="E58" s="377"/>
      <c r="F58" s="68"/>
      <c r="G58" s="538" t="s">
        <v>932</v>
      </c>
      <c r="XEX58" s="428"/>
      <c r="XEY58" s="428"/>
    </row>
    <row r="59" spans="1:7 16378:16379" s="69" customFormat="1" ht="20" x14ac:dyDescent="0.3">
      <c r="A59" s="70" t="s">
        <v>395</v>
      </c>
      <c r="B59" s="106">
        <f>SA_Config!E56</f>
        <v>1</v>
      </c>
      <c r="C59" s="102" t="s">
        <v>211</v>
      </c>
      <c r="D59" s="525" t="s">
        <v>92</v>
      </c>
      <c r="E59" s="377" t="s">
        <v>435</v>
      </c>
      <c r="F59" s="68"/>
      <c r="G59" s="538" t="s">
        <v>928</v>
      </c>
      <c r="XEX59" s="428"/>
      <c r="XEY59" s="428"/>
    </row>
    <row r="60" spans="1:7 16378:16379" s="69" customFormat="1" ht="19.5" customHeight="1" x14ac:dyDescent="0.3">
      <c r="A60" s="110"/>
      <c r="B60" s="109"/>
      <c r="C60" s="109"/>
      <c r="D60" s="110"/>
      <c r="E60" s="378"/>
      <c r="F60" s="68"/>
      <c r="XEX60" s="428"/>
      <c r="XEY60" s="428"/>
    </row>
    <row r="61" spans="1:7 16378:16379" s="69" customFormat="1" ht="18" hidden="1" customHeight="1" x14ac:dyDescent="0.3">
      <c r="A61" s="67" t="s">
        <v>371</v>
      </c>
      <c r="B61" s="68"/>
      <c r="C61" s="68"/>
      <c r="D61" s="68"/>
      <c r="E61" s="68"/>
      <c r="F61" s="68"/>
      <c r="XEX61" s="428"/>
      <c r="XEY61" s="428"/>
    </row>
    <row r="62" spans="1:7 16378:16379" s="69" customFormat="1" ht="29.25" hidden="1" customHeight="1" x14ac:dyDescent="0.3">
      <c r="A62" s="107" t="s">
        <v>364</v>
      </c>
      <c r="B62" s="362">
        <v>3</v>
      </c>
      <c r="C62" s="109" t="s">
        <v>323</v>
      </c>
      <c r="D62" s="525" t="s">
        <v>501</v>
      </c>
      <c r="E62" s="382"/>
      <c r="F62" s="68"/>
      <c r="G62" s="527" t="s">
        <v>939</v>
      </c>
      <c r="XEX62" s="428"/>
      <c r="XEY62" s="428"/>
    </row>
    <row r="63" spans="1:7 16378:16379" s="69" customFormat="1" ht="24" hidden="1" customHeight="1" x14ac:dyDescent="0.3">
      <c r="A63" s="107" t="s">
        <v>366</v>
      </c>
      <c r="B63" s="362">
        <v>25</v>
      </c>
      <c r="C63" s="109" t="s">
        <v>323</v>
      </c>
      <c r="D63" s="525" t="s">
        <v>502</v>
      </c>
      <c r="E63" s="382"/>
      <c r="F63" s="68"/>
      <c r="G63" s="527" t="s">
        <v>939</v>
      </c>
      <c r="XEX63" s="428"/>
      <c r="XEY63" s="428"/>
    </row>
    <row r="64" spans="1:7 16378:16379" s="69" customFormat="1" ht="22.5" hidden="1" customHeight="1" x14ac:dyDescent="0.3">
      <c r="A64" s="107" t="s">
        <v>365</v>
      </c>
      <c r="B64" s="363">
        <v>1500</v>
      </c>
      <c r="C64" s="109" t="s">
        <v>222</v>
      </c>
      <c r="D64" s="525" t="s">
        <v>503</v>
      </c>
      <c r="E64" s="382"/>
      <c r="F64" s="68"/>
      <c r="G64" s="527" t="s">
        <v>939</v>
      </c>
      <c r="XEX64" s="428"/>
      <c r="XEY64" s="428"/>
    </row>
    <row r="65" spans="1:7 16378:16379" s="69" customFormat="1" ht="30.75" hidden="1" customHeight="1" x14ac:dyDescent="0.3">
      <c r="A65" s="107" t="s">
        <v>367</v>
      </c>
      <c r="B65" s="363">
        <v>150</v>
      </c>
      <c r="C65" s="109" t="s">
        <v>222</v>
      </c>
      <c r="D65" s="525" t="s">
        <v>504</v>
      </c>
      <c r="E65" s="382"/>
      <c r="F65" s="68"/>
      <c r="G65" s="527" t="s">
        <v>939</v>
      </c>
      <c r="XEX65" s="428"/>
      <c r="XEY65" s="428"/>
    </row>
    <row r="66" spans="1:7 16378:16379" s="69" customFormat="1" ht="29.25" hidden="1" customHeight="1" x14ac:dyDescent="0.3">
      <c r="A66" s="108" t="s">
        <v>368</v>
      </c>
      <c r="B66" s="362">
        <v>3.5</v>
      </c>
      <c r="C66" s="109" t="s">
        <v>213</v>
      </c>
      <c r="D66" s="525" t="s">
        <v>115</v>
      </c>
      <c r="E66" s="382"/>
      <c r="F66" s="68"/>
      <c r="G66" s="527" t="s">
        <v>939</v>
      </c>
      <c r="XEX66" s="428"/>
      <c r="XEY66" s="428"/>
    </row>
    <row r="67" spans="1:7 16378:16379" s="69" customFormat="1" ht="21.75" hidden="1" customHeight="1" x14ac:dyDescent="0.3">
      <c r="A67" s="108" t="s">
        <v>369</v>
      </c>
      <c r="B67" s="362">
        <v>1</v>
      </c>
      <c r="C67" s="109" t="s">
        <v>213</v>
      </c>
      <c r="D67" s="525" t="s">
        <v>116</v>
      </c>
      <c r="E67" s="382"/>
      <c r="F67" s="68"/>
      <c r="G67" s="527" t="s">
        <v>937</v>
      </c>
      <c r="XEX67" s="428"/>
      <c r="XEY67" s="428"/>
    </row>
    <row r="68" spans="1:7 16378:16379" s="69" customFormat="1" ht="21" hidden="1" customHeight="1" x14ac:dyDescent="0.3">
      <c r="A68" s="107" t="s">
        <v>373</v>
      </c>
      <c r="B68" s="363">
        <v>130</v>
      </c>
      <c r="C68" s="109" t="s">
        <v>324</v>
      </c>
      <c r="D68" s="525" t="s">
        <v>120</v>
      </c>
      <c r="E68" s="382"/>
      <c r="F68" s="68"/>
      <c r="G68" s="527" t="s">
        <v>938</v>
      </c>
      <c r="XEX68" s="428"/>
      <c r="XEY68" s="428"/>
    </row>
    <row r="69" spans="1:7 16378:16379" s="69" customFormat="1" ht="27" hidden="1" customHeight="1" x14ac:dyDescent="0.3">
      <c r="A69" s="70" t="s">
        <v>372</v>
      </c>
      <c r="B69" s="363">
        <v>130</v>
      </c>
      <c r="C69" s="109" t="s">
        <v>324</v>
      </c>
      <c r="D69" s="70" t="s">
        <v>121</v>
      </c>
      <c r="E69" s="382"/>
      <c r="F69" s="68"/>
      <c r="G69" s="527" t="s">
        <v>937</v>
      </c>
      <c r="XEX69" s="428"/>
      <c r="XEY69" s="428"/>
    </row>
    <row r="70" spans="1:7 16378:16379" s="69" customFormat="1" ht="24.75" hidden="1" customHeight="1" x14ac:dyDescent="0.3">
      <c r="A70" s="70" t="s">
        <v>375</v>
      </c>
      <c r="B70" s="358">
        <v>1</v>
      </c>
      <c r="C70" s="109" t="s">
        <v>374</v>
      </c>
      <c r="D70" s="525" t="s">
        <v>122</v>
      </c>
      <c r="E70" s="382"/>
      <c r="F70" s="68"/>
      <c r="G70" s="527" t="s">
        <v>939</v>
      </c>
      <c r="XEX70" s="428"/>
      <c r="XEY70" s="428"/>
    </row>
    <row r="71" spans="1:7 16378:16379" s="69" customFormat="1" ht="34.5" hidden="1" customHeight="1" x14ac:dyDescent="0.3">
      <c r="A71" s="70" t="s">
        <v>872</v>
      </c>
      <c r="B71" s="502">
        <v>0.125</v>
      </c>
      <c r="C71" s="112" t="s">
        <v>211</v>
      </c>
      <c r="D71" s="525" t="s">
        <v>870</v>
      </c>
      <c r="E71" s="382"/>
      <c r="F71" s="68"/>
      <c r="G71" s="527" t="s">
        <v>939</v>
      </c>
      <c r="XEX71" s="428"/>
      <c r="XEY71" s="428"/>
    </row>
    <row r="72" spans="1:7 16378:16379" s="69" customFormat="1" ht="10.5" hidden="1" customHeight="1" x14ac:dyDescent="0.3">
      <c r="A72" s="70" t="s">
        <v>873</v>
      </c>
      <c r="B72" s="363">
        <v>10</v>
      </c>
      <c r="C72" s="109" t="s">
        <v>225</v>
      </c>
      <c r="D72" s="525" t="s">
        <v>871</v>
      </c>
      <c r="E72" s="382"/>
      <c r="F72" s="68"/>
      <c r="G72" s="527" t="s">
        <v>939</v>
      </c>
      <c r="XEX72" s="428"/>
      <c r="XEY72" s="428"/>
    </row>
    <row r="73" spans="1:7 16378:16379" s="69" customFormat="1" ht="24" hidden="1" customHeight="1" x14ac:dyDescent="0.3">
      <c r="A73" s="70" t="s">
        <v>376</v>
      </c>
      <c r="B73" s="111">
        <f>MOD((MechanicalData!B53/2), 360)+MechanicalData!B39 + B25</f>
        <v>839.92727272727279</v>
      </c>
      <c r="C73" s="109" t="s">
        <v>323</v>
      </c>
      <c r="D73" s="525" t="s">
        <v>123</v>
      </c>
      <c r="E73" s="377" t="s">
        <v>238</v>
      </c>
      <c r="F73" s="68"/>
      <c r="G73" s="527" t="s">
        <v>939</v>
      </c>
      <c r="XEX73" s="428"/>
      <c r="XEY73" s="428"/>
    </row>
    <row r="74" spans="1:7 16378:16379" s="69" customFormat="1" ht="13.5" hidden="1" customHeight="1" x14ac:dyDescent="0.3">
      <c r="A74" s="70" t="s">
        <v>370</v>
      </c>
      <c r="B74" s="106">
        <f>SA_Config!E78</f>
        <v>1794</v>
      </c>
      <c r="C74" s="112" t="s">
        <v>211</v>
      </c>
      <c r="D74" s="525" t="s">
        <v>110</v>
      </c>
      <c r="E74" s="377" t="s">
        <v>435</v>
      </c>
      <c r="F74" s="68"/>
      <c r="G74" s="527" t="s">
        <v>939</v>
      </c>
      <c r="XEX74" s="428"/>
      <c r="XEY74" s="428"/>
    </row>
    <row r="75" spans="1:7 16378:16379" ht="26.25" hidden="1" customHeight="1" x14ac:dyDescent="0.3">
      <c r="E75" s="383"/>
      <c r="F75" s="68"/>
      <c r="G75" s="528"/>
      <c r="XEX75" s="383"/>
      <c r="XEY75" s="383"/>
    </row>
    <row r="76" spans="1:7 16378:16379" s="69" customFormat="1" ht="25.5" hidden="1" customHeight="1" x14ac:dyDescent="0.3">
      <c r="A76" s="67" t="s">
        <v>363</v>
      </c>
      <c r="B76" s="100"/>
      <c r="C76" s="109"/>
      <c r="D76" s="70"/>
      <c r="E76" s="382"/>
      <c r="F76" s="68"/>
      <c r="G76" s="527"/>
      <c r="XEX76" s="428"/>
      <c r="XEY76" s="428"/>
    </row>
    <row r="77" spans="1:7 16378:16379" s="69" customFormat="1" ht="19.5" hidden="1" customHeight="1" x14ac:dyDescent="0.3">
      <c r="A77" s="107" t="s">
        <v>379</v>
      </c>
      <c r="B77" s="358">
        <v>0.1</v>
      </c>
      <c r="C77" s="100" t="s">
        <v>374</v>
      </c>
      <c r="D77" s="525" t="s">
        <v>104</v>
      </c>
      <c r="E77" s="376" t="s">
        <v>740</v>
      </c>
      <c r="F77" s="68"/>
      <c r="G77" s="540" t="s">
        <v>941</v>
      </c>
      <c r="XEX77" s="428"/>
      <c r="XEY77" s="428"/>
    </row>
    <row r="78" spans="1:7 16378:16379" s="69" customFormat="1" ht="27.75" hidden="1" customHeight="1" x14ac:dyDescent="0.3">
      <c r="A78" s="70" t="s">
        <v>747</v>
      </c>
      <c r="B78" s="384" t="s">
        <v>119</v>
      </c>
      <c r="C78" s="109" t="s">
        <v>323</v>
      </c>
      <c r="D78" s="525" t="s">
        <v>117</v>
      </c>
      <c r="E78" s="376" t="s">
        <v>326</v>
      </c>
      <c r="F78" s="68"/>
      <c r="G78" s="540" t="s">
        <v>940</v>
      </c>
      <c r="XEX78" s="428"/>
      <c r="XEY78" s="428"/>
    </row>
    <row r="79" spans="1:7 16378:16379" s="69" customFormat="1" ht="18.75" hidden="1" customHeight="1" x14ac:dyDescent="0.3">
      <c r="A79" s="70" t="s">
        <v>419</v>
      </c>
      <c r="B79" s="362">
        <v>50</v>
      </c>
      <c r="C79" s="109" t="s">
        <v>323</v>
      </c>
      <c r="D79" s="525" t="s">
        <v>418</v>
      </c>
      <c r="E79" s="376" t="s">
        <v>423</v>
      </c>
      <c r="F79" s="68"/>
      <c r="G79" s="540" t="s">
        <v>941</v>
      </c>
      <c r="XEX79" s="428"/>
      <c r="XEY79" s="428"/>
    </row>
    <row r="80" spans="1:7 16378:16379" s="69" customFormat="1" ht="17.25" hidden="1" customHeight="1" x14ac:dyDescent="0.3">
      <c r="A80" s="70" t="s">
        <v>421</v>
      </c>
      <c r="B80" s="358">
        <v>5</v>
      </c>
      <c r="C80" s="109" t="s">
        <v>374</v>
      </c>
      <c r="D80" s="525" t="s">
        <v>420</v>
      </c>
      <c r="E80" s="376" t="s">
        <v>422</v>
      </c>
      <c r="F80" s="68"/>
      <c r="G80" s="540" t="s">
        <v>941</v>
      </c>
      <c r="XEX80" s="428"/>
      <c r="XEY80" s="428"/>
    </row>
    <row r="81" spans="1:8 16378:16379" s="69" customFormat="1" ht="21.75" hidden="1" customHeight="1" x14ac:dyDescent="0.3">
      <c r="A81" s="108" t="s">
        <v>380</v>
      </c>
      <c r="B81" s="363">
        <v>5</v>
      </c>
      <c r="C81" s="112" t="s">
        <v>211</v>
      </c>
      <c r="D81" s="526" t="s">
        <v>118</v>
      </c>
      <c r="E81" s="382"/>
      <c r="F81" s="68"/>
      <c r="G81" s="540" t="s">
        <v>941</v>
      </c>
      <c r="XEX81" s="428"/>
      <c r="XEY81" s="428"/>
    </row>
    <row r="82" spans="1:8 16378:16379" s="69" customFormat="1" ht="21.75" hidden="1" customHeight="1" x14ac:dyDescent="0.3">
      <c r="A82" s="70" t="s">
        <v>377</v>
      </c>
      <c r="B82" s="106">
        <f>SA_Config!E98</f>
        <v>63</v>
      </c>
      <c r="C82" s="112" t="s">
        <v>211</v>
      </c>
      <c r="D82" s="525" t="s">
        <v>103</v>
      </c>
      <c r="E82" s="377" t="s">
        <v>435</v>
      </c>
      <c r="F82" s="68"/>
      <c r="G82" s="527" t="s">
        <v>942</v>
      </c>
      <c r="XEX82" s="428"/>
      <c r="XEY82" s="428"/>
    </row>
    <row r="83" spans="1:8 16378:16379" s="69" customFormat="1" ht="14.25" hidden="1" customHeight="1" x14ac:dyDescent="0.3">
      <c r="A83" s="70" t="s">
        <v>378</v>
      </c>
      <c r="B83" s="106">
        <f>SA_Config!G99</f>
        <v>0</v>
      </c>
      <c r="C83" s="112" t="s">
        <v>211</v>
      </c>
      <c r="D83" s="70" t="s">
        <v>105</v>
      </c>
      <c r="E83" s="377" t="s">
        <v>435</v>
      </c>
      <c r="F83" s="68"/>
      <c r="XEX83" s="428"/>
      <c r="XEY83" s="428"/>
    </row>
    <row r="84" spans="1:8 16378:16379" s="69" customFormat="1" ht="30" hidden="1" customHeight="1" x14ac:dyDescent="0.3">
      <c r="A84" s="70"/>
      <c r="B84" s="99"/>
      <c r="C84" s="100"/>
      <c r="D84" s="70"/>
      <c r="E84" s="377"/>
      <c r="F84" s="68"/>
      <c r="XEX84" s="428"/>
      <c r="XEY84" s="428"/>
    </row>
    <row r="85" spans="1:8 16378:16379" s="23" customFormat="1" x14ac:dyDescent="0.3">
      <c r="A85" s="67" t="s">
        <v>430</v>
      </c>
      <c r="B85" s="67"/>
      <c r="C85" s="67"/>
      <c r="D85" s="67"/>
      <c r="E85" s="67"/>
      <c r="F85" s="67"/>
      <c r="XEX85" s="401"/>
      <c r="XEY85" s="401"/>
    </row>
    <row r="86" spans="1:8 16378:16379" s="23" customFormat="1" x14ac:dyDescent="0.3">
      <c r="A86" s="51" t="s">
        <v>442</v>
      </c>
      <c r="B86" s="105">
        <f>'Steering Ratio'!L17/'Steering Ratio'!H17</f>
        <v>22.392857142857139</v>
      </c>
      <c r="C86" s="89" t="s">
        <v>303</v>
      </c>
      <c r="D86" s="117"/>
      <c r="E86" s="377" t="s">
        <v>443</v>
      </c>
      <c r="F86" s="67"/>
      <c r="XEX86" s="401"/>
      <c r="XEY86" s="401"/>
    </row>
    <row r="87" spans="1:8 16378:16379" s="23" customFormat="1" x14ac:dyDescent="0.3">
      <c r="A87" s="276" t="s">
        <v>662</v>
      </c>
      <c r="B87" s="105">
        <f>MIN('Steering Ratio'!V7:'Steering Ratio'!V897)</f>
        <v>22.392857142857142</v>
      </c>
      <c r="C87" s="89" t="s">
        <v>303</v>
      </c>
      <c r="D87" s="117"/>
      <c r="E87" s="377" t="s">
        <v>443</v>
      </c>
      <c r="F87" s="67"/>
      <c r="XEX87" s="401"/>
      <c r="XEY87" s="401"/>
    </row>
    <row r="88" spans="1:8 16378:16379" s="23" customFormat="1" x14ac:dyDescent="0.3">
      <c r="A88" s="276" t="s">
        <v>663</v>
      </c>
      <c r="B88" s="105">
        <f>MAX('Steering Ratio'!V7:'Steering Ratio'!V897)</f>
        <v>22.392857142857142</v>
      </c>
      <c r="C88" s="89" t="s">
        <v>303</v>
      </c>
      <c r="D88" s="117"/>
      <c r="E88" s="377" t="s">
        <v>443</v>
      </c>
      <c r="F88" s="67"/>
      <c r="G88" s="515" t="s">
        <v>1005</v>
      </c>
      <c r="XEX88" s="401"/>
      <c r="XEY88" s="401"/>
    </row>
    <row r="89" spans="1:8 16378:16379" s="23" customFormat="1" x14ac:dyDescent="0.3">
      <c r="A89" s="51"/>
      <c r="B89" s="89"/>
      <c r="C89" s="89"/>
      <c r="D89" s="117"/>
      <c r="E89" s="379"/>
      <c r="F89" s="67"/>
      <c r="XEX89" s="401"/>
      <c r="XEY89" s="401"/>
    </row>
    <row r="90" spans="1:8 16378:16379" s="23" customFormat="1" x14ac:dyDescent="0.3">
      <c r="A90" s="31" t="s">
        <v>653</v>
      </c>
      <c r="B90" s="367">
        <v>180</v>
      </c>
      <c r="C90" s="89" t="s">
        <v>323</v>
      </c>
      <c r="D90" s="70"/>
      <c r="E90" s="377" t="s">
        <v>654</v>
      </c>
      <c r="F90" s="67"/>
      <c r="XEX90" s="401"/>
      <c r="XEY90" s="401"/>
    </row>
    <row r="91" spans="1:8 16378:16379" s="23" customFormat="1" x14ac:dyDescent="0.25">
      <c r="A91" s="31" t="s">
        <v>432</v>
      </c>
      <c r="B91" s="368">
        <v>18</v>
      </c>
      <c r="C91" s="89" t="s">
        <v>323</v>
      </c>
      <c r="D91" s="31"/>
      <c r="E91" s="380"/>
      <c r="F91" s="113"/>
      <c r="H91" s="30"/>
      <c r="XEX91" s="401"/>
      <c r="XEY91" s="401"/>
    </row>
    <row r="92" spans="1:8 16378:16379" s="23" customFormat="1" x14ac:dyDescent="0.25">
      <c r="A92" s="31" t="s">
        <v>433</v>
      </c>
      <c r="B92" s="368">
        <v>8</v>
      </c>
      <c r="C92" s="89" t="s">
        <v>323</v>
      </c>
      <c r="D92" s="31"/>
      <c r="E92" s="380"/>
      <c r="F92" s="113"/>
      <c r="H92" s="30"/>
      <c r="XEX92" s="401"/>
      <c r="XEY92" s="401"/>
    </row>
    <row r="93" spans="1:8 16378:16379" s="23" customFormat="1" x14ac:dyDescent="0.25">
      <c r="A93" s="31" t="s">
        <v>145</v>
      </c>
      <c r="B93" s="368">
        <v>4</v>
      </c>
      <c r="C93" s="89" t="s">
        <v>323</v>
      </c>
      <c r="D93" s="31"/>
      <c r="E93" s="380"/>
      <c r="F93" s="113"/>
      <c r="H93" s="30"/>
      <c r="XEX93" s="401"/>
      <c r="XEY93" s="401"/>
    </row>
    <row r="94" spans="1:8 16378:16379" s="23" customFormat="1" x14ac:dyDescent="0.25">
      <c r="A94" s="31" t="s">
        <v>146</v>
      </c>
      <c r="B94" s="368">
        <v>15</v>
      </c>
      <c r="C94" s="89" t="s">
        <v>323</v>
      </c>
      <c r="D94" s="31"/>
      <c r="E94" s="380"/>
      <c r="F94" s="113"/>
      <c r="XEX94" s="401"/>
      <c r="XEY94" s="401"/>
    </row>
    <row r="95" spans="1:8 16378:16379" s="23" customFormat="1" x14ac:dyDescent="0.25">
      <c r="A95" s="31" t="s">
        <v>711</v>
      </c>
      <c r="B95" s="368">
        <v>25</v>
      </c>
      <c r="C95" s="89" t="s">
        <v>323</v>
      </c>
      <c r="D95" s="31"/>
      <c r="E95" s="512"/>
      <c r="F95" s="113"/>
      <c r="XEX95" s="401"/>
      <c r="XEY95" s="401"/>
    </row>
    <row r="96" spans="1:8 16378:16379" s="23" customFormat="1" x14ac:dyDescent="0.25">
      <c r="A96" s="31" t="s">
        <v>1003</v>
      </c>
      <c r="B96" s="368">
        <v>2</v>
      </c>
      <c r="C96" s="89" t="s">
        <v>323</v>
      </c>
      <c r="D96" s="31"/>
      <c r="E96" s="380"/>
      <c r="F96" s="113"/>
      <c r="XEX96" s="401"/>
      <c r="XEY96" s="401"/>
    </row>
    <row r="97" spans="1:7 16378:16379" s="23" customFormat="1" x14ac:dyDescent="0.2">
      <c r="A97" s="31" t="s">
        <v>1001</v>
      </c>
      <c r="B97" s="368">
        <v>10</v>
      </c>
      <c r="C97" s="89" t="s">
        <v>323</v>
      </c>
      <c r="D97" s="114"/>
      <c r="E97" s="377" t="s">
        <v>436</v>
      </c>
      <c r="F97" s="113"/>
      <c r="XEX97" s="401"/>
      <c r="XEY97" s="401"/>
    </row>
    <row r="98" spans="1:7 16378:16379" s="23" customFormat="1" x14ac:dyDescent="0.25">
      <c r="A98" s="31" t="s">
        <v>1002</v>
      </c>
      <c r="B98" s="368">
        <v>0</v>
      </c>
      <c r="C98" s="89" t="s">
        <v>323</v>
      </c>
      <c r="D98" s="114"/>
      <c r="E98" s="381"/>
      <c r="F98" s="113"/>
      <c r="XEX98" s="401"/>
      <c r="XEY98" s="401"/>
    </row>
    <row r="99" spans="1:7 16378:16379" s="23" customFormat="1" x14ac:dyDescent="0.25">
      <c r="A99" s="31" t="s">
        <v>147</v>
      </c>
      <c r="B99" s="368">
        <v>90</v>
      </c>
      <c r="C99" s="89" t="s">
        <v>323</v>
      </c>
      <c r="D99" s="115"/>
      <c r="E99" s="381"/>
      <c r="F99" s="113"/>
      <c r="XEX99" s="401"/>
      <c r="XEY99" s="401"/>
    </row>
    <row r="100" spans="1:7 16378:16379" s="23" customFormat="1" x14ac:dyDescent="0.25">
      <c r="A100" s="31" t="s">
        <v>148</v>
      </c>
      <c r="B100" s="368">
        <v>5</v>
      </c>
      <c r="C100" s="89" t="s">
        <v>323</v>
      </c>
      <c r="D100" s="31"/>
      <c r="E100" s="381"/>
      <c r="F100" s="113"/>
      <c r="XEX100" s="401"/>
      <c r="XEY100" s="401"/>
    </row>
    <row r="101" spans="1:7 16378:16379" s="23" customFormat="1" x14ac:dyDescent="0.25">
      <c r="A101" s="31" t="s">
        <v>149</v>
      </c>
      <c r="B101" s="368">
        <v>2</v>
      </c>
      <c r="C101" s="89" t="s">
        <v>323</v>
      </c>
      <c r="D101" s="31"/>
      <c r="E101" s="513"/>
      <c r="F101" s="113"/>
      <c r="XEX101" s="401"/>
      <c r="XEY101" s="401"/>
    </row>
    <row r="102" spans="1:7 16378:16379" s="23" customFormat="1" x14ac:dyDescent="0.25">
      <c r="A102" s="31"/>
      <c r="B102" s="88"/>
      <c r="C102" s="89"/>
      <c r="D102" s="31"/>
      <c r="E102" s="380"/>
      <c r="F102" s="31"/>
      <c r="XEX102" s="401"/>
      <c r="XEY102" s="401"/>
    </row>
    <row r="103" spans="1:7 16378:16379" s="23" customFormat="1" x14ac:dyDescent="0.25">
      <c r="A103" s="608" t="s">
        <v>453</v>
      </c>
      <c r="B103" s="609"/>
      <c r="C103" s="609"/>
      <c r="D103" s="609"/>
      <c r="E103" s="609"/>
      <c r="F103" s="609"/>
      <c r="XEX103" s="401"/>
      <c r="XEY103" s="401"/>
    </row>
    <row r="104" spans="1:7 16378:16379" s="23" customFormat="1" x14ac:dyDescent="0.3">
      <c r="A104" s="51" t="s">
        <v>659</v>
      </c>
      <c r="B104" s="116">
        <f>ROUNDDOWN((MechanicalData!B53+B6+B94)/2/B90,0)+ROUNDDOWN((MechanicalData!B53+B6)/2/B90,0)+1</f>
        <v>7</v>
      </c>
      <c r="C104" s="153" t="s">
        <v>211</v>
      </c>
      <c r="D104" s="70" t="s">
        <v>660</v>
      </c>
      <c r="E104" s="377" t="s">
        <v>661</v>
      </c>
      <c r="F104" s="275"/>
      <c r="XEX104" s="401"/>
      <c r="XEY104" s="401"/>
    </row>
    <row r="105" spans="1:7 16378:16379" s="23" customFormat="1" x14ac:dyDescent="0.3">
      <c r="A105" s="31" t="s">
        <v>439</v>
      </c>
      <c r="B105" s="116">
        <f>B92*B87</f>
        <v>179.14285714285714</v>
      </c>
      <c r="C105" s="89" t="s">
        <v>434</v>
      </c>
      <c r="D105" s="70" t="s">
        <v>155</v>
      </c>
      <c r="E105" s="377" t="s">
        <v>573</v>
      </c>
      <c r="F105" s="113"/>
      <c r="XEX105" s="401"/>
      <c r="XEY105" s="401"/>
    </row>
    <row r="106" spans="1:7 16378:16379" s="23" customFormat="1" x14ac:dyDescent="0.3">
      <c r="A106" s="31" t="s">
        <v>438</v>
      </c>
      <c r="B106" s="116">
        <f>B92*B86</f>
        <v>179.14285714285711</v>
      </c>
      <c r="C106" s="89" t="s">
        <v>434</v>
      </c>
      <c r="D106" s="70" t="s">
        <v>156</v>
      </c>
      <c r="E106" s="377" t="s">
        <v>574</v>
      </c>
      <c r="F106" s="113"/>
      <c r="XEX106" s="401"/>
      <c r="XEY106" s="401"/>
    </row>
    <row r="107" spans="1:7 16378:16379" s="23" customFormat="1" x14ac:dyDescent="0.3">
      <c r="A107" s="31" t="s">
        <v>440</v>
      </c>
      <c r="B107" s="116">
        <f>B91*B88</f>
        <v>403.07142857142856</v>
      </c>
      <c r="C107" s="89" t="s">
        <v>434</v>
      </c>
      <c r="D107" s="541" t="s">
        <v>1004</v>
      </c>
      <c r="E107" s="377" t="s">
        <v>575</v>
      </c>
      <c r="F107" s="113"/>
      <c r="G107" s="531" t="s">
        <v>955</v>
      </c>
      <c r="XEX107" s="401"/>
      <c r="XEY107" s="401"/>
    </row>
    <row r="108" spans="1:7 16378:16379" s="23" customFormat="1" x14ac:dyDescent="0.3">
      <c r="A108" s="31" t="s">
        <v>437</v>
      </c>
      <c r="B108" s="116">
        <f>B91*B86</f>
        <v>403.0714285714285</v>
      </c>
      <c r="C108" s="89" t="s">
        <v>434</v>
      </c>
      <c r="D108" s="541" t="s">
        <v>157</v>
      </c>
      <c r="E108" s="377" t="s">
        <v>574</v>
      </c>
      <c r="F108" s="113"/>
      <c r="G108" s="531" t="s">
        <v>955</v>
      </c>
      <c r="XEX108" s="401"/>
      <c r="XEY108" s="401"/>
    </row>
    <row r="109" spans="1:7 16378:16379" s="23" customFormat="1" x14ac:dyDescent="0.3">
      <c r="A109" s="31" t="s">
        <v>158</v>
      </c>
      <c r="B109" s="116">
        <f>B96*B88</f>
        <v>44.785714285714285</v>
      </c>
      <c r="C109" s="89" t="s">
        <v>434</v>
      </c>
      <c r="D109" s="70" t="s">
        <v>159</v>
      </c>
      <c r="E109" s="377" t="s">
        <v>575</v>
      </c>
      <c r="F109" s="113"/>
      <c r="XEX109" s="401"/>
      <c r="XEY109" s="401"/>
    </row>
    <row r="110" spans="1:7 16378:16379" s="23" customFormat="1" x14ac:dyDescent="0.3">
      <c r="A110" s="31" t="s">
        <v>160</v>
      </c>
      <c r="B110" s="116">
        <f>B96*B86</f>
        <v>44.785714285714278</v>
      </c>
      <c r="C110" s="89" t="s">
        <v>434</v>
      </c>
      <c r="D110" s="70" t="s">
        <v>161</v>
      </c>
      <c r="E110" s="377" t="s">
        <v>441</v>
      </c>
      <c r="F110" s="113"/>
      <c r="XEX110" s="401"/>
      <c r="XEY110" s="401"/>
    </row>
    <row r="111" spans="1:7 16378:16379" s="23" customFormat="1" x14ac:dyDescent="0.3">
      <c r="A111" s="31" t="s">
        <v>1007</v>
      </c>
      <c r="B111" s="557">
        <v>-97</v>
      </c>
      <c r="C111" s="89" t="s">
        <v>434</v>
      </c>
      <c r="D111" s="70" t="s">
        <v>1006</v>
      </c>
      <c r="E111" s="377" t="s">
        <v>900</v>
      </c>
      <c r="F111" s="113"/>
      <c r="XEX111" s="401"/>
      <c r="XEY111" s="401"/>
    </row>
    <row r="112" spans="1:7 16378:16379" s="23" customFormat="1" x14ac:dyDescent="0.3">
      <c r="A112" s="31" t="s">
        <v>162</v>
      </c>
      <c r="B112" s="116">
        <f>B93*B88</f>
        <v>89.571428571428569</v>
      </c>
      <c r="C112" s="89" t="s">
        <v>434</v>
      </c>
      <c r="D112" s="70" t="s">
        <v>163</v>
      </c>
      <c r="E112" s="377" t="s">
        <v>575</v>
      </c>
      <c r="F112" s="113"/>
      <c r="XEX112" s="401"/>
      <c r="XEY112" s="401"/>
    </row>
    <row r="113" spans="1:8 16378:16379" s="23" customFormat="1" x14ac:dyDescent="0.3">
      <c r="A113" s="31" t="s">
        <v>444</v>
      </c>
      <c r="B113" s="116">
        <f>B107+B112+B97*B88</f>
        <v>716.57142857142856</v>
      </c>
      <c r="C113" s="89" t="s">
        <v>434</v>
      </c>
      <c r="D113" s="70" t="s">
        <v>164</v>
      </c>
      <c r="E113" s="377" t="s">
        <v>238</v>
      </c>
      <c r="F113" s="113"/>
      <c r="XEX113" s="401"/>
      <c r="XEY113" s="401"/>
    </row>
    <row r="114" spans="1:8 16378:16379" s="23" customFormat="1" x14ac:dyDescent="0.3">
      <c r="A114" s="31" t="s">
        <v>733</v>
      </c>
      <c r="B114" s="431">
        <v>0.63</v>
      </c>
      <c r="C114" s="153" t="s">
        <v>211</v>
      </c>
      <c r="D114" s="70" t="s">
        <v>732</v>
      </c>
      <c r="E114" s="514"/>
      <c r="F114" s="113"/>
      <c r="XEX114" s="401"/>
      <c r="XEY114" s="401"/>
    </row>
    <row r="115" spans="1:8 16378:16379" s="23" customFormat="1" x14ac:dyDescent="0.3">
      <c r="A115" s="31" t="s">
        <v>165</v>
      </c>
      <c r="B115" s="116">
        <f>B94*B86</f>
        <v>335.89285714285711</v>
      </c>
      <c r="C115" s="89" t="s">
        <v>434</v>
      </c>
      <c r="D115" s="70" t="s">
        <v>166</v>
      </c>
      <c r="E115" s="381"/>
      <c r="F115" s="113"/>
      <c r="XEX115" s="401"/>
      <c r="XEY115" s="401"/>
    </row>
    <row r="116" spans="1:8 16378:16379" s="23" customFormat="1" x14ac:dyDescent="0.3">
      <c r="A116" s="31" t="s">
        <v>167</v>
      </c>
      <c r="B116" s="116">
        <f>B95*B86</f>
        <v>559.82142857142844</v>
      </c>
      <c r="C116" s="89" t="s">
        <v>434</v>
      </c>
      <c r="D116" s="70" t="s">
        <v>168</v>
      </c>
      <c r="E116" s="377" t="s">
        <v>445</v>
      </c>
      <c r="F116" s="113"/>
      <c r="XEX116" s="401"/>
      <c r="XEY116" s="401"/>
    </row>
    <row r="117" spans="1:8 16378:16379" s="23" customFormat="1" x14ac:dyDescent="0.3">
      <c r="A117" s="31" t="s">
        <v>169</v>
      </c>
      <c r="B117" s="370">
        <v>1</v>
      </c>
      <c r="C117" s="74" t="s">
        <v>213</v>
      </c>
      <c r="D117" s="70" t="s">
        <v>170</v>
      </c>
      <c r="E117" s="377" t="s">
        <v>446</v>
      </c>
      <c r="F117" s="113"/>
      <c r="XEX117" s="401"/>
      <c r="XEY117" s="401"/>
    </row>
    <row r="118" spans="1:8 16378:16379" s="23" customFormat="1" x14ac:dyDescent="0.3">
      <c r="A118" s="31" t="s">
        <v>171</v>
      </c>
      <c r="B118" s="370">
        <v>5</v>
      </c>
      <c r="C118" s="74" t="s">
        <v>221</v>
      </c>
      <c r="D118" s="70" t="s">
        <v>172</v>
      </c>
      <c r="E118" s="377" t="s">
        <v>446</v>
      </c>
      <c r="F118" s="113"/>
      <c r="XEX118" s="401"/>
      <c r="XEY118" s="401"/>
    </row>
    <row r="119" spans="1:8 16378:16379" s="23" customFormat="1" ht="20" x14ac:dyDescent="0.3">
      <c r="A119" s="31" t="s">
        <v>458</v>
      </c>
      <c r="B119" s="371">
        <v>15</v>
      </c>
      <c r="C119" s="74" t="s">
        <v>222</v>
      </c>
      <c r="D119" s="525" t="s">
        <v>457</v>
      </c>
      <c r="E119" s="377" t="s">
        <v>459</v>
      </c>
      <c r="F119" s="113"/>
      <c r="G119" s="538" t="s">
        <v>943</v>
      </c>
      <c r="XEX119" s="401"/>
      <c r="XEY119" s="401"/>
    </row>
    <row r="120" spans="1:8 16378:16379" s="23" customFormat="1" ht="20" x14ac:dyDescent="0.3">
      <c r="A120" s="31" t="s">
        <v>463</v>
      </c>
      <c r="B120" s="371">
        <v>1757</v>
      </c>
      <c r="C120" s="74" t="s">
        <v>222</v>
      </c>
      <c r="D120" s="525" t="s">
        <v>460</v>
      </c>
      <c r="E120" s="377" t="s">
        <v>461</v>
      </c>
      <c r="F120" s="113"/>
      <c r="G120" s="538" t="s">
        <v>944</v>
      </c>
      <c r="H120" s="23" t="s">
        <v>1009</v>
      </c>
      <c r="XEX120" s="401"/>
      <c r="XEY120" s="401"/>
    </row>
    <row r="121" spans="1:8 16378:16379" s="23" customFormat="1" ht="20" x14ac:dyDescent="0.3">
      <c r="A121" s="31" t="s">
        <v>464</v>
      </c>
      <c r="B121" s="370">
        <v>4</v>
      </c>
      <c r="C121" s="74" t="s">
        <v>213</v>
      </c>
      <c r="D121" s="525" t="s">
        <v>462</v>
      </c>
      <c r="E121" s="377" t="s">
        <v>461</v>
      </c>
      <c r="F121" s="113"/>
      <c r="G121" s="538" t="s">
        <v>945</v>
      </c>
      <c r="XEX121" s="401"/>
      <c r="XEY121" s="401"/>
    </row>
    <row r="122" spans="1:8 16378:16379" s="23" customFormat="1" ht="20" x14ac:dyDescent="0.3">
      <c r="A122" s="31" t="s">
        <v>465</v>
      </c>
      <c r="B122" s="370">
        <v>3.5</v>
      </c>
      <c r="C122" s="74" t="s">
        <v>213</v>
      </c>
      <c r="D122" s="525" t="s">
        <v>116</v>
      </c>
      <c r="E122" s="377" t="s">
        <v>461</v>
      </c>
      <c r="F122" s="113"/>
      <c r="G122" s="538" t="s">
        <v>936</v>
      </c>
      <c r="XEX122" s="401"/>
      <c r="XEY122" s="401"/>
    </row>
    <row r="123" spans="1:8 16378:16379" s="23" customFormat="1" x14ac:dyDescent="0.3">
      <c r="A123" s="31" t="s">
        <v>173</v>
      </c>
      <c r="B123" s="116">
        <f>LOOKUP(ROUND(B99, 0), 'Steering Ratio'!H10:'Steering Ratio'!H200,'Steering Ratio'!M10:'Steering Ratio'!M200)</f>
        <v>2015</v>
      </c>
      <c r="C123" s="89" t="s">
        <v>434</v>
      </c>
      <c r="D123" s="70" t="s">
        <v>174</v>
      </c>
      <c r="E123" s="377" t="s">
        <v>576</v>
      </c>
      <c r="F123" s="113"/>
      <c r="XEX123" s="401"/>
      <c r="XEY123" s="401"/>
    </row>
    <row r="124" spans="1:8 16378:16379" s="23" customFormat="1" ht="27" x14ac:dyDescent="0.3">
      <c r="A124" s="31" t="s">
        <v>175</v>
      </c>
      <c r="B124" s="116">
        <f ca="1">INDIRECT("'Steering Ratio'!M" &amp; ROUNDDOWN((MechanicalData!B52/2*'Steering Ratio'!Z14+B94+B97+B6-B90),0)+7)</f>
        <v>10166</v>
      </c>
      <c r="C124" s="89" t="s">
        <v>434</v>
      </c>
      <c r="D124" s="541" t="s">
        <v>176</v>
      </c>
      <c r="E124" s="377" t="s">
        <v>448</v>
      </c>
      <c r="F124" s="113"/>
      <c r="G124" s="542" t="s">
        <v>954</v>
      </c>
      <c r="XEX124" s="401"/>
      <c r="XEY124" s="401"/>
    </row>
    <row r="125" spans="1:8 16378:16379" s="23" customFormat="1" x14ac:dyDescent="0.3">
      <c r="A125" s="31" t="s">
        <v>177</v>
      </c>
      <c r="B125" s="368">
        <v>1</v>
      </c>
      <c r="C125" s="89" t="s">
        <v>374</v>
      </c>
      <c r="D125" s="70" t="s">
        <v>178</v>
      </c>
      <c r="E125" s="377" t="s">
        <v>447</v>
      </c>
      <c r="F125" s="113"/>
      <c r="XEX125" s="401"/>
      <c r="XEY125" s="401"/>
    </row>
    <row r="126" spans="1:8 16378:16379" s="23" customFormat="1" x14ac:dyDescent="0.3">
      <c r="A126" s="31" t="s">
        <v>179</v>
      </c>
      <c r="B126" s="116">
        <f>B100*B86</f>
        <v>111.96428571428569</v>
      </c>
      <c r="C126" s="89" t="s">
        <v>434</v>
      </c>
      <c r="D126" s="70" t="s">
        <v>180</v>
      </c>
      <c r="E126" s="381"/>
      <c r="F126" s="113"/>
      <c r="XEX126" s="401"/>
      <c r="XEY126" s="401"/>
    </row>
    <row r="127" spans="1:8 16378:16379" s="23" customFormat="1" x14ac:dyDescent="0.3">
      <c r="A127" s="31" t="s">
        <v>181</v>
      </c>
      <c r="B127" s="116">
        <f>B101*B86</f>
        <v>44.785714285714278</v>
      </c>
      <c r="C127" s="89" t="s">
        <v>434</v>
      </c>
      <c r="D127" s="70" t="s">
        <v>121</v>
      </c>
      <c r="E127" s="381"/>
      <c r="F127" s="113"/>
      <c r="G127" s="29"/>
      <c r="H127" s="30"/>
      <c r="XEX127" s="401"/>
      <c r="XEY127" s="401"/>
    </row>
    <row r="128" spans="1:8 16378:16379" s="23" customFormat="1" x14ac:dyDescent="0.3">
      <c r="A128" s="31" t="s">
        <v>497</v>
      </c>
      <c r="B128" s="116">
        <f>SA_Config!E122</f>
        <v>14287</v>
      </c>
      <c r="C128" s="153" t="s">
        <v>211</v>
      </c>
      <c r="D128" s="70" t="s">
        <v>192</v>
      </c>
      <c r="E128" s="377" t="s">
        <v>498</v>
      </c>
      <c r="F128" s="113"/>
      <c r="G128" s="29"/>
      <c r="H128" s="30"/>
      <c r="XEX128" s="401"/>
      <c r="XEY128" s="401"/>
    </row>
    <row r="129" spans="1:8 16378:16379" s="23" customFormat="1" x14ac:dyDescent="0.3">
      <c r="A129" s="31" t="s">
        <v>497</v>
      </c>
      <c r="B129" s="116">
        <f>SA_Config!E142</f>
        <v>2</v>
      </c>
      <c r="C129" s="153" t="s">
        <v>211</v>
      </c>
      <c r="D129" s="70" t="s">
        <v>456</v>
      </c>
      <c r="E129" s="377" t="s">
        <v>498</v>
      </c>
      <c r="F129" s="113"/>
      <c r="G129" s="29"/>
      <c r="H129" s="30"/>
      <c r="XEX129" s="401"/>
      <c r="XEY129" s="401"/>
    </row>
    <row r="130" spans="1:8 16378:16379" s="23" customFormat="1" x14ac:dyDescent="0.3">
      <c r="A130" s="31"/>
      <c r="B130" s="89"/>
      <c r="C130" s="89"/>
      <c r="D130" s="70"/>
      <c r="E130" s="381"/>
      <c r="F130" s="113"/>
      <c r="G130" s="29"/>
      <c r="H130" s="30"/>
      <c r="XEX130" s="401"/>
      <c r="XEY130" s="401"/>
    </row>
    <row r="131" spans="1:8 16378:16379" s="23" customFormat="1" x14ac:dyDescent="0.3">
      <c r="A131" s="67" t="s">
        <v>363</v>
      </c>
      <c r="B131" s="89"/>
      <c r="C131" s="89"/>
      <c r="D131" s="70"/>
      <c r="E131" s="381"/>
      <c r="F131" s="113"/>
      <c r="G131" s="29"/>
      <c r="H131" s="30"/>
      <c r="XEX131" s="401"/>
      <c r="XEY131" s="401"/>
    </row>
    <row r="132" spans="1:8 16378:16379" s="23" customFormat="1" x14ac:dyDescent="0.3">
      <c r="A132" s="31" t="s">
        <v>182</v>
      </c>
      <c r="B132" s="369">
        <v>20</v>
      </c>
      <c r="C132" s="89" t="s">
        <v>225</v>
      </c>
      <c r="D132" s="70" t="s">
        <v>452</v>
      </c>
      <c r="E132" s="377" t="s">
        <v>449</v>
      </c>
      <c r="F132" s="113"/>
      <c r="G132" s="29"/>
      <c r="H132" s="30"/>
      <c r="XEX132" s="401"/>
      <c r="XEY132" s="401"/>
    </row>
    <row r="133" spans="1:8 16378:16379" s="23" customFormat="1" x14ac:dyDescent="0.3">
      <c r="A133" s="31" t="s">
        <v>450</v>
      </c>
      <c r="B133" s="369">
        <v>1000</v>
      </c>
      <c r="C133" s="89" t="s">
        <v>225</v>
      </c>
      <c r="D133" s="70" t="s">
        <v>451</v>
      </c>
      <c r="E133" s="377" t="s">
        <v>447</v>
      </c>
      <c r="F133" s="113"/>
      <c r="G133" s="29"/>
      <c r="H133" s="30"/>
      <c r="XEX133" s="401"/>
      <c r="XEY133" s="401"/>
    </row>
    <row r="134" spans="1:8 16378:16379" s="23" customFormat="1" x14ac:dyDescent="0.3">
      <c r="A134" s="31" t="s">
        <v>655</v>
      </c>
      <c r="B134" s="116">
        <f>LOOKUP(B90, 'Steering Ratio'!H50:'Steering Ratio'!H400,'Steering Ratio'!M50:'Steering Ratio'!M400)</f>
        <v>4031</v>
      </c>
      <c r="C134" s="89" t="s">
        <v>434</v>
      </c>
      <c r="D134" s="70" t="s">
        <v>183</v>
      </c>
      <c r="E134" s="377" t="s">
        <v>738</v>
      </c>
      <c r="F134" s="113"/>
      <c r="G134" s="29"/>
      <c r="H134" s="30"/>
      <c r="XEX134" s="401"/>
      <c r="XEY134" s="401"/>
    </row>
    <row r="135" spans="1:8 16378:16379" s="23" customFormat="1" x14ac:dyDescent="0.3">
      <c r="A135" s="31" t="s">
        <v>184</v>
      </c>
      <c r="B135" s="116">
        <f>B97*B87</f>
        <v>223.92857142857142</v>
      </c>
      <c r="C135" s="89" t="s">
        <v>434</v>
      </c>
      <c r="D135" s="70" t="s">
        <v>185</v>
      </c>
      <c r="E135" s="381"/>
      <c r="F135" s="113"/>
      <c r="G135" s="29"/>
      <c r="H135" s="30"/>
      <c r="XEX135" s="401"/>
      <c r="XEY135" s="401"/>
    </row>
    <row r="136" spans="1:8 16378:16379" s="23" customFormat="1" x14ac:dyDescent="0.3">
      <c r="A136" s="31" t="s">
        <v>186</v>
      </c>
      <c r="B136" s="116">
        <f>B108/2</f>
        <v>201.53571428571425</v>
      </c>
      <c r="C136" s="89" t="s">
        <v>434</v>
      </c>
      <c r="D136" s="70" t="s">
        <v>187</v>
      </c>
      <c r="E136" s="381"/>
      <c r="F136" s="113"/>
      <c r="G136" s="29"/>
      <c r="H136" s="30"/>
      <c r="XEX136" s="401"/>
      <c r="XEY136" s="401"/>
    </row>
    <row r="137" spans="1:8 16378:16379" s="23" customFormat="1" x14ac:dyDescent="0.3">
      <c r="A137" s="31" t="s">
        <v>188</v>
      </c>
      <c r="B137" s="116">
        <f>B108/2</f>
        <v>201.53571428571425</v>
      </c>
      <c r="C137" s="89" t="s">
        <v>434</v>
      </c>
      <c r="D137" s="70" t="s">
        <v>189</v>
      </c>
      <c r="E137" s="377" t="s">
        <v>244</v>
      </c>
      <c r="F137" s="113"/>
      <c r="G137" s="29"/>
      <c r="H137" s="30"/>
      <c r="XEX137" s="401"/>
      <c r="XEY137" s="401"/>
    </row>
    <row r="138" spans="1:8 16378:16379" s="23" customFormat="1" x14ac:dyDescent="0.3">
      <c r="A138" s="31" t="s">
        <v>455</v>
      </c>
      <c r="B138" s="369">
        <v>0</v>
      </c>
      <c r="C138" s="89" t="s">
        <v>434</v>
      </c>
      <c r="D138" s="70" t="s">
        <v>190</v>
      </c>
      <c r="E138" s="377" t="s">
        <v>454</v>
      </c>
      <c r="F138" s="113"/>
      <c r="G138" s="29"/>
      <c r="H138" s="30"/>
      <c r="XEX138" s="401"/>
      <c r="XEY138" s="401"/>
    </row>
    <row r="139" spans="1:8 16378:16379" s="23" customFormat="1" x14ac:dyDescent="0.3">
      <c r="A139" s="70" t="s">
        <v>377</v>
      </c>
      <c r="B139" s="106">
        <f>SA_Config!E162</f>
        <v>15</v>
      </c>
      <c r="C139" s="112" t="s">
        <v>211</v>
      </c>
      <c r="D139" s="70" t="s">
        <v>103</v>
      </c>
      <c r="E139" s="377" t="s">
        <v>498</v>
      </c>
      <c r="F139" s="113"/>
      <c r="G139" s="29"/>
      <c r="H139" s="30"/>
      <c r="XEX139" s="401"/>
      <c r="XEY139" s="401"/>
    </row>
    <row r="140" spans="1:8 16378:16379" s="23" customFormat="1" x14ac:dyDescent="0.3">
      <c r="A140" s="70" t="s">
        <v>378</v>
      </c>
      <c r="B140" s="106">
        <f>SA_Config!G163</f>
        <v>0</v>
      </c>
      <c r="C140" s="112" t="s">
        <v>211</v>
      </c>
      <c r="D140" s="70" t="s">
        <v>105</v>
      </c>
      <c r="E140" s="377" t="s">
        <v>498</v>
      </c>
      <c r="F140" s="113"/>
      <c r="G140" s="29"/>
      <c r="H140" s="30"/>
      <c r="XEX140" s="401"/>
      <c r="XEY140" s="401"/>
    </row>
    <row r="141" spans="1:8 16378:16379" s="69" customFormat="1" x14ac:dyDescent="0.3">
      <c r="A141" s="70"/>
      <c r="B141" s="70"/>
      <c r="C141" s="70"/>
      <c r="D141" s="70"/>
      <c r="E141" s="382"/>
      <c r="F141" s="70"/>
      <c r="XEX141" s="428"/>
      <c r="XEY141" s="428"/>
    </row>
    <row r="142" spans="1:8 16378:16379" s="69" customFormat="1" x14ac:dyDescent="0.3">
      <c r="A142" s="67" t="s">
        <v>431</v>
      </c>
      <c r="B142" s="68"/>
      <c r="C142" s="68"/>
      <c r="D142" s="68"/>
      <c r="E142" s="68"/>
      <c r="F142" s="68"/>
      <c r="G142" s="527"/>
      <c r="XEX142" s="428"/>
      <c r="XEY142" s="428"/>
    </row>
    <row r="143" spans="1:8 16378:16379" ht="20" x14ac:dyDescent="0.3">
      <c r="A143" s="66" t="s">
        <v>608</v>
      </c>
      <c r="B143" s="372">
        <v>0.5</v>
      </c>
      <c r="C143" s="99" t="s">
        <v>374</v>
      </c>
      <c r="D143" s="524" t="s">
        <v>578</v>
      </c>
      <c r="E143" s="383" t="s">
        <v>610</v>
      </c>
      <c r="F143" s="68"/>
      <c r="G143" s="538" t="s">
        <v>946</v>
      </c>
      <c r="XEX143" s="383"/>
      <c r="XEY143" s="383"/>
    </row>
    <row r="144" spans="1:8 16378:16379" ht="20" x14ac:dyDescent="0.3">
      <c r="A144" s="66" t="s">
        <v>601</v>
      </c>
      <c r="B144" s="373">
        <v>1</v>
      </c>
      <c r="C144" s="99" t="s">
        <v>602</v>
      </c>
      <c r="D144" s="524" t="s">
        <v>579</v>
      </c>
      <c r="E144" s="383" t="s">
        <v>609</v>
      </c>
      <c r="F144" s="68"/>
      <c r="G144" s="538" t="s">
        <v>928</v>
      </c>
      <c r="XEX144" s="383"/>
      <c r="XEY144" s="383"/>
    </row>
    <row r="145" spans="1:7 16378:16379" ht="20" x14ac:dyDescent="0.3">
      <c r="A145" s="66" t="s">
        <v>605</v>
      </c>
      <c r="B145" s="372">
        <v>0.3</v>
      </c>
      <c r="C145" s="99" t="s">
        <v>603</v>
      </c>
      <c r="D145" s="524" t="s">
        <v>580</v>
      </c>
      <c r="E145" s="383" t="s">
        <v>609</v>
      </c>
      <c r="F145" s="68"/>
      <c r="G145" s="538" t="s">
        <v>947</v>
      </c>
      <c r="XEX145" s="383"/>
      <c r="XEY145" s="383"/>
    </row>
    <row r="146" spans="1:7 16378:16379" ht="20" x14ac:dyDescent="0.3">
      <c r="A146" s="66" t="s">
        <v>595</v>
      </c>
      <c r="B146" s="373">
        <v>2</v>
      </c>
      <c r="C146" s="99" t="s">
        <v>213</v>
      </c>
      <c r="D146" s="524" t="s">
        <v>593</v>
      </c>
      <c r="E146" s="383" t="s">
        <v>610</v>
      </c>
      <c r="F146" s="68"/>
      <c r="G146" s="538" t="s">
        <v>935</v>
      </c>
      <c r="XEX146" s="383"/>
      <c r="XEY146" s="383"/>
    </row>
    <row r="147" spans="1:7 16378:16379" x14ac:dyDescent="0.3">
      <c r="A147" s="66" t="s">
        <v>606</v>
      </c>
      <c r="B147" s="556">
        <v>10</v>
      </c>
      <c r="C147" s="99" t="s">
        <v>221</v>
      </c>
      <c r="D147" s="524" t="s">
        <v>600</v>
      </c>
      <c r="E147" s="383" t="s">
        <v>901</v>
      </c>
      <c r="F147" s="68"/>
      <c r="G147" s="527" t="s">
        <v>948</v>
      </c>
      <c r="XEX147" s="383"/>
      <c r="XEY147" s="383"/>
    </row>
    <row r="148" spans="1:7 16378:16379" ht="20" x14ac:dyDescent="0.3">
      <c r="A148" s="66" t="s">
        <v>594</v>
      </c>
      <c r="B148" s="372">
        <v>20</v>
      </c>
      <c r="C148" s="99" t="s">
        <v>602</v>
      </c>
      <c r="D148" s="524" t="s">
        <v>592</v>
      </c>
      <c r="E148" s="383" t="s">
        <v>609</v>
      </c>
      <c r="F148" s="68"/>
      <c r="G148" s="538" t="s">
        <v>949</v>
      </c>
      <c r="XEX148" s="383"/>
      <c r="XEY148" s="383"/>
    </row>
    <row r="149" spans="1:7 16378:16379" ht="20" x14ac:dyDescent="0.3">
      <c r="A149" s="66" t="s">
        <v>599</v>
      </c>
      <c r="B149" s="372">
        <v>0.2</v>
      </c>
      <c r="C149" s="256" t="s">
        <v>211</v>
      </c>
      <c r="D149" s="524" t="s">
        <v>598</v>
      </c>
      <c r="E149" s="383" t="s">
        <v>609</v>
      </c>
      <c r="F149" s="68"/>
      <c r="G149" s="538" t="s">
        <v>950</v>
      </c>
      <c r="XEX149" s="383"/>
      <c r="XEY149" s="383"/>
    </row>
    <row r="150" spans="1:7 16378:16379" x14ac:dyDescent="0.3">
      <c r="E150" s="383"/>
      <c r="F150" s="68"/>
      <c r="G150" s="528"/>
      <c r="XEX150" s="383"/>
      <c r="XEY150" s="383"/>
    </row>
    <row r="151" spans="1:7 16378:16379" ht="20" x14ac:dyDescent="0.3">
      <c r="A151" s="66" t="s">
        <v>589</v>
      </c>
      <c r="B151" s="373">
        <v>4</v>
      </c>
      <c r="C151" s="99" t="s">
        <v>221</v>
      </c>
      <c r="D151" s="524" t="s">
        <v>588</v>
      </c>
      <c r="E151" s="383" t="s">
        <v>611</v>
      </c>
      <c r="F151" s="68"/>
      <c r="G151" s="538" t="s">
        <v>945</v>
      </c>
      <c r="XEX151" s="383"/>
      <c r="XEY151" s="383"/>
    </row>
    <row r="152" spans="1:7 16378:16379" ht="20" x14ac:dyDescent="0.3">
      <c r="A152" s="66" t="s">
        <v>604</v>
      </c>
      <c r="B152" s="372">
        <v>0.2</v>
      </c>
      <c r="C152" s="99" t="s">
        <v>221</v>
      </c>
      <c r="D152" s="524" t="s">
        <v>585</v>
      </c>
      <c r="E152" s="383" t="s">
        <v>611</v>
      </c>
      <c r="F152" s="68"/>
      <c r="G152" s="538" t="s">
        <v>950</v>
      </c>
      <c r="XEX152" s="383"/>
      <c r="XEY152" s="383"/>
    </row>
    <row r="153" spans="1:7 16378:16379" ht="20" x14ac:dyDescent="0.3">
      <c r="A153" s="66" t="s">
        <v>612</v>
      </c>
      <c r="B153" s="373">
        <v>3</v>
      </c>
      <c r="C153" s="99" t="s">
        <v>221</v>
      </c>
      <c r="D153" s="524" t="s">
        <v>591</v>
      </c>
      <c r="E153" s="383" t="s">
        <v>611</v>
      </c>
      <c r="F153" s="68"/>
      <c r="G153" s="538" t="s">
        <v>951</v>
      </c>
      <c r="XEX153" s="383"/>
      <c r="XEY153" s="383"/>
    </row>
    <row r="154" spans="1:7 16378:16379" ht="20" x14ac:dyDescent="0.3">
      <c r="A154" s="66" t="s">
        <v>587</v>
      </c>
      <c r="B154" s="373">
        <v>4</v>
      </c>
      <c r="C154" s="99" t="s">
        <v>221</v>
      </c>
      <c r="D154" s="524" t="s">
        <v>586</v>
      </c>
      <c r="E154" s="383" t="s">
        <v>611</v>
      </c>
      <c r="F154" s="68"/>
      <c r="G154" s="538" t="s">
        <v>945</v>
      </c>
      <c r="XEX154" s="383"/>
      <c r="XEY154" s="383"/>
    </row>
    <row r="155" spans="1:7 16378:16379" ht="20" x14ac:dyDescent="0.3">
      <c r="A155" s="66" t="s">
        <v>613</v>
      </c>
      <c r="B155" s="372">
        <v>0.2</v>
      </c>
      <c r="C155" s="256" t="s">
        <v>211</v>
      </c>
      <c r="D155" s="524" t="s">
        <v>584</v>
      </c>
      <c r="E155" s="383" t="s">
        <v>611</v>
      </c>
      <c r="F155" s="68"/>
      <c r="G155" s="538" t="s">
        <v>950</v>
      </c>
      <c r="XEX155" s="383"/>
      <c r="XEY155" s="383"/>
    </row>
    <row r="156" spans="1:7 16378:16379" ht="20" x14ac:dyDescent="0.3">
      <c r="A156" s="66" t="s">
        <v>614</v>
      </c>
      <c r="B156" s="373">
        <v>3</v>
      </c>
      <c r="C156" s="99" t="s">
        <v>221</v>
      </c>
      <c r="D156" s="524" t="s">
        <v>590</v>
      </c>
      <c r="E156" s="383" t="s">
        <v>611</v>
      </c>
      <c r="F156" s="68"/>
      <c r="G156" s="538" t="s">
        <v>951</v>
      </c>
      <c r="XEX156" s="383"/>
      <c r="XEY156" s="383"/>
    </row>
    <row r="157" spans="1:7 16378:16379" ht="20" x14ac:dyDescent="0.3">
      <c r="A157" s="66" t="s">
        <v>615</v>
      </c>
      <c r="B157" s="372">
        <v>1.07</v>
      </c>
      <c r="C157" s="256" t="s">
        <v>211</v>
      </c>
      <c r="D157" s="524" t="s">
        <v>581</v>
      </c>
      <c r="E157" s="383" t="s">
        <v>611</v>
      </c>
      <c r="F157" s="68"/>
      <c r="G157" s="538" t="s">
        <v>952</v>
      </c>
      <c r="XEX157" s="383"/>
      <c r="XEY157" s="383"/>
    </row>
    <row r="158" spans="1:7 16378:16379" ht="20" x14ac:dyDescent="0.3">
      <c r="A158" s="66" t="s">
        <v>583</v>
      </c>
      <c r="B158" s="372">
        <v>0.93</v>
      </c>
      <c r="C158" s="256" t="s">
        <v>211</v>
      </c>
      <c r="D158" s="524" t="s">
        <v>582</v>
      </c>
      <c r="E158" s="383" t="s">
        <v>611</v>
      </c>
      <c r="F158" s="68"/>
      <c r="G158" s="538" t="s">
        <v>953</v>
      </c>
      <c r="XEX158" s="383"/>
      <c r="XEY158" s="383"/>
    </row>
    <row r="159" spans="1:7 16378:16379" ht="20" x14ac:dyDescent="0.3">
      <c r="A159" s="66" t="s">
        <v>597</v>
      </c>
      <c r="B159" s="372">
        <v>0.2</v>
      </c>
      <c r="C159" s="256" t="s">
        <v>616</v>
      </c>
      <c r="D159" s="524" t="s">
        <v>596</v>
      </c>
      <c r="E159" s="383" t="s">
        <v>611</v>
      </c>
      <c r="F159" s="68"/>
      <c r="G159" s="538" t="s">
        <v>950</v>
      </c>
      <c r="XEX159" s="383"/>
      <c r="XEY159" s="383"/>
    </row>
    <row r="160" spans="1:7 16378:16379" x14ac:dyDescent="0.3">
      <c r="A160" s="67"/>
      <c r="B160" s="68"/>
      <c r="C160" s="68"/>
      <c r="D160" s="68"/>
      <c r="E160" s="68"/>
      <c r="F160" s="68"/>
      <c r="G160" s="69"/>
      <c r="XEX160" s="383"/>
      <c r="XEY160" s="383"/>
    </row>
    <row r="161" spans="1:12 16378:16379" x14ac:dyDescent="0.3">
      <c r="A161" s="421"/>
      <c r="B161" s="383"/>
      <c r="C161" s="383"/>
      <c r="D161" s="383"/>
      <c r="E161" s="383"/>
      <c r="F161" s="383"/>
      <c r="G161" s="383"/>
      <c r="H161" s="383"/>
      <c r="I161" s="383"/>
      <c r="J161" s="383"/>
      <c r="K161" s="383"/>
      <c r="L161" s="383"/>
      <c r="XEX161" s="383"/>
      <c r="XEY161" s="383"/>
    </row>
    <row r="162" spans="1:12 16378:16379" x14ac:dyDescent="0.3">
      <c r="A162" s="607" t="s">
        <v>607</v>
      </c>
      <c r="B162" s="607"/>
      <c r="C162" s="607"/>
      <c r="D162" s="607"/>
      <c r="E162" s="607"/>
      <c r="F162" s="383"/>
      <c r="G162" s="383"/>
      <c r="H162" s="383"/>
      <c r="I162" s="383"/>
      <c r="J162" s="383"/>
      <c r="K162" s="383"/>
      <c r="L162" s="383"/>
      <c r="XEX162" s="383"/>
      <c r="XEY162" s="383"/>
    </row>
    <row r="163" spans="1:12 16378:16379" x14ac:dyDescent="0.3">
      <c r="A163" s="383"/>
      <c r="B163" s="383"/>
      <c r="C163" s="383"/>
      <c r="D163" s="383"/>
      <c r="E163" s="383"/>
      <c r="F163" s="383"/>
      <c r="G163" s="383"/>
      <c r="H163" s="383"/>
      <c r="I163" s="383"/>
      <c r="J163" s="383"/>
      <c r="K163" s="383"/>
      <c r="L163" s="383"/>
      <c r="XEX163" s="383"/>
      <c r="XEY163" s="383"/>
    </row>
    <row r="164" spans="1:12 16378:16379" x14ac:dyDescent="0.3">
      <c r="A164" s="383"/>
      <c r="B164" s="383"/>
      <c r="C164" s="383"/>
      <c r="D164" s="383"/>
      <c r="E164" s="383"/>
      <c r="F164" s="383"/>
      <c r="G164" s="383"/>
      <c r="H164" s="383"/>
      <c r="I164" s="383"/>
      <c r="J164" s="383"/>
      <c r="K164" s="383"/>
      <c r="L164" s="383"/>
      <c r="XEX164" s="383"/>
      <c r="XEY164" s="383"/>
    </row>
    <row r="165" spans="1:12 16378:16379" x14ac:dyDescent="0.3">
      <c r="A165" s="383"/>
      <c r="B165" s="383"/>
      <c r="C165" s="383"/>
      <c r="D165" s="383"/>
      <c r="E165" s="383"/>
      <c r="F165" s="383"/>
      <c r="G165" s="383"/>
      <c r="H165" s="383"/>
      <c r="I165" s="383"/>
      <c r="J165" s="383"/>
      <c r="K165" s="383"/>
      <c r="L165" s="383"/>
      <c r="XEX165" s="383"/>
      <c r="XEY165" s="383"/>
    </row>
    <row r="166" spans="1:12 16378:16379" x14ac:dyDescent="0.3">
      <c r="A166" s="383"/>
      <c r="B166" s="383"/>
      <c r="C166" s="383"/>
      <c r="D166" s="383"/>
      <c r="E166" s="383"/>
      <c r="F166" s="383"/>
      <c r="G166" s="383"/>
      <c r="H166" s="383"/>
      <c r="I166" s="383"/>
      <c r="J166" s="383"/>
      <c r="K166" s="383"/>
      <c r="L166" s="383"/>
      <c r="XEX166" s="383"/>
      <c r="XEY166" s="383"/>
    </row>
    <row r="167" spans="1:12 16378:16379" x14ac:dyDescent="0.3">
      <c r="A167" s="383"/>
      <c r="B167" s="383"/>
      <c r="C167" s="383"/>
      <c r="D167" s="383"/>
      <c r="E167" s="383"/>
      <c r="F167" s="383"/>
      <c r="G167" s="383"/>
      <c r="H167" s="383"/>
      <c r="I167" s="383"/>
      <c r="J167" s="383"/>
      <c r="K167" s="383"/>
      <c r="L167" s="383"/>
      <c r="XEX167" s="383"/>
      <c r="XEY167" s="383"/>
    </row>
    <row r="168" spans="1:12 16378:16379" x14ac:dyDescent="0.3">
      <c r="A168" s="383"/>
      <c r="B168" s="383"/>
      <c r="C168" s="383"/>
      <c r="D168" s="383"/>
      <c r="E168" s="383"/>
      <c r="F168" s="383"/>
      <c r="G168" s="383"/>
      <c r="H168" s="383"/>
      <c r="I168" s="383"/>
      <c r="J168" s="383"/>
      <c r="K168" s="383"/>
      <c r="L168" s="383"/>
      <c r="XEX168" s="383"/>
      <c r="XEY168" s="383"/>
    </row>
    <row r="169" spans="1:12 16378:16379" x14ac:dyDescent="0.3">
      <c r="A169" s="383"/>
      <c r="B169" s="383"/>
      <c r="C169" s="383"/>
      <c r="D169" s="383"/>
      <c r="E169" s="383"/>
      <c r="F169" s="383"/>
      <c r="G169" s="383"/>
      <c r="H169" s="383"/>
      <c r="I169" s="383"/>
      <c r="J169" s="383"/>
      <c r="K169" s="383"/>
      <c r="L169" s="383"/>
      <c r="XEX169" s="383"/>
      <c r="XEY169" s="383"/>
    </row>
    <row r="170" spans="1:12 16378:16379" x14ac:dyDescent="0.3">
      <c r="A170" s="383"/>
      <c r="B170" s="383"/>
      <c r="C170" s="383"/>
      <c r="D170" s="383"/>
      <c r="E170" s="383"/>
      <c r="F170" s="383"/>
      <c r="G170" s="383"/>
      <c r="H170" s="383"/>
      <c r="I170" s="383"/>
      <c r="J170" s="383"/>
      <c r="K170" s="383"/>
      <c r="L170" s="383"/>
      <c r="XEX170" s="383"/>
      <c r="XEY170" s="383"/>
    </row>
    <row r="171" spans="1:12 16378:16379" x14ac:dyDescent="0.3">
      <c r="A171" s="383"/>
      <c r="B171" s="383"/>
      <c r="C171" s="383"/>
      <c r="D171" s="383"/>
      <c r="E171" s="383"/>
      <c r="F171" s="383"/>
      <c r="G171" s="383"/>
      <c r="H171" s="383"/>
      <c r="I171" s="383"/>
      <c r="J171" s="383"/>
      <c r="K171" s="383"/>
      <c r="L171" s="383"/>
      <c r="XEX171" s="383"/>
      <c r="XEY171" s="383"/>
    </row>
    <row r="172" spans="1:12 16378:16379" x14ac:dyDescent="0.3">
      <c r="A172" s="383"/>
      <c r="B172" s="383"/>
      <c r="C172" s="383"/>
      <c r="D172" s="383"/>
      <c r="E172" s="383"/>
      <c r="F172" s="383"/>
      <c r="G172" s="383"/>
      <c r="H172" s="383"/>
      <c r="I172" s="383"/>
      <c r="J172" s="383"/>
      <c r="K172" s="383"/>
      <c r="L172" s="383"/>
      <c r="XEX172" s="383"/>
      <c r="XEY172" s="383"/>
    </row>
    <row r="173" spans="1:12 16378:16379" x14ac:dyDescent="0.3">
      <c r="A173" s="383"/>
      <c r="B173" s="383"/>
      <c r="C173" s="383"/>
      <c r="D173" s="383"/>
      <c r="E173" s="383"/>
      <c r="F173" s="383"/>
      <c r="G173" s="383"/>
      <c r="H173" s="383"/>
      <c r="I173" s="383"/>
      <c r="J173" s="383"/>
      <c r="K173" s="383"/>
      <c r="L173" s="383"/>
      <c r="XEX173" s="383"/>
      <c r="XEY173" s="383"/>
    </row>
    <row r="174" spans="1:12 16378:16379" x14ac:dyDescent="0.3">
      <c r="A174" s="383"/>
      <c r="B174" s="383"/>
      <c r="C174" s="383"/>
      <c r="D174" s="383"/>
      <c r="E174" s="383"/>
      <c r="F174" s="383"/>
      <c r="G174" s="383"/>
      <c r="H174" s="383"/>
      <c r="I174" s="383"/>
      <c r="J174" s="383"/>
      <c r="K174" s="383"/>
      <c r="L174" s="383"/>
      <c r="XEX174" s="383"/>
      <c r="XEY174" s="383"/>
    </row>
    <row r="175" spans="1:12 16378:16379" x14ac:dyDescent="0.3">
      <c r="A175" s="383"/>
      <c r="B175" s="383"/>
      <c r="C175" s="383"/>
      <c r="D175" s="383"/>
      <c r="E175" s="383"/>
      <c r="F175" s="383"/>
      <c r="G175" s="383"/>
      <c r="H175" s="383"/>
      <c r="I175" s="383"/>
      <c r="J175" s="383"/>
      <c r="K175" s="383"/>
      <c r="L175" s="383"/>
      <c r="XEX175" s="383"/>
      <c r="XEY175" s="383"/>
    </row>
    <row r="176" spans="1:12 16378:16379" x14ac:dyDescent="0.3">
      <c r="A176" s="383"/>
      <c r="B176" s="383"/>
      <c r="C176" s="383"/>
      <c r="D176" s="383"/>
      <c r="E176" s="383"/>
      <c r="F176" s="383"/>
      <c r="G176" s="383"/>
      <c r="H176" s="383"/>
      <c r="I176" s="383"/>
      <c r="J176" s="383"/>
      <c r="K176" s="383"/>
      <c r="L176" s="383"/>
      <c r="XEX176" s="383"/>
      <c r="XEY176" s="383"/>
    </row>
    <row r="177" spans="1:12 16378:16379" x14ac:dyDescent="0.3">
      <c r="A177" s="383"/>
      <c r="B177" s="383"/>
      <c r="C177" s="383"/>
      <c r="D177" s="383"/>
      <c r="E177" s="383"/>
      <c r="F177" s="383"/>
      <c r="G177" s="383"/>
      <c r="H177" s="383"/>
      <c r="I177" s="383"/>
      <c r="J177" s="383"/>
      <c r="K177" s="383"/>
      <c r="L177" s="383"/>
      <c r="XEX177" s="383"/>
      <c r="XEY177" s="383"/>
    </row>
    <row r="178" spans="1:12 16378:16379" x14ac:dyDescent="0.3">
      <c r="A178" s="383"/>
      <c r="B178" s="383"/>
      <c r="C178" s="383"/>
      <c r="D178" s="383"/>
      <c r="E178" s="383"/>
      <c r="F178" s="383"/>
      <c r="G178" s="383"/>
      <c r="H178" s="383"/>
      <c r="I178" s="383"/>
      <c r="J178" s="383"/>
      <c r="K178" s="383"/>
      <c r="L178" s="383"/>
      <c r="XEX178" s="383"/>
      <c r="XEY178" s="383"/>
    </row>
    <row r="179" spans="1:12 16378:16379" x14ac:dyDescent="0.3">
      <c r="A179" s="383"/>
      <c r="B179" s="383"/>
      <c r="C179" s="383"/>
      <c r="D179" s="383"/>
      <c r="E179" s="383"/>
      <c r="F179" s="383"/>
      <c r="G179" s="383"/>
      <c r="H179" s="383"/>
      <c r="I179" s="383"/>
      <c r="J179" s="383"/>
      <c r="K179" s="383"/>
      <c r="L179" s="383"/>
      <c r="XEX179" s="383"/>
      <c r="XEY179" s="383"/>
    </row>
    <row r="180" spans="1:12 16378:16379" x14ac:dyDescent="0.3">
      <c r="A180" s="383"/>
      <c r="B180" s="383"/>
      <c r="C180" s="383"/>
      <c r="D180" s="383"/>
      <c r="E180" s="383"/>
      <c r="F180" s="383"/>
      <c r="G180" s="383"/>
      <c r="H180" s="383"/>
      <c r="I180" s="383"/>
      <c r="J180" s="383"/>
      <c r="K180" s="383"/>
      <c r="L180" s="383"/>
      <c r="XEX180" s="383"/>
      <c r="XEY180" s="383"/>
    </row>
    <row r="181" spans="1:12 16378:16379" x14ac:dyDescent="0.3">
      <c r="A181" s="383"/>
      <c r="B181" s="383"/>
      <c r="C181" s="383"/>
      <c r="D181" s="383"/>
      <c r="E181" s="383"/>
      <c r="F181" s="383"/>
      <c r="G181" s="383"/>
      <c r="H181" s="383"/>
      <c r="I181" s="383"/>
      <c r="J181" s="383"/>
      <c r="K181" s="383"/>
      <c r="L181" s="383"/>
      <c r="XEX181" s="383"/>
      <c r="XEY181" s="383"/>
    </row>
    <row r="182" spans="1:12 16378:16379" x14ac:dyDescent="0.3">
      <c r="A182" s="383"/>
      <c r="B182" s="383"/>
      <c r="C182" s="383"/>
      <c r="D182" s="383"/>
      <c r="E182" s="383"/>
      <c r="F182" s="383"/>
      <c r="G182" s="383"/>
      <c r="H182" s="383"/>
      <c r="I182" s="383"/>
      <c r="J182" s="383"/>
      <c r="K182" s="383"/>
      <c r="L182" s="383"/>
      <c r="XEX182" s="383"/>
      <c r="XEY182" s="383"/>
    </row>
    <row r="183" spans="1:12 16378:16379" x14ac:dyDescent="0.3">
      <c r="A183" s="383"/>
      <c r="B183" s="383"/>
      <c r="C183" s="383"/>
      <c r="D183" s="383"/>
      <c r="E183" s="383"/>
      <c r="F183" s="383"/>
      <c r="G183" s="383"/>
      <c r="H183" s="383"/>
      <c r="I183" s="383"/>
      <c r="J183" s="383"/>
      <c r="K183" s="383"/>
      <c r="L183" s="383"/>
      <c r="XEX183" s="383"/>
      <c r="XEY183" s="383"/>
    </row>
    <row r="184" spans="1:12 16378:16379" x14ac:dyDescent="0.3">
      <c r="A184" s="383"/>
      <c r="B184" s="383"/>
      <c r="C184" s="383"/>
      <c r="D184" s="383"/>
      <c r="E184" s="383"/>
      <c r="F184" s="383"/>
      <c r="G184" s="383"/>
      <c r="H184" s="383"/>
      <c r="I184" s="383"/>
      <c r="J184" s="383"/>
      <c r="K184" s="383"/>
      <c r="L184" s="383"/>
      <c r="XEX184" s="383"/>
      <c r="XEY184" s="383"/>
    </row>
    <row r="185" spans="1:12 16378:16379" x14ac:dyDescent="0.3">
      <c r="A185" s="383"/>
      <c r="B185" s="383"/>
      <c r="C185" s="383"/>
      <c r="D185" s="383"/>
      <c r="E185" s="383"/>
      <c r="F185" s="383"/>
      <c r="G185" s="383"/>
      <c r="H185" s="383"/>
      <c r="I185" s="383"/>
      <c r="J185" s="383"/>
      <c r="K185" s="383"/>
      <c r="L185" s="383"/>
      <c r="XEX185" s="383"/>
      <c r="XEY185" s="383"/>
    </row>
    <row r="186" spans="1:12 16378:16379" x14ac:dyDescent="0.3">
      <c r="A186" s="383"/>
      <c r="B186" s="383"/>
      <c r="C186" s="383"/>
      <c r="D186" s="383"/>
      <c r="E186" s="383"/>
      <c r="F186" s="383"/>
      <c r="G186" s="383"/>
      <c r="H186" s="383"/>
      <c r="I186" s="383"/>
      <c r="J186" s="383"/>
      <c r="K186" s="383"/>
      <c r="L186" s="383"/>
      <c r="XEX186" s="383"/>
      <c r="XEY186" s="383"/>
    </row>
    <row r="187" spans="1:12 16378:16379" x14ac:dyDescent="0.3">
      <c r="A187" s="383"/>
      <c r="B187" s="383"/>
      <c r="C187" s="383"/>
      <c r="D187" s="383"/>
      <c r="E187" s="383"/>
      <c r="F187" s="383"/>
      <c r="G187" s="383"/>
      <c r="H187" s="383"/>
      <c r="I187" s="383"/>
      <c r="J187" s="383"/>
      <c r="K187" s="383"/>
      <c r="L187" s="383"/>
      <c r="XEX187" s="383"/>
      <c r="XEY187" s="383"/>
    </row>
    <row r="188" spans="1:12 16378:16379" x14ac:dyDescent="0.3">
      <c r="A188" s="383"/>
      <c r="B188" s="383"/>
      <c r="C188" s="383"/>
      <c r="D188" s="383"/>
      <c r="E188" s="383"/>
      <c r="F188" s="383"/>
      <c r="G188" s="383"/>
      <c r="H188" s="383"/>
      <c r="I188" s="383"/>
      <c r="J188" s="383"/>
      <c r="K188" s="383"/>
      <c r="L188" s="383"/>
      <c r="XEX188" s="383"/>
      <c r="XEY188" s="383"/>
    </row>
    <row r="189" spans="1:12 16378:16379" x14ac:dyDescent="0.3">
      <c r="A189" s="383"/>
      <c r="B189" s="383"/>
      <c r="C189" s="383"/>
      <c r="D189" s="383"/>
      <c r="E189" s="383"/>
      <c r="F189" s="383"/>
      <c r="G189" s="383"/>
      <c r="H189" s="383"/>
      <c r="I189" s="383"/>
      <c r="J189" s="383"/>
      <c r="K189" s="383"/>
      <c r="L189" s="383"/>
      <c r="XEX189" s="383"/>
      <c r="XEY189" s="383"/>
    </row>
    <row r="190" spans="1:12 16378:16379" x14ac:dyDescent="0.3">
      <c r="A190" s="383"/>
      <c r="B190" s="383"/>
      <c r="C190" s="383"/>
      <c r="D190" s="383"/>
      <c r="E190" s="383"/>
      <c r="F190" s="383"/>
      <c r="G190" s="383"/>
      <c r="H190" s="383"/>
      <c r="I190" s="383"/>
      <c r="J190" s="383"/>
      <c r="K190" s="383"/>
      <c r="L190" s="383"/>
      <c r="XEX190" s="383"/>
      <c r="XEY190" s="383"/>
    </row>
    <row r="191" spans="1:12 16378:16379" x14ac:dyDescent="0.3">
      <c r="A191" s="383"/>
      <c r="B191" s="383"/>
      <c r="C191" s="383"/>
      <c r="D191" s="383"/>
      <c r="E191" s="383"/>
      <c r="F191" s="383"/>
      <c r="G191" s="383"/>
      <c r="H191" s="383"/>
      <c r="I191" s="383"/>
      <c r="J191" s="383"/>
      <c r="K191" s="383"/>
      <c r="L191" s="383"/>
      <c r="XEX191" s="383"/>
      <c r="XEY191" s="383"/>
    </row>
    <row r="192" spans="1:12 16378:16379" x14ac:dyDescent="0.3">
      <c r="A192" s="383"/>
      <c r="B192" s="383"/>
      <c r="C192" s="383"/>
      <c r="D192" s="383"/>
      <c r="E192" s="383"/>
      <c r="F192" s="383"/>
      <c r="G192" s="383"/>
      <c r="H192" s="383"/>
      <c r="I192" s="383"/>
      <c r="J192" s="383"/>
      <c r="K192" s="383"/>
      <c r="L192" s="383"/>
      <c r="XEX192" s="383"/>
      <c r="XEY192" s="383"/>
    </row>
    <row r="193" spans="1:12 16378:16379" x14ac:dyDescent="0.3">
      <c r="A193" s="383"/>
      <c r="B193" s="383"/>
      <c r="C193" s="383"/>
      <c r="D193" s="383"/>
      <c r="E193" s="383"/>
      <c r="F193" s="383"/>
      <c r="G193" s="383"/>
      <c r="H193" s="383"/>
      <c r="I193" s="383"/>
      <c r="J193" s="383"/>
      <c r="K193" s="383"/>
      <c r="L193" s="383"/>
      <c r="XEX193" s="383"/>
      <c r="XEY193" s="383"/>
    </row>
    <row r="194" spans="1:12 16378:16379" x14ac:dyDescent="0.3">
      <c r="A194" s="383"/>
      <c r="B194" s="383"/>
      <c r="C194" s="383"/>
      <c r="D194" s="383"/>
      <c r="E194" s="383"/>
      <c r="F194" s="383"/>
      <c r="G194" s="383"/>
      <c r="H194" s="383"/>
      <c r="I194" s="383"/>
      <c r="J194" s="383"/>
      <c r="K194" s="383"/>
      <c r="L194" s="383"/>
      <c r="XEX194" s="383"/>
      <c r="XEY194" s="383"/>
    </row>
    <row r="195" spans="1:12 16378:16379" x14ac:dyDescent="0.3">
      <c r="A195" s="383"/>
      <c r="B195" s="383"/>
      <c r="C195" s="383"/>
      <c r="D195" s="383"/>
      <c r="E195" s="383"/>
      <c r="F195" s="383"/>
      <c r="G195" s="383"/>
      <c r="H195" s="383"/>
      <c r="I195" s="383"/>
      <c r="J195" s="383"/>
      <c r="K195" s="383"/>
      <c r="L195" s="383"/>
      <c r="XEX195" s="383"/>
      <c r="XEY195" s="383"/>
    </row>
    <row r="196" spans="1:12 16378:16379" x14ac:dyDescent="0.3">
      <c r="A196" s="383"/>
      <c r="B196" s="383"/>
      <c r="C196" s="383"/>
      <c r="D196" s="383"/>
      <c r="E196" s="383"/>
      <c r="F196" s="383"/>
      <c r="G196" s="383"/>
      <c r="H196" s="383"/>
      <c r="I196" s="383"/>
      <c r="J196" s="383"/>
      <c r="K196" s="383"/>
      <c r="L196" s="383"/>
      <c r="XEX196" s="383"/>
      <c r="XEY196" s="383"/>
    </row>
    <row r="197" spans="1:12 16378:16379" x14ac:dyDescent="0.3">
      <c r="A197" s="383"/>
      <c r="B197" s="383"/>
      <c r="C197" s="383"/>
      <c r="D197" s="383"/>
      <c r="E197" s="383"/>
      <c r="F197" s="383"/>
      <c r="G197" s="383"/>
      <c r="H197" s="383"/>
      <c r="I197" s="383"/>
      <c r="J197" s="383"/>
      <c r="K197" s="383"/>
      <c r="L197" s="383"/>
      <c r="XEX197" s="383"/>
      <c r="XEY197" s="383"/>
    </row>
    <row r="198" spans="1:12 16378:16379" x14ac:dyDescent="0.3">
      <c r="A198" s="383"/>
      <c r="B198" s="383"/>
      <c r="C198" s="383"/>
      <c r="D198" s="383"/>
      <c r="E198" s="383"/>
      <c r="F198" s="383"/>
      <c r="G198" s="383"/>
      <c r="H198" s="383"/>
      <c r="I198" s="383"/>
      <c r="J198" s="383"/>
      <c r="K198" s="383"/>
      <c r="L198" s="383"/>
      <c r="XEX198" s="383"/>
      <c r="XEY198" s="383"/>
    </row>
    <row r="199" spans="1:12 16378:16379" x14ac:dyDescent="0.3">
      <c r="A199" s="383"/>
      <c r="B199" s="383"/>
      <c r="C199" s="383"/>
      <c r="D199" s="383"/>
      <c r="E199" s="383"/>
      <c r="F199" s="383"/>
      <c r="G199" s="383"/>
      <c r="H199" s="383"/>
      <c r="I199" s="383"/>
      <c r="J199" s="383"/>
      <c r="K199" s="383"/>
      <c r="L199" s="383"/>
      <c r="XEX199" s="383"/>
      <c r="XEY199" s="383"/>
    </row>
    <row r="200" spans="1:12 16378:16379" x14ac:dyDescent="0.3">
      <c r="A200" s="383"/>
      <c r="B200" s="383"/>
      <c r="C200" s="383"/>
      <c r="D200" s="383"/>
      <c r="E200" s="383"/>
      <c r="F200" s="383"/>
      <c r="G200" s="383"/>
      <c r="H200" s="383"/>
      <c r="I200" s="383"/>
      <c r="J200" s="383"/>
      <c r="K200" s="383"/>
      <c r="L200" s="383"/>
      <c r="XEX200" s="383"/>
      <c r="XEY200" s="383"/>
    </row>
    <row r="201" spans="1:12 16378:16379" x14ac:dyDescent="0.3">
      <c r="A201" s="383"/>
      <c r="B201" s="383"/>
      <c r="C201" s="383"/>
      <c r="D201" s="383"/>
      <c r="E201" s="383"/>
      <c r="F201" s="383"/>
      <c r="G201" s="383"/>
      <c r="H201" s="383"/>
      <c r="I201" s="383"/>
      <c r="J201" s="383"/>
      <c r="K201" s="383"/>
      <c r="L201" s="383"/>
      <c r="XEX201" s="383"/>
      <c r="XEY201" s="383"/>
    </row>
    <row r="202" spans="1:12 16378:16379" x14ac:dyDescent="0.3">
      <c r="A202" s="383"/>
      <c r="B202" s="383"/>
      <c r="C202" s="383"/>
      <c r="D202" s="383"/>
      <c r="E202" s="383"/>
      <c r="F202" s="383"/>
      <c r="G202" s="383"/>
      <c r="H202" s="383"/>
      <c r="I202" s="383"/>
      <c r="J202" s="383"/>
      <c r="K202" s="383"/>
      <c r="L202" s="383"/>
      <c r="XEX202" s="383"/>
      <c r="XEY202" s="383"/>
    </row>
    <row r="203" spans="1:12 16378:16379" x14ac:dyDescent="0.3">
      <c r="A203" s="383"/>
      <c r="B203" s="383"/>
      <c r="C203" s="383"/>
      <c r="D203" s="383"/>
      <c r="E203" s="383"/>
      <c r="F203" s="383"/>
      <c r="G203" s="383"/>
      <c r="H203" s="383"/>
      <c r="I203" s="383"/>
      <c r="J203" s="383"/>
      <c r="K203" s="383"/>
      <c r="L203" s="383"/>
      <c r="XEX203" s="383"/>
      <c r="XEY203" s="383"/>
    </row>
    <row r="204" spans="1:12 16378:16379" x14ac:dyDescent="0.3">
      <c r="A204" s="383"/>
      <c r="B204" s="383"/>
      <c r="C204" s="383"/>
      <c r="D204" s="383"/>
      <c r="E204" s="383"/>
      <c r="F204" s="383"/>
      <c r="G204" s="383"/>
      <c r="H204" s="383"/>
      <c r="I204" s="383"/>
      <c r="J204" s="383"/>
      <c r="K204" s="383"/>
      <c r="L204" s="383"/>
      <c r="XEX204" s="383"/>
      <c r="XEY204" s="383"/>
    </row>
    <row r="205" spans="1:12 16378:16379" x14ac:dyDescent="0.3">
      <c r="A205" s="383"/>
      <c r="B205" s="383"/>
      <c r="C205" s="383"/>
      <c r="D205" s="383"/>
      <c r="E205" s="383"/>
      <c r="F205" s="383"/>
      <c r="G205" s="383"/>
      <c r="H205" s="383"/>
      <c r="I205" s="383"/>
      <c r="J205" s="383"/>
      <c r="K205" s="383"/>
      <c r="L205" s="383"/>
      <c r="XEX205" s="383"/>
      <c r="XEY205" s="383"/>
    </row>
    <row r="206" spans="1:12 16378:16379" x14ac:dyDescent="0.3">
      <c r="A206" s="383"/>
      <c r="B206" s="383"/>
      <c r="C206" s="383"/>
      <c r="D206" s="383"/>
      <c r="E206" s="383"/>
      <c r="F206" s="383"/>
      <c r="G206" s="383"/>
      <c r="H206" s="383"/>
      <c r="I206" s="383"/>
      <c r="J206" s="383"/>
      <c r="K206" s="383"/>
      <c r="L206" s="383"/>
      <c r="XEX206" s="383"/>
      <c r="XEY206" s="383"/>
    </row>
    <row r="207" spans="1:12 16378:16379" x14ac:dyDescent="0.3">
      <c r="A207" s="383"/>
      <c r="B207" s="383"/>
      <c r="C207" s="383"/>
      <c r="D207" s="383"/>
      <c r="E207" s="383"/>
      <c r="F207" s="383"/>
      <c r="G207" s="383"/>
      <c r="H207" s="383"/>
      <c r="I207" s="383"/>
      <c r="J207" s="383"/>
      <c r="K207" s="383"/>
      <c r="L207" s="383"/>
      <c r="XEX207" s="383"/>
      <c r="XEY207" s="383"/>
    </row>
    <row r="208" spans="1:12 16378:16379" x14ac:dyDescent="0.3">
      <c r="A208" s="383"/>
      <c r="B208" s="383"/>
      <c r="C208" s="383"/>
      <c r="D208" s="383"/>
      <c r="E208" s="383"/>
      <c r="F208" s="383"/>
      <c r="G208" s="383"/>
      <c r="H208" s="383"/>
      <c r="I208" s="383"/>
      <c r="J208" s="383"/>
      <c r="K208" s="383"/>
      <c r="L208" s="383"/>
      <c r="XEX208" s="383"/>
      <c r="XEY208" s="383"/>
    </row>
    <row r="209" spans="1:12 16378:16379" x14ac:dyDescent="0.3">
      <c r="A209" s="383"/>
      <c r="B209" s="383"/>
      <c r="C209" s="383"/>
      <c r="D209" s="383"/>
      <c r="E209" s="383"/>
      <c r="F209" s="383"/>
      <c r="G209" s="383"/>
      <c r="H209" s="383"/>
      <c r="I209" s="383"/>
      <c r="J209" s="383"/>
      <c r="K209" s="383"/>
      <c r="L209" s="383"/>
      <c r="XEX209" s="383"/>
      <c r="XEY209" s="383"/>
    </row>
    <row r="210" spans="1:12 16378:16379" x14ac:dyDescent="0.3">
      <c r="A210" s="383"/>
      <c r="B210" s="383"/>
      <c r="C210" s="383"/>
      <c r="D210" s="383"/>
      <c r="E210" s="383"/>
      <c r="F210" s="383"/>
      <c r="G210" s="383"/>
      <c r="H210" s="383"/>
      <c r="I210" s="383"/>
      <c r="J210" s="383"/>
      <c r="K210" s="383"/>
      <c r="L210" s="383"/>
      <c r="XEX210" s="383"/>
      <c r="XEY210" s="383"/>
    </row>
    <row r="211" spans="1:12 16378:16379" x14ac:dyDescent="0.3">
      <c r="A211" s="383"/>
      <c r="B211" s="383"/>
      <c r="C211" s="383"/>
      <c r="D211" s="383"/>
      <c r="E211" s="383"/>
      <c r="F211" s="383"/>
      <c r="G211" s="383"/>
      <c r="H211" s="383"/>
      <c r="I211" s="383"/>
      <c r="J211" s="383"/>
      <c r="K211" s="383"/>
      <c r="L211" s="383"/>
      <c r="XEX211" s="383"/>
      <c r="XEY211" s="383"/>
    </row>
    <row r="212" spans="1:12 16378:16379" x14ac:dyDescent="0.3">
      <c r="A212" s="383"/>
      <c r="B212" s="383"/>
      <c r="C212" s="383"/>
      <c r="D212" s="383"/>
      <c r="E212" s="383"/>
      <c r="F212" s="383"/>
      <c r="G212" s="383"/>
      <c r="H212" s="383"/>
      <c r="I212" s="383"/>
      <c r="J212" s="383"/>
      <c r="K212" s="383"/>
      <c r="L212" s="383"/>
      <c r="XEX212" s="383"/>
      <c r="XEY212" s="383"/>
    </row>
    <row r="213" spans="1:12 16378:16379" x14ac:dyDescent="0.3">
      <c r="A213" s="383"/>
      <c r="B213" s="383"/>
      <c r="C213" s="383"/>
      <c r="D213" s="383"/>
      <c r="E213" s="383"/>
      <c r="F213" s="383"/>
      <c r="G213" s="383"/>
      <c r="H213" s="383"/>
      <c r="I213" s="383"/>
      <c r="J213" s="383"/>
      <c r="K213" s="383"/>
      <c r="L213" s="383"/>
      <c r="XEX213" s="383"/>
      <c r="XEY213" s="383"/>
    </row>
    <row r="214" spans="1:12 16378:16379" x14ac:dyDescent="0.3">
      <c r="A214" s="383"/>
      <c r="B214" s="383"/>
      <c r="C214" s="383"/>
      <c r="D214" s="383"/>
      <c r="E214" s="383"/>
      <c r="F214" s="383"/>
      <c r="G214" s="383"/>
      <c r="H214" s="383"/>
      <c r="I214" s="383"/>
      <c r="J214" s="383"/>
      <c r="K214" s="383"/>
      <c r="L214" s="383"/>
      <c r="XEX214" s="383"/>
      <c r="XEY214" s="383"/>
    </row>
    <row r="215" spans="1:12 16378:16379" x14ac:dyDescent="0.3">
      <c r="XEX215" s="383"/>
      <c r="XEY215" s="383"/>
    </row>
    <row r="216" spans="1:12 16378:16379" x14ac:dyDescent="0.3">
      <c r="XEX216" s="383"/>
      <c r="XEY216" s="383"/>
    </row>
    <row r="217" spans="1:12 16378:16379" x14ac:dyDescent="0.3">
      <c r="XEX217" s="383"/>
      <c r="XEY217" s="383"/>
    </row>
  </sheetData>
  <protectedRanges>
    <protectedRange sqref="B6:B7 B86:B88" name="Bereich1"/>
  </protectedRanges>
  <mergeCells count="2">
    <mergeCell ref="A103:F103"/>
    <mergeCell ref="A162:E162"/>
  </mergeCells>
  <phoneticPr fontId="122" type="noConversion"/>
  <conditionalFormatting sqref="B90">
    <cfRule type="cellIs" dxfId="3" priority="1" operator="equal">
      <formula>180</formula>
    </cfRule>
    <cfRule type="cellIs" dxfId="2" priority="2" operator="equal">
      <formula>360</formula>
    </cfRule>
  </conditionalFormatting>
  <pageMargins left="0.7" right="0.7" top="0.78740157499999996" bottom="0.78740157499999996" header="0.3" footer="0.3"/>
  <pageSetup paperSize="9" orientation="portrait" horizontalDpi="4294967293" verticalDpi="4294967293" r:id="rId1"/>
  <drawing r:id="rId2"/>
  <legacyDrawing r:id="rId3"/>
  <controls>
    <mc:AlternateContent xmlns:mc="http://schemas.openxmlformats.org/markup-compatibility/2006">
      <mc:Choice Requires="x14">
        <control shapeId="32786" r:id="rId4" name="OptionButton_Index">
          <controlPr defaultSize="0" autoLine="0" r:id="rId5">
            <anchor moveWithCells="1">
              <from>
                <xdr:col>0</xdr:col>
                <xdr:colOff>622300</xdr:colOff>
                <xdr:row>2</xdr:row>
                <xdr:rowOff>88900</xdr:rowOff>
              </from>
              <to>
                <xdr:col>0</xdr:col>
                <xdr:colOff>1828800</xdr:colOff>
                <xdr:row>3</xdr:row>
                <xdr:rowOff>152400</xdr:rowOff>
              </to>
            </anchor>
          </controlPr>
        </control>
      </mc:Choice>
      <mc:Fallback>
        <control shapeId="32786" r:id="rId4" name="OptionButton_Index"/>
      </mc:Fallback>
    </mc:AlternateContent>
    <mc:AlternateContent xmlns:mc="http://schemas.openxmlformats.org/markup-compatibility/2006">
      <mc:Choice Requires="x14">
        <control shapeId="32785" r:id="rId6" name="OptionButton_ExtSAS">
          <controlPr defaultSize="0" autoLine="0" r:id="rId7">
            <anchor moveWithCells="1">
              <from>
                <xdr:col>0</xdr:col>
                <xdr:colOff>622300</xdr:colOff>
                <xdr:row>1</xdr:row>
                <xdr:rowOff>12700</xdr:rowOff>
              </from>
              <to>
                <xdr:col>0</xdr:col>
                <xdr:colOff>1828800</xdr:colOff>
                <xdr:row>2</xdr:row>
                <xdr:rowOff>76200</xdr:rowOff>
              </to>
            </anchor>
          </controlPr>
        </control>
      </mc:Choice>
      <mc:Fallback>
        <control shapeId="32785" r:id="rId6" name="OptionButton_ExtSAS"/>
      </mc:Fallback>
    </mc:AlternateContent>
    <mc:AlternateContent xmlns:mc="http://schemas.openxmlformats.org/markup-compatibility/2006">
      <mc:Choice Requires="x14">
        <control shapeId="32829" r:id="rId8" name="generate_RP_kon">
          <controlPr defaultSize="0" autoLine="0" r:id="rId9">
            <anchor moveWithCells="1">
              <from>
                <xdr:col>0</xdr:col>
                <xdr:colOff>5486400</xdr:colOff>
                <xdr:row>1</xdr:row>
                <xdr:rowOff>95250</xdr:rowOff>
              </from>
              <to>
                <xdr:col>0</xdr:col>
                <xdr:colOff>7239000</xdr:colOff>
                <xdr:row>3</xdr:row>
                <xdr:rowOff>38100</xdr:rowOff>
              </to>
            </anchor>
          </controlPr>
        </control>
      </mc:Choice>
      <mc:Fallback>
        <control shapeId="32829" r:id="rId8" name="generate_RP_k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92D050"/>
  </sheetPr>
  <dimension ref="A1:O227"/>
  <sheetViews>
    <sheetView zoomScale="85" zoomScaleNormal="85" workbookViewId="0">
      <pane xSplit="11" ySplit="1" topLeftCell="L2" activePane="bottomRight" state="frozen"/>
      <selection pane="topRight" activeCell="L1" sqref="L1"/>
      <selection pane="bottomLeft" activeCell="A2" sqref="A2"/>
      <selection pane="bottomRight" activeCell="D24" sqref="D24"/>
    </sheetView>
  </sheetViews>
  <sheetFormatPr defaultColWidth="11.453125" defaultRowHeight="12.5" x14ac:dyDescent="0.25"/>
  <cols>
    <col min="1" max="1" width="6.54296875" customWidth="1"/>
    <col min="2" max="2" width="8.453125" customWidth="1"/>
    <col min="3" max="3" width="28.26953125" bestFit="1" customWidth="1"/>
    <col min="4" max="4" width="97.1796875" customWidth="1"/>
    <col min="5" max="5" width="10.7265625" bestFit="1" customWidth="1"/>
    <col min="6" max="6" width="6.7265625" bestFit="1" customWidth="1"/>
    <col min="9" max="9" width="5.81640625" bestFit="1" customWidth="1"/>
    <col min="11" max="11" width="5.81640625" bestFit="1" customWidth="1"/>
  </cols>
  <sheetData>
    <row r="1" spans="1:15" s="118" customFormat="1" ht="27" customHeight="1" x14ac:dyDescent="0.25">
      <c r="A1" s="611" t="s">
        <v>492</v>
      </c>
      <c r="B1" s="611"/>
      <c r="C1" s="611"/>
      <c r="D1" s="611"/>
      <c r="E1" s="611"/>
      <c r="F1" s="611"/>
      <c r="G1" s="611"/>
      <c r="H1" s="611"/>
      <c r="J1" s="610" t="s">
        <v>491</v>
      </c>
      <c r="K1" s="610"/>
    </row>
    <row r="2" spans="1:15" s="118" customFormat="1" ht="18.75" customHeight="1" x14ac:dyDescent="0.25">
      <c r="A2" s="123" t="s">
        <v>487</v>
      </c>
      <c r="B2" s="123"/>
      <c r="C2" s="123"/>
      <c r="J2" s="146"/>
      <c r="K2" s="146"/>
      <c r="L2" s="429"/>
      <c r="M2" s="429"/>
      <c r="N2" s="429"/>
      <c r="O2" s="429"/>
    </row>
    <row r="3" spans="1:15" s="3" customFormat="1" ht="14.5" x14ac:dyDescent="0.35">
      <c r="L3" s="430"/>
      <c r="M3" s="430"/>
      <c r="N3" s="430"/>
      <c r="O3" s="430"/>
    </row>
    <row r="4" spans="1:15" s="3" customFormat="1" ht="29" x14ac:dyDescent="0.35">
      <c r="A4" s="4" t="s">
        <v>29</v>
      </c>
      <c r="B4" s="4" t="s">
        <v>30</v>
      </c>
      <c r="C4" s="4" t="s">
        <v>31</v>
      </c>
      <c r="D4" s="4" t="s">
        <v>32</v>
      </c>
      <c r="E4" s="5" t="s">
        <v>33</v>
      </c>
      <c r="F4" s="4" t="s">
        <v>30</v>
      </c>
      <c r="J4" s="138" t="s">
        <v>490</v>
      </c>
      <c r="K4" s="139" t="s">
        <v>30</v>
      </c>
      <c r="L4" s="430"/>
      <c r="M4" s="430"/>
      <c r="N4" s="430"/>
      <c r="O4" s="430"/>
    </row>
    <row r="5" spans="1:15" s="3" customFormat="1" ht="14.5" x14ac:dyDescent="0.35">
      <c r="A5" s="6">
        <v>0</v>
      </c>
      <c r="B5" s="6">
        <f t="shared" ref="B5:B20" si="0">2^A5</f>
        <v>1</v>
      </c>
      <c r="C5" s="6" t="s">
        <v>62</v>
      </c>
      <c r="D5" s="7" t="s">
        <v>63</v>
      </c>
      <c r="E5" s="386">
        <v>0</v>
      </c>
      <c r="F5" s="8">
        <f t="shared" ref="F5:F20" si="1">B5*E5</f>
        <v>0</v>
      </c>
      <c r="J5" s="140">
        <v>0</v>
      </c>
      <c r="K5" s="141">
        <f t="shared" ref="K5:K20" si="2">B5*J5</f>
        <v>0</v>
      </c>
      <c r="L5" s="430"/>
      <c r="M5" s="430"/>
      <c r="N5" s="430"/>
      <c r="O5" s="430"/>
    </row>
    <row r="6" spans="1:15" s="3" customFormat="1" ht="14.5" x14ac:dyDescent="0.35">
      <c r="A6" s="6">
        <v>1</v>
      </c>
      <c r="B6" s="6">
        <f t="shared" si="0"/>
        <v>2</v>
      </c>
      <c r="C6" s="6" t="s">
        <v>64</v>
      </c>
      <c r="D6" s="3" t="s">
        <v>65</v>
      </c>
      <c r="E6" s="385">
        <f>IF(MechanicalData!C12=TRUE,1,0)</f>
        <v>0</v>
      </c>
      <c r="F6" s="8">
        <f t="shared" si="1"/>
        <v>0</v>
      </c>
      <c r="J6" s="140">
        <v>0</v>
      </c>
      <c r="K6" s="141">
        <f t="shared" si="2"/>
        <v>0</v>
      </c>
      <c r="L6" s="430"/>
      <c r="M6" s="430"/>
      <c r="N6" s="430"/>
      <c r="O6" s="430"/>
    </row>
    <row r="7" spans="1:15" s="3" customFormat="1" ht="14.5" x14ac:dyDescent="0.35">
      <c r="A7" s="6">
        <v>2</v>
      </c>
      <c r="B7" s="6">
        <f t="shared" si="0"/>
        <v>4</v>
      </c>
      <c r="C7" s="6" t="s">
        <v>66</v>
      </c>
      <c r="D7" s="3" t="s">
        <v>67</v>
      </c>
      <c r="E7" s="386">
        <v>0</v>
      </c>
      <c r="F7" s="8">
        <f t="shared" si="1"/>
        <v>0</v>
      </c>
      <c r="J7" s="140">
        <v>0</v>
      </c>
      <c r="K7" s="141">
        <f t="shared" si="2"/>
        <v>0</v>
      </c>
      <c r="L7" s="430"/>
      <c r="M7" s="430"/>
      <c r="N7" s="430"/>
      <c r="O7" s="430"/>
    </row>
    <row r="8" spans="1:15" s="3" customFormat="1" ht="14.5" x14ac:dyDescent="0.35">
      <c r="A8" s="6">
        <v>3</v>
      </c>
      <c r="B8" s="6">
        <f t="shared" si="0"/>
        <v>8</v>
      </c>
      <c r="C8" s="6" t="s">
        <v>68</v>
      </c>
      <c r="D8" s="3" t="s">
        <v>69</v>
      </c>
      <c r="E8" s="386">
        <v>0</v>
      </c>
      <c r="F8" s="8">
        <f t="shared" si="1"/>
        <v>0</v>
      </c>
      <c r="J8" s="140">
        <v>0</v>
      </c>
      <c r="K8" s="141">
        <f t="shared" si="2"/>
        <v>0</v>
      </c>
      <c r="L8" s="519">
        <v>1</v>
      </c>
      <c r="M8" s="430"/>
      <c r="N8" s="430"/>
      <c r="O8" s="430"/>
    </row>
    <row r="9" spans="1:15" s="3" customFormat="1" ht="14.5" x14ac:dyDescent="0.35">
      <c r="A9" s="6">
        <v>4</v>
      </c>
      <c r="B9" s="6">
        <f t="shared" si="0"/>
        <v>16</v>
      </c>
      <c r="C9" s="6"/>
      <c r="E9" s="387">
        <v>0</v>
      </c>
      <c r="F9" s="8">
        <f t="shared" si="1"/>
        <v>0</v>
      </c>
      <c r="J9" s="140">
        <v>0</v>
      </c>
      <c r="K9" s="141">
        <f t="shared" si="2"/>
        <v>0</v>
      </c>
      <c r="L9" s="430"/>
      <c r="M9" s="430"/>
      <c r="N9" s="430"/>
      <c r="O9" s="430"/>
    </row>
    <row r="10" spans="1:15" s="3" customFormat="1" ht="14.5" x14ac:dyDescent="0.35">
      <c r="A10" s="6">
        <v>5</v>
      </c>
      <c r="B10" s="6">
        <f t="shared" si="0"/>
        <v>32</v>
      </c>
      <c r="C10" s="6"/>
      <c r="E10" s="387">
        <v>0</v>
      </c>
      <c r="F10" s="8">
        <f t="shared" si="1"/>
        <v>0</v>
      </c>
      <c r="J10" s="140">
        <v>0</v>
      </c>
      <c r="K10" s="141">
        <f t="shared" si="2"/>
        <v>0</v>
      </c>
      <c r="L10" s="430"/>
      <c r="M10" s="430"/>
      <c r="N10" s="430"/>
      <c r="O10" s="430"/>
    </row>
    <row r="11" spans="1:15" s="3" customFormat="1" ht="14.5" x14ac:dyDescent="0.35">
      <c r="A11" s="6">
        <v>6</v>
      </c>
      <c r="B11" s="6">
        <f t="shared" si="0"/>
        <v>64</v>
      </c>
      <c r="C11" s="6"/>
      <c r="E11" s="387">
        <v>0</v>
      </c>
      <c r="F11" s="8">
        <f t="shared" si="1"/>
        <v>0</v>
      </c>
      <c r="J11" s="140">
        <v>0</v>
      </c>
      <c r="K11" s="141">
        <f t="shared" si="2"/>
        <v>0</v>
      </c>
      <c r="L11" s="430"/>
      <c r="M11" s="430"/>
      <c r="N11" s="430"/>
      <c r="O11" s="430"/>
    </row>
    <row r="12" spans="1:15" s="3" customFormat="1" ht="14.5" x14ac:dyDescent="0.35">
      <c r="A12" s="6">
        <v>7</v>
      </c>
      <c r="B12" s="6">
        <f t="shared" si="0"/>
        <v>128</v>
      </c>
      <c r="C12" s="6"/>
      <c r="E12" s="387">
        <v>0</v>
      </c>
      <c r="F12" s="8">
        <f t="shared" si="1"/>
        <v>0</v>
      </c>
      <c r="J12" s="140">
        <v>0</v>
      </c>
      <c r="K12" s="141">
        <f t="shared" si="2"/>
        <v>0</v>
      </c>
      <c r="L12" s="430"/>
      <c r="M12" s="430"/>
      <c r="N12" s="430"/>
      <c r="O12" s="430"/>
    </row>
    <row r="13" spans="1:15" s="3" customFormat="1" ht="14.5" x14ac:dyDescent="0.35">
      <c r="A13" s="6">
        <v>8</v>
      </c>
      <c r="B13" s="6">
        <f t="shared" si="0"/>
        <v>256</v>
      </c>
      <c r="C13" s="6"/>
      <c r="E13" s="387">
        <v>0</v>
      </c>
      <c r="F13" s="8">
        <f t="shared" si="1"/>
        <v>0</v>
      </c>
      <c r="J13" s="140">
        <v>0</v>
      </c>
      <c r="K13" s="141">
        <f t="shared" si="2"/>
        <v>0</v>
      </c>
      <c r="L13" s="430"/>
      <c r="M13" s="430"/>
      <c r="N13" s="430"/>
      <c r="O13" s="430"/>
    </row>
    <row r="14" spans="1:15" s="3" customFormat="1" ht="14.5" x14ac:dyDescent="0.35">
      <c r="A14" s="6">
        <v>9</v>
      </c>
      <c r="B14" s="6">
        <f t="shared" si="0"/>
        <v>512</v>
      </c>
      <c r="C14" s="6"/>
      <c r="E14" s="387">
        <v>0</v>
      </c>
      <c r="F14" s="8">
        <f t="shared" si="1"/>
        <v>0</v>
      </c>
      <c r="J14" s="140">
        <v>0</v>
      </c>
      <c r="K14" s="141">
        <f t="shared" si="2"/>
        <v>0</v>
      </c>
      <c r="L14" s="430"/>
      <c r="M14" s="430"/>
      <c r="N14" s="430"/>
      <c r="O14" s="430"/>
    </row>
    <row r="15" spans="1:15" s="3" customFormat="1" ht="14.5" x14ac:dyDescent="0.35">
      <c r="A15" s="6">
        <v>10</v>
      </c>
      <c r="B15" s="6">
        <f t="shared" si="0"/>
        <v>1024</v>
      </c>
      <c r="C15" s="6"/>
      <c r="E15" s="387">
        <v>0</v>
      </c>
      <c r="F15" s="8">
        <f t="shared" si="1"/>
        <v>0</v>
      </c>
      <c r="J15" s="140">
        <v>0</v>
      </c>
      <c r="K15" s="141">
        <f t="shared" si="2"/>
        <v>0</v>
      </c>
      <c r="L15" s="430"/>
      <c r="M15" s="430"/>
      <c r="N15" s="430"/>
      <c r="O15" s="430"/>
    </row>
    <row r="16" spans="1:15" s="3" customFormat="1" ht="14.5" x14ac:dyDescent="0.35">
      <c r="A16" s="6">
        <v>11</v>
      </c>
      <c r="B16" s="6">
        <f t="shared" si="0"/>
        <v>2048</v>
      </c>
      <c r="C16" s="6"/>
      <c r="E16" s="387">
        <v>0</v>
      </c>
      <c r="F16" s="8">
        <f t="shared" si="1"/>
        <v>0</v>
      </c>
      <c r="J16" s="140">
        <v>0</v>
      </c>
      <c r="K16" s="141">
        <f t="shared" si="2"/>
        <v>0</v>
      </c>
      <c r="L16" s="430"/>
      <c r="M16" s="430"/>
      <c r="N16" s="430"/>
      <c r="O16" s="430"/>
    </row>
    <row r="17" spans="1:15" s="3" customFormat="1" ht="14.5" x14ac:dyDescent="0.35">
      <c r="A17" s="6">
        <v>12</v>
      </c>
      <c r="B17" s="6">
        <f t="shared" si="0"/>
        <v>4096</v>
      </c>
      <c r="C17" s="6"/>
      <c r="E17" s="387">
        <v>0</v>
      </c>
      <c r="F17" s="8">
        <f t="shared" si="1"/>
        <v>0</v>
      </c>
      <c r="J17" s="140">
        <v>0</v>
      </c>
      <c r="K17" s="141">
        <f t="shared" si="2"/>
        <v>0</v>
      </c>
      <c r="L17" s="430"/>
      <c r="M17" s="430"/>
      <c r="N17" s="430"/>
      <c r="O17" s="430"/>
    </row>
    <row r="18" spans="1:15" s="3" customFormat="1" ht="14.5" x14ac:dyDescent="0.35">
      <c r="A18" s="6">
        <v>13</v>
      </c>
      <c r="B18" s="6">
        <f t="shared" si="0"/>
        <v>8192</v>
      </c>
      <c r="C18" s="6"/>
      <c r="E18" s="387">
        <v>0</v>
      </c>
      <c r="F18" s="8">
        <f t="shared" si="1"/>
        <v>0</v>
      </c>
      <c r="J18" s="140">
        <v>0</v>
      </c>
      <c r="K18" s="141">
        <f t="shared" si="2"/>
        <v>0</v>
      </c>
      <c r="L18" s="430"/>
      <c r="M18" s="430"/>
      <c r="N18" s="430"/>
      <c r="O18" s="430"/>
    </row>
    <row r="19" spans="1:15" s="3" customFormat="1" ht="14.5" x14ac:dyDescent="0.35">
      <c r="A19" s="6">
        <v>14</v>
      </c>
      <c r="B19" s="6">
        <f t="shared" si="0"/>
        <v>16384</v>
      </c>
      <c r="C19" s="6"/>
      <c r="E19" s="387">
        <v>0</v>
      </c>
      <c r="F19" s="8">
        <f t="shared" si="1"/>
        <v>0</v>
      </c>
      <c r="J19" s="140">
        <v>0</v>
      </c>
      <c r="K19" s="141">
        <f t="shared" si="2"/>
        <v>0</v>
      </c>
      <c r="L19" s="430"/>
      <c r="M19" s="430"/>
      <c r="N19" s="430"/>
      <c r="O19" s="430"/>
    </row>
    <row r="20" spans="1:15" s="3" customFormat="1" ht="15" thickBot="1" x14ac:dyDescent="0.4">
      <c r="A20" s="9">
        <v>15</v>
      </c>
      <c r="B20" s="9">
        <f t="shared" si="0"/>
        <v>32768</v>
      </c>
      <c r="C20" s="136" t="s">
        <v>56</v>
      </c>
      <c r="D20" s="137" t="s">
        <v>57</v>
      </c>
      <c r="E20" s="388">
        <v>0</v>
      </c>
      <c r="F20" s="8">
        <f t="shared" si="1"/>
        <v>0</v>
      </c>
      <c r="J20" s="142">
        <v>0</v>
      </c>
      <c r="K20" s="141">
        <f t="shared" si="2"/>
        <v>0</v>
      </c>
      <c r="L20" s="430"/>
      <c r="M20" s="430"/>
      <c r="N20" s="430"/>
      <c r="O20" s="430"/>
    </row>
    <row r="21" spans="1:15" s="3" customFormat="1" ht="14.5" x14ac:dyDescent="0.35">
      <c r="D21" s="11" t="s">
        <v>70</v>
      </c>
      <c r="E21" s="12">
        <f>SUM(F5:F20)</f>
        <v>0</v>
      </c>
      <c r="J21" s="143">
        <f>SUM(K5:K20)</f>
        <v>0</v>
      </c>
      <c r="K21" s="144"/>
      <c r="L21" s="430"/>
      <c r="M21" s="430"/>
      <c r="N21" s="430"/>
      <c r="O21" s="430"/>
    </row>
    <row r="22" spans="1:15" s="3" customFormat="1" ht="14.5" x14ac:dyDescent="0.35">
      <c r="L22" s="430"/>
      <c r="M22" s="430"/>
      <c r="N22" s="430"/>
      <c r="O22" s="430"/>
    </row>
    <row r="23" spans="1:15" s="3" customFormat="1" ht="14.5" x14ac:dyDescent="0.35">
      <c r="L23" s="430"/>
      <c r="M23" s="430"/>
      <c r="N23" s="430"/>
      <c r="O23" s="430"/>
    </row>
    <row r="24" spans="1:15" s="3" customFormat="1" ht="43.5" x14ac:dyDescent="0.35">
      <c r="A24" s="4" t="s">
        <v>29</v>
      </c>
      <c r="B24" s="4" t="s">
        <v>30</v>
      </c>
      <c r="C24" s="4" t="s">
        <v>31</v>
      </c>
      <c r="D24" s="4" t="s">
        <v>32</v>
      </c>
      <c r="E24" s="5" t="s">
        <v>58</v>
      </c>
      <c r="F24" s="4" t="s">
        <v>30</v>
      </c>
      <c r="G24" s="5" t="s">
        <v>59</v>
      </c>
      <c r="H24" s="4" t="s">
        <v>30</v>
      </c>
      <c r="J24" s="138" t="s">
        <v>490</v>
      </c>
      <c r="K24" s="139" t="s">
        <v>30</v>
      </c>
      <c r="L24" s="430"/>
      <c r="M24" s="430"/>
      <c r="N24" s="430"/>
      <c r="O24" s="430"/>
    </row>
    <row r="25" spans="1:15" s="3" customFormat="1" ht="14.5" x14ac:dyDescent="0.35">
      <c r="A25" s="6">
        <v>0</v>
      </c>
      <c r="B25" s="6">
        <f t="shared" ref="B25:B40" si="3">2^A25</f>
        <v>1</v>
      </c>
      <c r="C25" s="147" t="s">
        <v>71</v>
      </c>
      <c r="D25" s="148" t="s">
        <v>72</v>
      </c>
      <c r="E25" s="386">
        <v>0</v>
      </c>
      <c r="F25" s="8">
        <f t="shared" ref="F25:F40" si="4">B25*E25</f>
        <v>0</v>
      </c>
      <c r="G25" s="454">
        <v>0</v>
      </c>
      <c r="H25" s="8">
        <f t="shared" ref="H25:H40" si="5">B25*G25</f>
        <v>0</v>
      </c>
      <c r="J25" s="140">
        <v>0</v>
      </c>
      <c r="K25" s="141">
        <f t="shared" ref="K25:K32" si="6">B25*J25</f>
        <v>0</v>
      </c>
      <c r="L25" s="430"/>
      <c r="M25" s="430"/>
      <c r="N25" s="430"/>
      <c r="O25" s="430"/>
    </row>
    <row r="26" spans="1:15" s="3" customFormat="1" ht="14.5" x14ac:dyDescent="0.35">
      <c r="A26" s="6">
        <v>1</v>
      </c>
      <c r="B26" s="6">
        <f t="shared" si="3"/>
        <v>2</v>
      </c>
      <c r="C26" s="6" t="s">
        <v>73</v>
      </c>
      <c r="D26" s="7" t="s">
        <v>74</v>
      </c>
      <c r="E26" s="389">
        <v>1</v>
      </c>
      <c r="F26" s="8">
        <f t="shared" si="4"/>
        <v>2</v>
      </c>
      <c r="G26" s="454">
        <v>0</v>
      </c>
      <c r="H26" s="8">
        <f t="shared" si="5"/>
        <v>0</v>
      </c>
      <c r="J26" s="140">
        <v>0</v>
      </c>
      <c r="K26" s="141">
        <f t="shared" si="6"/>
        <v>0</v>
      </c>
      <c r="L26" s="430"/>
      <c r="M26" s="430"/>
      <c r="N26" s="430"/>
      <c r="O26" s="430"/>
    </row>
    <row r="27" spans="1:15" s="3" customFormat="1" ht="14.5" x14ac:dyDescent="0.35">
      <c r="A27" s="6">
        <v>2</v>
      </c>
      <c r="B27" s="6">
        <f t="shared" si="3"/>
        <v>4</v>
      </c>
      <c r="C27" s="6" t="s">
        <v>75</v>
      </c>
      <c r="D27" s="3" t="s">
        <v>76</v>
      </c>
      <c r="E27" s="389">
        <v>1</v>
      </c>
      <c r="F27" s="8">
        <f t="shared" si="4"/>
        <v>4</v>
      </c>
      <c r="G27" s="454">
        <v>0</v>
      </c>
      <c r="H27" s="8">
        <f t="shared" si="5"/>
        <v>0</v>
      </c>
      <c r="J27" s="140">
        <v>0</v>
      </c>
      <c r="K27" s="141">
        <f t="shared" si="6"/>
        <v>0</v>
      </c>
      <c r="L27" s="430"/>
      <c r="M27" s="430"/>
      <c r="N27" s="430"/>
      <c r="O27" s="430"/>
    </row>
    <row r="28" spans="1:15" s="3" customFormat="1" ht="14.5" x14ac:dyDescent="0.35">
      <c r="A28" s="6">
        <v>3</v>
      </c>
      <c r="B28" s="6">
        <f t="shared" si="3"/>
        <v>8</v>
      </c>
      <c r="C28" s="6" t="s">
        <v>77</v>
      </c>
      <c r="D28" s="3" t="s">
        <v>78</v>
      </c>
      <c r="E28" s="389">
        <v>1</v>
      </c>
      <c r="F28" s="8">
        <f t="shared" si="4"/>
        <v>8</v>
      </c>
      <c r="G28" s="454">
        <v>0</v>
      </c>
      <c r="H28" s="8">
        <f t="shared" si="5"/>
        <v>0</v>
      </c>
      <c r="J28" s="140">
        <v>0</v>
      </c>
      <c r="K28" s="141">
        <f t="shared" si="6"/>
        <v>0</v>
      </c>
      <c r="L28" s="430"/>
      <c r="M28" s="430"/>
      <c r="N28" s="430"/>
      <c r="O28" s="430"/>
    </row>
    <row r="29" spans="1:15" s="3" customFormat="1" ht="14.5" x14ac:dyDescent="0.35">
      <c r="A29" s="6">
        <v>4</v>
      </c>
      <c r="B29" s="6">
        <f t="shared" si="3"/>
        <v>16</v>
      </c>
      <c r="C29" s="6" t="s">
        <v>79</v>
      </c>
      <c r="D29" s="3" t="s">
        <v>80</v>
      </c>
      <c r="E29" s="389">
        <v>1</v>
      </c>
      <c r="F29" s="8">
        <f t="shared" si="4"/>
        <v>16</v>
      </c>
      <c r="G29" s="454">
        <v>0</v>
      </c>
      <c r="H29" s="8">
        <f t="shared" si="5"/>
        <v>0</v>
      </c>
      <c r="J29" s="140">
        <v>0</v>
      </c>
      <c r="K29" s="141">
        <f t="shared" si="6"/>
        <v>0</v>
      </c>
      <c r="L29" s="430"/>
      <c r="M29" s="430"/>
      <c r="N29" s="430"/>
      <c r="O29" s="430"/>
    </row>
    <row r="30" spans="1:15" s="3" customFormat="1" ht="14.5" x14ac:dyDescent="0.35">
      <c r="A30" s="6">
        <v>5</v>
      </c>
      <c r="B30" s="6">
        <f t="shared" si="3"/>
        <v>32</v>
      </c>
      <c r="C30" s="6" t="s">
        <v>81</v>
      </c>
      <c r="D30" s="3" t="s">
        <v>82</v>
      </c>
      <c r="E30" s="389">
        <v>0</v>
      </c>
      <c r="F30" s="8">
        <f t="shared" si="4"/>
        <v>0</v>
      </c>
      <c r="G30" s="454">
        <v>0</v>
      </c>
      <c r="H30" s="8">
        <f t="shared" si="5"/>
        <v>0</v>
      </c>
      <c r="J30" s="140">
        <v>0</v>
      </c>
      <c r="K30" s="141">
        <f t="shared" si="6"/>
        <v>0</v>
      </c>
      <c r="L30" s="430"/>
      <c r="M30" s="430"/>
      <c r="N30" s="430"/>
      <c r="O30" s="430"/>
    </row>
    <row r="31" spans="1:15" s="3" customFormat="1" ht="14.5" x14ac:dyDescent="0.35">
      <c r="A31" s="6">
        <v>6</v>
      </c>
      <c r="B31" s="6">
        <f t="shared" si="3"/>
        <v>64</v>
      </c>
      <c r="C31" s="147" t="s">
        <v>83</v>
      </c>
      <c r="D31" s="149" t="s">
        <v>84</v>
      </c>
      <c r="E31" s="386">
        <v>0</v>
      </c>
      <c r="F31" s="8">
        <f t="shared" si="4"/>
        <v>0</v>
      </c>
      <c r="G31" s="454">
        <v>0</v>
      </c>
      <c r="H31" s="8">
        <f t="shared" si="5"/>
        <v>0</v>
      </c>
      <c r="J31" s="140">
        <v>0</v>
      </c>
      <c r="K31" s="141">
        <f t="shared" si="6"/>
        <v>0</v>
      </c>
      <c r="L31" s="430"/>
      <c r="M31" s="430"/>
      <c r="N31" s="430"/>
      <c r="O31" s="430"/>
    </row>
    <row r="32" spans="1:15" s="3" customFormat="1" ht="14.5" x14ac:dyDescent="0.35">
      <c r="A32" s="6">
        <v>7</v>
      </c>
      <c r="B32" s="6">
        <f t="shared" si="3"/>
        <v>128</v>
      </c>
      <c r="C32" s="22" t="s">
        <v>494</v>
      </c>
      <c r="D32" s="3" t="s">
        <v>495</v>
      </c>
      <c r="E32" s="389">
        <v>0</v>
      </c>
      <c r="F32" s="8">
        <f t="shared" si="4"/>
        <v>0</v>
      </c>
      <c r="G32" s="454">
        <v>0</v>
      </c>
      <c r="H32" s="8">
        <f t="shared" si="5"/>
        <v>0</v>
      </c>
      <c r="J32" s="140">
        <v>0</v>
      </c>
      <c r="K32" s="141">
        <f t="shared" si="6"/>
        <v>0</v>
      </c>
      <c r="L32" s="430"/>
      <c r="M32" s="430"/>
      <c r="N32" s="430"/>
      <c r="O32" s="430"/>
    </row>
    <row r="33" spans="1:15" s="3" customFormat="1" ht="14.5" x14ac:dyDescent="0.35">
      <c r="A33" s="6">
        <v>8</v>
      </c>
      <c r="B33" s="6">
        <f t="shared" si="3"/>
        <v>256</v>
      </c>
      <c r="C33" s="22" t="s">
        <v>493</v>
      </c>
      <c r="D33" s="3" t="s">
        <v>496</v>
      </c>
      <c r="E33" s="389">
        <v>0</v>
      </c>
      <c r="F33" s="8">
        <f t="shared" si="4"/>
        <v>0</v>
      </c>
      <c r="G33" s="454">
        <v>0</v>
      </c>
      <c r="H33" s="8">
        <f t="shared" si="5"/>
        <v>0</v>
      </c>
      <c r="J33" s="140">
        <v>0</v>
      </c>
      <c r="K33" s="141">
        <f t="shared" ref="K33:K39" si="7">B33*J33</f>
        <v>0</v>
      </c>
      <c r="L33" s="430"/>
      <c r="M33" s="430"/>
      <c r="N33" s="430"/>
      <c r="O33" s="430"/>
    </row>
    <row r="34" spans="1:15" s="3" customFormat="1" ht="14.5" x14ac:dyDescent="0.35">
      <c r="A34" s="6">
        <v>9</v>
      </c>
      <c r="B34" s="6">
        <f t="shared" si="3"/>
        <v>512</v>
      </c>
      <c r="C34" s="6"/>
      <c r="E34" s="393">
        <v>0</v>
      </c>
      <c r="F34" s="8">
        <f t="shared" si="4"/>
        <v>0</v>
      </c>
      <c r="G34" s="456">
        <v>0</v>
      </c>
      <c r="H34" s="8">
        <f t="shared" si="5"/>
        <v>0</v>
      </c>
      <c r="J34" s="140">
        <v>0</v>
      </c>
      <c r="K34" s="141">
        <f t="shared" si="7"/>
        <v>0</v>
      </c>
      <c r="L34" s="430"/>
      <c r="M34" s="430"/>
      <c r="N34" s="430"/>
      <c r="O34" s="430"/>
    </row>
    <row r="35" spans="1:15" s="3" customFormat="1" ht="14.5" x14ac:dyDescent="0.35">
      <c r="A35" s="6">
        <v>10</v>
      </c>
      <c r="B35" s="6">
        <f t="shared" si="3"/>
        <v>1024</v>
      </c>
      <c r="C35" s="6"/>
      <c r="E35" s="393">
        <v>0</v>
      </c>
      <c r="F35" s="8">
        <f t="shared" si="4"/>
        <v>0</v>
      </c>
      <c r="G35" s="456">
        <v>0</v>
      </c>
      <c r="H35" s="8">
        <f t="shared" si="5"/>
        <v>0</v>
      </c>
      <c r="J35" s="140">
        <v>0</v>
      </c>
      <c r="K35" s="141">
        <f t="shared" si="7"/>
        <v>0</v>
      </c>
      <c r="L35" s="430"/>
      <c r="M35" s="430"/>
      <c r="N35" s="430"/>
      <c r="O35" s="430"/>
    </row>
    <row r="36" spans="1:15" s="3" customFormat="1" ht="14.5" x14ac:dyDescent="0.35">
      <c r="A36" s="6">
        <v>11</v>
      </c>
      <c r="B36" s="6">
        <f t="shared" si="3"/>
        <v>2048</v>
      </c>
      <c r="C36" s="6"/>
      <c r="E36" s="393">
        <v>0</v>
      </c>
      <c r="F36" s="8">
        <f t="shared" si="4"/>
        <v>0</v>
      </c>
      <c r="G36" s="456">
        <v>0</v>
      </c>
      <c r="H36" s="8">
        <f t="shared" si="5"/>
        <v>0</v>
      </c>
      <c r="J36" s="140">
        <v>0</v>
      </c>
      <c r="K36" s="141">
        <f t="shared" si="7"/>
        <v>0</v>
      </c>
      <c r="L36" s="430"/>
      <c r="M36" s="430"/>
      <c r="N36" s="430"/>
      <c r="O36" s="430"/>
    </row>
    <row r="37" spans="1:15" s="3" customFormat="1" ht="14.5" x14ac:dyDescent="0.35">
      <c r="A37" s="6">
        <v>12</v>
      </c>
      <c r="B37" s="6">
        <f t="shared" si="3"/>
        <v>4096</v>
      </c>
      <c r="C37" s="6"/>
      <c r="E37" s="393">
        <v>0</v>
      </c>
      <c r="F37" s="8">
        <f t="shared" si="4"/>
        <v>0</v>
      </c>
      <c r="G37" s="456">
        <v>0</v>
      </c>
      <c r="H37" s="8">
        <f t="shared" si="5"/>
        <v>0</v>
      </c>
      <c r="J37" s="140">
        <v>0</v>
      </c>
      <c r="K37" s="141">
        <f t="shared" si="7"/>
        <v>0</v>
      </c>
      <c r="L37" s="430"/>
      <c r="M37" s="430"/>
      <c r="N37" s="430"/>
      <c r="O37" s="430"/>
    </row>
    <row r="38" spans="1:15" s="3" customFormat="1" ht="14.5" x14ac:dyDescent="0.35">
      <c r="A38" s="6">
        <v>13</v>
      </c>
      <c r="B38" s="6">
        <f t="shared" si="3"/>
        <v>8192</v>
      </c>
      <c r="C38" s="6"/>
      <c r="E38" s="393">
        <v>0</v>
      </c>
      <c r="F38" s="8">
        <f t="shared" si="4"/>
        <v>0</v>
      </c>
      <c r="G38" s="456">
        <v>0</v>
      </c>
      <c r="H38" s="8">
        <f t="shared" si="5"/>
        <v>0</v>
      </c>
      <c r="J38" s="140">
        <v>0</v>
      </c>
      <c r="K38" s="141">
        <f t="shared" si="7"/>
        <v>0</v>
      </c>
      <c r="L38" s="430"/>
      <c r="M38" s="430"/>
      <c r="N38" s="430"/>
      <c r="O38" s="430"/>
    </row>
    <row r="39" spans="1:15" s="3" customFormat="1" ht="14.5" x14ac:dyDescent="0.35">
      <c r="A39" s="6">
        <v>14</v>
      </c>
      <c r="B39" s="6">
        <f t="shared" si="3"/>
        <v>16384</v>
      </c>
      <c r="C39" s="6"/>
      <c r="E39" s="393">
        <v>0</v>
      </c>
      <c r="F39" s="8">
        <f t="shared" si="4"/>
        <v>0</v>
      </c>
      <c r="G39" s="456">
        <v>0</v>
      </c>
      <c r="H39" s="8">
        <f t="shared" si="5"/>
        <v>0</v>
      </c>
      <c r="J39" s="140">
        <v>0</v>
      </c>
      <c r="K39" s="141">
        <f t="shared" si="7"/>
        <v>0</v>
      </c>
      <c r="L39" s="430"/>
      <c r="M39" s="430"/>
      <c r="N39" s="430"/>
      <c r="O39" s="430"/>
    </row>
    <row r="40" spans="1:15" s="3" customFormat="1" ht="15" thickBot="1" x14ac:dyDescent="0.4">
      <c r="A40" s="9">
        <v>15</v>
      </c>
      <c r="B40" s="9">
        <f t="shared" si="3"/>
        <v>32768</v>
      </c>
      <c r="C40" s="9"/>
      <c r="D40" s="10"/>
      <c r="E40" s="394">
        <v>0</v>
      </c>
      <c r="F40" s="8">
        <f t="shared" si="4"/>
        <v>0</v>
      </c>
      <c r="G40" s="457">
        <v>0</v>
      </c>
      <c r="H40" s="8">
        <f t="shared" si="5"/>
        <v>0</v>
      </c>
      <c r="J40" s="142">
        <v>0</v>
      </c>
      <c r="K40" s="141">
        <f>B40*J40</f>
        <v>0</v>
      </c>
      <c r="L40" s="430"/>
      <c r="M40" s="430"/>
      <c r="N40" s="430"/>
      <c r="O40" s="430"/>
    </row>
    <row r="41" spans="1:15" s="3" customFormat="1" ht="14.5" x14ac:dyDescent="0.35">
      <c r="D41" s="11" t="s">
        <v>85</v>
      </c>
      <c r="E41" s="12">
        <f>SUM(F25:F40)</f>
        <v>30</v>
      </c>
      <c r="J41" s="143">
        <f>SUM(K25:K40)</f>
        <v>0</v>
      </c>
      <c r="K41" s="144"/>
      <c r="L41" s="430"/>
      <c r="M41" s="430"/>
      <c r="N41" s="430"/>
      <c r="O41" s="430"/>
    </row>
    <row r="42" spans="1:15" s="3" customFormat="1" ht="14.5" x14ac:dyDescent="0.35">
      <c r="D42" s="11" t="s">
        <v>86</v>
      </c>
      <c r="G42" s="12">
        <f>SUM(H25:H40)</f>
        <v>0</v>
      </c>
      <c r="L42" s="430"/>
      <c r="M42" s="430"/>
      <c r="N42" s="430"/>
      <c r="O42" s="430"/>
    </row>
    <row r="43" spans="1:15" s="3" customFormat="1" ht="14.5" x14ac:dyDescent="0.35">
      <c r="L43" s="430"/>
      <c r="M43" s="430"/>
      <c r="N43" s="430"/>
      <c r="O43" s="430"/>
    </row>
    <row r="44" spans="1:15" s="118" customFormat="1" x14ac:dyDescent="0.25">
      <c r="A44" s="122"/>
      <c r="B44" s="122"/>
      <c r="C44" s="122"/>
      <c r="D44" s="122"/>
      <c r="E44" s="122"/>
      <c r="F44" s="122"/>
      <c r="G44" s="122"/>
      <c r="H44" s="122"/>
      <c r="L44" s="429"/>
      <c r="M44" s="429"/>
      <c r="N44" s="429"/>
      <c r="O44" s="429"/>
    </row>
    <row r="45" spans="1:15" s="118" customFormat="1" ht="18.5" x14ac:dyDescent="0.25">
      <c r="A45" s="123" t="s">
        <v>486</v>
      </c>
      <c r="B45" s="123"/>
      <c r="C45" s="123"/>
      <c r="L45" s="429"/>
      <c r="M45" s="429"/>
      <c r="N45" s="429"/>
      <c r="O45" s="429"/>
    </row>
    <row r="46" spans="1:15" s="3" customFormat="1" ht="14.5" x14ac:dyDescent="0.35">
      <c r="D46" s="21"/>
      <c r="L46" s="430"/>
      <c r="M46" s="430"/>
      <c r="N46" s="430"/>
      <c r="O46" s="430"/>
    </row>
    <row r="47" spans="1:15" s="3" customFormat="1" ht="29" x14ac:dyDescent="0.35">
      <c r="A47" s="4" t="s">
        <v>29</v>
      </c>
      <c r="B47" s="4" t="s">
        <v>30</v>
      </c>
      <c r="C47" s="4" t="s">
        <v>31</v>
      </c>
      <c r="D47" s="4" t="s">
        <v>32</v>
      </c>
      <c r="E47" s="5" t="s">
        <v>33</v>
      </c>
      <c r="F47" s="4" t="s">
        <v>30</v>
      </c>
      <c r="J47" s="138" t="s">
        <v>490</v>
      </c>
      <c r="K47" s="139" t="s">
        <v>30</v>
      </c>
      <c r="L47" s="430"/>
      <c r="M47" s="430"/>
      <c r="N47" s="430"/>
      <c r="O47" s="430"/>
    </row>
    <row r="48" spans="1:15" s="3" customFormat="1" ht="14.5" x14ac:dyDescent="0.35">
      <c r="A48" s="6">
        <v>0</v>
      </c>
      <c r="B48" s="6">
        <f t="shared" ref="B48:B55" si="8">2^A48</f>
        <v>1</v>
      </c>
      <c r="C48" s="6" t="s">
        <v>93</v>
      </c>
      <c r="D48" s="7" t="s">
        <v>94</v>
      </c>
      <c r="E48" s="389">
        <v>1</v>
      </c>
      <c r="F48" s="8">
        <f t="shared" ref="F48:F55" si="9">B48*E48</f>
        <v>1</v>
      </c>
      <c r="J48" s="140">
        <v>0</v>
      </c>
      <c r="K48" s="141">
        <f t="shared" ref="K48:K55" si="10">B48*J48</f>
        <v>0</v>
      </c>
      <c r="L48" s="519">
        <v>1</v>
      </c>
      <c r="M48" s="430"/>
      <c r="N48" s="430"/>
      <c r="O48" s="430"/>
    </row>
    <row r="49" spans="1:15" s="3" customFormat="1" ht="14.5" x14ac:dyDescent="0.35">
      <c r="A49" s="6">
        <v>1</v>
      </c>
      <c r="B49" s="6">
        <f t="shared" si="8"/>
        <v>2</v>
      </c>
      <c r="C49" s="6" t="s">
        <v>95</v>
      </c>
      <c r="D49" s="7" t="s">
        <v>96</v>
      </c>
      <c r="E49" s="389">
        <v>0</v>
      </c>
      <c r="F49" s="8">
        <f t="shared" si="9"/>
        <v>0</v>
      </c>
      <c r="J49" s="140">
        <v>0</v>
      </c>
      <c r="K49" s="141">
        <f t="shared" si="10"/>
        <v>0</v>
      </c>
      <c r="L49" s="430"/>
      <c r="M49" s="430"/>
      <c r="N49" s="430"/>
      <c r="O49" s="430"/>
    </row>
    <row r="50" spans="1:15" s="3" customFormat="1" ht="14.5" x14ac:dyDescent="0.35">
      <c r="A50" s="6">
        <v>2</v>
      </c>
      <c r="B50" s="6">
        <f t="shared" si="8"/>
        <v>4</v>
      </c>
      <c r="C50" s="6" t="s">
        <v>97</v>
      </c>
      <c r="D50" s="3" t="s">
        <v>98</v>
      </c>
      <c r="E50" s="386">
        <v>0</v>
      </c>
      <c r="F50" s="8">
        <f t="shared" si="9"/>
        <v>0</v>
      </c>
      <c r="J50" s="140">
        <v>0</v>
      </c>
      <c r="K50" s="141">
        <f t="shared" si="10"/>
        <v>0</v>
      </c>
      <c r="L50" s="430"/>
      <c r="M50" s="430"/>
      <c r="N50" s="430"/>
      <c r="O50" s="430"/>
    </row>
    <row r="51" spans="1:15" s="3" customFormat="1" ht="29" x14ac:dyDescent="0.35">
      <c r="A51" s="6">
        <v>3</v>
      </c>
      <c r="B51" s="6">
        <f t="shared" si="8"/>
        <v>8</v>
      </c>
      <c r="C51" s="6" t="s">
        <v>99</v>
      </c>
      <c r="D51" s="7" t="s">
        <v>100</v>
      </c>
      <c r="E51" s="389">
        <v>0</v>
      </c>
      <c r="F51" s="8">
        <f t="shared" si="9"/>
        <v>0</v>
      </c>
      <c r="J51" s="140">
        <v>0</v>
      </c>
      <c r="K51" s="141">
        <f t="shared" si="10"/>
        <v>0</v>
      </c>
      <c r="L51" s="430"/>
      <c r="M51" s="430"/>
      <c r="N51" s="430"/>
      <c r="O51" s="430"/>
    </row>
    <row r="52" spans="1:15" s="3" customFormat="1" ht="14.5" x14ac:dyDescent="0.35">
      <c r="A52" s="6">
        <v>4</v>
      </c>
      <c r="B52" s="6">
        <f t="shared" si="8"/>
        <v>16</v>
      </c>
      <c r="C52" s="6"/>
      <c r="E52" s="387">
        <v>0</v>
      </c>
      <c r="F52" s="8">
        <f t="shared" si="9"/>
        <v>0</v>
      </c>
      <c r="J52" s="140">
        <v>0</v>
      </c>
      <c r="K52" s="141">
        <f t="shared" si="10"/>
        <v>0</v>
      </c>
      <c r="L52" s="430"/>
      <c r="M52" s="430"/>
      <c r="N52" s="430"/>
      <c r="O52" s="430"/>
    </row>
    <row r="53" spans="1:15" s="3" customFormat="1" ht="14.5" x14ac:dyDescent="0.35">
      <c r="A53" s="6">
        <v>5</v>
      </c>
      <c r="B53" s="6">
        <f t="shared" si="8"/>
        <v>32</v>
      </c>
      <c r="C53" s="6"/>
      <c r="E53" s="387">
        <v>0</v>
      </c>
      <c r="F53" s="8">
        <f t="shared" si="9"/>
        <v>0</v>
      </c>
      <c r="J53" s="140">
        <v>0</v>
      </c>
      <c r="K53" s="141">
        <f t="shared" si="10"/>
        <v>0</v>
      </c>
      <c r="L53" s="430"/>
      <c r="M53" s="430"/>
      <c r="N53" s="430"/>
      <c r="O53" s="430"/>
    </row>
    <row r="54" spans="1:15" s="3" customFormat="1" ht="14.5" x14ac:dyDescent="0.35">
      <c r="A54" s="6">
        <v>6</v>
      </c>
      <c r="B54" s="6">
        <f t="shared" si="8"/>
        <v>64</v>
      </c>
      <c r="C54" s="6"/>
      <c r="E54" s="387">
        <v>0</v>
      </c>
      <c r="F54" s="8">
        <f t="shared" si="9"/>
        <v>0</v>
      </c>
      <c r="J54" s="140">
        <v>0</v>
      </c>
      <c r="K54" s="141">
        <f t="shared" si="10"/>
        <v>0</v>
      </c>
      <c r="L54" s="430"/>
      <c r="M54" s="430"/>
      <c r="N54" s="430"/>
      <c r="O54" s="430"/>
    </row>
    <row r="55" spans="1:15" s="3" customFormat="1" ht="15" thickBot="1" x14ac:dyDescent="0.4">
      <c r="A55" s="9">
        <v>7</v>
      </c>
      <c r="B55" s="9">
        <f t="shared" si="8"/>
        <v>128</v>
      </c>
      <c r="C55" s="9"/>
      <c r="D55" s="10"/>
      <c r="E55" s="388">
        <v>0</v>
      </c>
      <c r="F55" s="8">
        <f t="shared" si="9"/>
        <v>0</v>
      </c>
      <c r="J55" s="142">
        <v>0</v>
      </c>
      <c r="K55" s="141">
        <f t="shared" si="10"/>
        <v>0</v>
      </c>
      <c r="L55" s="430"/>
      <c r="M55" s="430"/>
      <c r="N55" s="430"/>
      <c r="O55" s="430"/>
    </row>
    <row r="56" spans="1:15" s="3" customFormat="1" ht="14.5" x14ac:dyDescent="0.35">
      <c r="D56" s="11" t="s">
        <v>101</v>
      </c>
      <c r="E56" s="12">
        <f>SUM(F48:F55)</f>
        <v>1</v>
      </c>
      <c r="J56" s="143">
        <f>SUM(K40:K55)</f>
        <v>0</v>
      </c>
      <c r="K56" s="144"/>
      <c r="L56" s="430"/>
      <c r="M56" s="430"/>
      <c r="N56" s="430"/>
      <c r="O56" s="430"/>
    </row>
    <row r="57" spans="1:15" s="3" customFormat="1" ht="14.5" x14ac:dyDescent="0.35">
      <c r="L57" s="430"/>
      <c r="M57" s="430"/>
      <c r="N57" s="430"/>
      <c r="O57" s="430"/>
    </row>
    <row r="58" spans="1:15" s="118" customFormat="1" x14ac:dyDescent="0.25">
      <c r="A58" s="122"/>
      <c r="B58" s="122"/>
      <c r="C58" s="122"/>
      <c r="D58" s="122"/>
      <c r="E58" s="122"/>
      <c r="F58" s="122"/>
      <c r="G58" s="122"/>
      <c r="H58" s="122"/>
      <c r="L58" s="429"/>
      <c r="M58" s="429"/>
      <c r="N58" s="429"/>
      <c r="O58" s="429"/>
    </row>
    <row r="59" spans="1:15" s="118" customFormat="1" ht="18.5" hidden="1" x14ac:dyDescent="0.25">
      <c r="A59" s="123" t="s">
        <v>489</v>
      </c>
      <c r="B59" s="123"/>
      <c r="C59" s="123"/>
      <c r="L59" s="429"/>
      <c r="M59" s="429"/>
      <c r="N59" s="429"/>
      <c r="O59" s="429"/>
    </row>
    <row r="60" spans="1:15" s="3" customFormat="1" ht="14.5" hidden="1" x14ac:dyDescent="0.35">
      <c r="A60" s="612"/>
      <c r="B60" s="612"/>
      <c r="C60" s="612"/>
      <c r="D60" s="612"/>
      <c r="E60" s="13"/>
      <c r="F60" s="13"/>
      <c r="G60" s="13"/>
      <c r="H60" s="13"/>
      <c r="I60" s="13"/>
      <c r="L60" s="430"/>
      <c r="M60" s="430"/>
      <c r="N60" s="430"/>
      <c r="O60" s="430"/>
    </row>
    <row r="61" spans="1:15" s="3" customFormat="1" ht="29" hidden="1" x14ac:dyDescent="0.35">
      <c r="A61" s="124" t="s">
        <v>29</v>
      </c>
      <c r="B61" s="124" t="s">
        <v>30</v>
      </c>
      <c r="C61" s="124" t="s">
        <v>31</v>
      </c>
      <c r="D61" s="124" t="s">
        <v>32</v>
      </c>
      <c r="E61" s="125" t="s">
        <v>33</v>
      </c>
      <c r="F61" s="124" t="s">
        <v>30</v>
      </c>
      <c r="G61" s="13"/>
      <c r="H61" s="13"/>
      <c r="I61" s="13"/>
      <c r="J61" s="138" t="s">
        <v>490</v>
      </c>
      <c r="K61" s="139" t="s">
        <v>30</v>
      </c>
      <c r="L61" s="430"/>
      <c r="M61" s="430"/>
      <c r="N61" s="430"/>
      <c r="O61" s="430"/>
    </row>
    <row r="62" spans="1:15" s="3" customFormat="1" ht="43.5" hidden="1" x14ac:dyDescent="0.35">
      <c r="A62" s="14">
        <v>0</v>
      </c>
      <c r="B62" s="14">
        <f t="shared" ref="B62:B77" si="11">2^A62</f>
        <v>1</v>
      </c>
      <c r="C62" s="150" t="s">
        <v>34</v>
      </c>
      <c r="D62" s="151" t="s">
        <v>35</v>
      </c>
      <c r="E62" s="395">
        <v>0</v>
      </c>
      <c r="F62" s="14">
        <f t="shared" ref="F62:F77" si="12">B62*E62</f>
        <v>0</v>
      </c>
      <c r="G62" s="13"/>
      <c r="H62" s="13"/>
      <c r="I62" s="13"/>
      <c r="J62" s="140">
        <v>0</v>
      </c>
      <c r="K62" s="141">
        <f>B62*J62</f>
        <v>0</v>
      </c>
      <c r="L62" s="430"/>
      <c r="M62" s="430"/>
      <c r="N62" s="430"/>
      <c r="O62" s="430"/>
    </row>
    <row r="63" spans="1:15" s="3" customFormat="1" ht="14.5" hidden="1" x14ac:dyDescent="0.35">
      <c r="A63" s="17">
        <v>1</v>
      </c>
      <c r="B63" s="17">
        <f t="shared" si="11"/>
        <v>2</v>
      </c>
      <c r="C63" s="17" t="s">
        <v>36</v>
      </c>
      <c r="D63" s="19" t="s">
        <v>111</v>
      </c>
      <c r="E63" s="396">
        <v>1</v>
      </c>
      <c r="F63" s="14">
        <f t="shared" si="12"/>
        <v>2</v>
      </c>
      <c r="G63" s="13"/>
      <c r="H63" s="13"/>
      <c r="I63" s="13"/>
      <c r="J63" s="140">
        <v>0</v>
      </c>
      <c r="K63" s="141">
        <f>B63*J63</f>
        <v>0</v>
      </c>
      <c r="L63" s="430"/>
      <c r="M63" s="430"/>
      <c r="N63" s="430"/>
      <c r="O63" s="430"/>
    </row>
    <row r="64" spans="1:15" s="3" customFormat="1" ht="14.5" hidden="1" x14ac:dyDescent="0.35">
      <c r="A64" s="14">
        <v>2</v>
      </c>
      <c r="B64" s="14">
        <f t="shared" si="11"/>
        <v>4</v>
      </c>
      <c r="C64" s="150" t="s">
        <v>37</v>
      </c>
      <c r="D64" s="151" t="s">
        <v>38</v>
      </c>
      <c r="E64" s="395">
        <v>0</v>
      </c>
      <c r="F64" s="14">
        <f t="shared" si="12"/>
        <v>0</v>
      </c>
      <c r="G64" s="13"/>
      <c r="H64" s="13"/>
      <c r="I64" s="13"/>
      <c r="J64" s="140">
        <v>0</v>
      </c>
      <c r="K64" s="141">
        <f>B64*J64</f>
        <v>0</v>
      </c>
      <c r="L64" s="430"/>
      <c r="M64" s="430"/>
      <c r="N64" s="430"/>
      <c r="O64" s="430"/>
    </row>
    <row r="65" spans="1:15" s="3" customFormat="1" ht="14.5" hidden="1" x14ac:dyDescent="0.35">
      <c r="A65" s="17">
        <v>3</v>
      </c>
      <c r="B65" s="17">
        <f t="shared" si="11"/>
        <v>8</v>
      </c>
      <c r="C65" s="17" t="s">
        <v>39</v>
      </c>
      <c r="D65" s="19" t="s">
        <v>40</v>
      </c>
      <c r="E65" s="397">
        <v>0</v>
      </c>
      <c r="F65" s="14">
        <f t="shared" si="12"/>
        <v>0</v>
      </c>
      <c r="G65" s="13"/>
      <c r="H65" s="13"/>
      <c r="I65" s="13"/>
      <c r="J65" s="140">
        <v>0</v>
      </c>
      <c r="K65" s="141">
        <f>B65*J65</f>
        <v>0</v>
      </c>
      <c r="L65" s="430"/>
      <c r="M65" s="430"/>
      <c r="N65" s="430"/>
      <c r="O65" s="430"/>
    </row>
    <row r="66" spans="1:15" s="3" customFormat="1" ht="14.5" hidden="1" x14ac:dyDescent="0.35">
      <c r="A66" s="17">
        <v>4</v>
      </c>
      <c r="B66" s="17">
        <f t="shared" si="11"/>
        <v>16</v>
      </c>
      <c r="C66" s="17" t="s">
        <v>41</v>
      </c>
      <c r="D66" s="19" t="s">
        <v>112</v>
      </c>
      <c r="E66" s="397">
        <v>0</v>
      </c>
      <c r="F66" s="14">
        <f t="shared" si="12"/>
        <v>0</v>
      </c>
      <c r="G66" s="13"/>
      <c r="H66" s="13"/>
      <c r="I66" s="13"/>
      <c r="J66" s="140">
        <v>0</v>
      </c>
      <c r="K66" s="141">
        <f>B66*J66</f>
        <v>0</v>
      </c>
      <c r="L66" s="430"/>
      <c r="M66" s="430"/>
      <c r="N66" s="430"/>
      <c r="O66" s="430"/>
    </row>
    <row r="67" spans="1:15" s="3" customFormat="1" ht="14.5" hidden="1" x14ac:dyDescent="0.35">
      <c r="A67" s="17">
        <v>5</v>
      </c>
      <c r="B67" s="17">
        <f t="shared" si="11"/>
        <v>32</v>
      </c>
      <c r="C67" s="17" t="s">
        <v>42</v>
      </c>
      <c r="D67" s="19" t="s">
        <v>113</v>
      </c>
      <c r="E67" s="397">
        <v>0</v>
      </c>
      <c r="F67" s="14">
        <f t="shared" si="12"/>
        <v>0</v>
      </c>
      <c r="G67" s="13"/>
      <c r="H67" s="13"/>
      <c r="I67" s="13"/>
      <c r="J67" s="140">
        <v>0</v>
      </c>
      <c r="K67" s="141">
        <f t="shared" ref="K67:K76" si="13">B67*J67</f>
        <v>0</v>
      </c>
      <c r="L67" s="430"/>
      <c r="M67" s="430"/>
      <c r="N67" s="430"/>
      <c r="O67" s="430"/>
    </row>
    <row r="68" spans="1:15" s="3" customFormat="1" ht="14.5" hidden="1" x14ac:dyDescent="0.35">
      <c r="A68" s="17">
        <v>6</v>
      </c>
      <c r="B68" s="17">
        <f t="shared" si="11"/>
        <v>64</v>
      </c>
      <c r="C68" s="17" t="s">
        <v>43</v>
      </c>
      <c r="D68" s="19" t="s">
        <v>114</v>
      </c>
      <c r="E68" s="397">
        <v>0</v>
      </c>
      <c r="F68" s="14">
        <f t="shared" si="12"/>
        <v>0</v>
      </c>
      <c r="G68" s="13"/>
      <c r="H68" s="13"/>
      <c r="I68" s="13"/>
      <c r="J68" s="140">
        <v>0</v>
      </c>
      <c r="K68" s="141">
        <f t="shared" si="13"/>
        <v>0</v>
      </c>
      <c r="L68" s="430"/>
      <c r="M68" s="430"/>
      <c r="N68" s="430"/>
      <c r="O68" s="430"/>
    </row>
    <row r="69" spans="1:15" s="3" customFormat="1" ht="14.5" hidden="1" x14ac:dyDescent="0.35">
      <c r="A69" s="14">
        <v>7</v>
      </c>
      <c r="B69" s="14">
        <f t="shared" si="11"/>
        <v>128</v>
      </c>
      <c r="C69" s="150" t="s">
        <v>44</v>
      </c>
      <c r="D69" s="151" t="s">
        <v>45</v>
      </c>
      <c r="E69" s="395">
        <v>0</v>
      </c>
      <c r="F69" s="14">
        <f t="shared" si="12"/>
        <v>0</v>
      </c>
      <c r="G69" s="13"/>
      <c r="H69" s="13"/>
      <c r="I69" s="13"/>
      <c r="J69" s="140">
        <v>0</v>
      </c>
      <c r="K69" s="141">
        <f t="shared" si="13"/>
        <v>0</v>
      </c>
      <c r="L69" s="430"/>
      <c r="M69" s="430"/>
      <c r="N69" s="430"/>
      <c r="O69" s="430"/>
    </row>
    <row r="70" spans="1:15" s="3" customFormat="1" ht="14.5" hidden="1" x14ac:dyDescent="0.35">
      <c r="A70" s="17">
        <v>8</v>
      </c>
      <c r="B70" s="17">
        <f t="shared" si="11"/>
        <v>256</v>
      </c>
      <c r="C70" s="17" t="s">
        <v>46</v>
      </c>
      <c r="D70" s="19" t="s">
        <v>735</v>
      </c>
      <c r="E70" s="396">
        <v>1</v>
      </c>
      <c r="F70" s="14">
        <f t="shared" si="12"/>
        <v>256</v>
      </c>
      <c r="G70" s="13"/>
      <c r="H70" s="13"/>
      <c r="I70" s="13"/>
      <c r="J70" s="140">
        <v>0</v>
      </c>
      <c r="K70" s="141">
        <f t="shared" si="13"/>
        <v>0</v>
      </c>
      <c r="L70" s="430"/>
      <c r="M70" s="430"/>
      <c r="N70" s="430"/>
      <c r="O70" s="430"/>
    </row>
    <row r="71" spans="1:15" s="3" customFormat="1" ht="14.5" hidden="1" x14ac:dyDescent="0.35">
      <c r="A71" s="17">
        <v>9</v>
      </c>
      <c r="B71" s="17">
        <f t="shared" si="11"/>
        <v>512</v>
      </c>
      <c r="C71" s="17" t="s">
        <v>875</v>
      </c>
      <c r="D71" s="18" t="s">
        <v>876</v>
      </c>
      <c r="E71" s="396">
        <v>1</v>
      </c>
      <c r="F71" s="14">
        <f t="shared" si="12"/>
        <v>512</v>
      </c>
      <c r="G71" s="13"/>
      <c r="H71" s="13"/>
      <c r="I71" s="13"/>
      <c r="J71" s="140">
        <v>0</v>
      </c>
      <c r="K71" s="141">
        <f t="shared" si="13"/>
        <v>0</v>
      </c>
      <c r="L71" s="430"/>
      <c r="M71" s="430"/>
      <c r="N71" s="430"/>
      <c r="O71" s="430"/>
    </row>
    <row r="72" spans="1:15" s="3" customFormat="1" ht="14.5" hidden="1" x14ac:dyDescent="0.35">
      <c r="A72" s="17">
        <v>10</v>
      </c>
      <c r="B72" s="17">
        <f t="shared" si="11"/>
        <v>1024</v>
      </c>
      <c r="C72" s="17" t="s">
        <v>874</v>
      </c>
      <c r="D72" s="18" t="s">
        <v>877</v>
      </c>
      <c r="E72" s="396">
        <v>1</v>
      </c>
      <c r="F72" s="14">
        <f t="shared" si="12"/>
        <v>1024</v>
      </c>
      <c r="G72" s="13"/>
      <c r="H72" s="13"/>
      <c r="I72" s="13"/>
      <c r="J72" s="140">
        <v>0</v>
      </c>
      <c r="K72" s="141">
        <f t="shared" si="13"/>
        <v>0</v>
      </c>
      <c r="L72" s="430"/>
      <c r="M72" s="430"/>
      <c r="N72" s="430"/>
      <c r="O72" s="430"/>
    </row>
    <row r="73" spans="1:15" s="3" customFormat="1" ht="14.5" hidden="1" x14ac:dyDescent="0.35">
      <c r="A73" s="14">
        <v>11</v>
      </c>
      <c r="B73" s="14">
        <f t="shared" si="11"/>
        <v>2048</v>
      </c>
      <c r="C73" s="150" t="s">
        <v>50</v>
      </c>
      <c r="D73" s="151"/>
      <c r="E73" s="395">
        <v>0</v>
      </c>
      <c r="F73" s="14">
        <f t="shared" si="12"/>
        <v>0</v>
      </c>
      <c r="G73" s="13"/>
      <c r="H73" s="13"/>
      <c r="I73" s="13"/>
      <c r="J73" s="140">
        <v>0</v>
      </c>
      <c r="K73" s="141">
        <f t="shared" si="13"/>
        <v>0</v>
      </c>
      <c r="L73" s="430"/>
      <c r="M73" s="430"/>
      <c r="N73" s="430"/>
      <c r="O73" s="430"/>
    </row>
    <row r="74" spans="1:15" s="3" customFormat="1" ht="14.5" hidden="1" x14ac:dyDescent="0.35">
      <c r="A74" s="14">
        <v>12</v>
      </c>
      <c r="B74" s="14">
        <f t="shared" si="11"/>
        <v>4096</v>
      </c>
      <c r="C74" s="150" t="s">
        <v>51</v>
      </c>
      <c r="D74" s="503" t="s">
        <v>52</v>
      </c>
      <c r="E74" s="395">
        <v>0</v>
      </c>
      <c r="F74" s="14">
        <f t="shared" si="12"/>
        <v>0</v>
      </c>
      <c r="G74" s="13"/>
      <c r="H74" s="13"/>
      <c r="I74" s="13"/>
      <c r="J74" s="140">
        <v>0</v>
      </c>
      <c r="K74" s="141">
        <f t="shared" si="13"/>
        <v>0</v>
      </c>
      <c r="L74" s="430"/>
      <c r="M74" s="430"/>
      <c r="N74" s="430"/>
      <c r="O74" s="430"/>
    </row>
    <row r="75" spans="1:15" s="3" customFormat="1" ht="14.5" hidden="1" x14ac:dyDescent="0.35">
      <c r="A75" s="14">
        <v>13</v>
      </c>
      <c r="B75" s="14">
        <f t="shared" si="11"/>
        <v>8192</v>
      </c>
      <c r="C75" s="150" t="s">
        <v>53</v>
      </c>
      <c r="D75" s="151"/>
      <c r="E75" s="395">
        <v>0</v>
      </c>
      <c r="F75" s="14">
        <f t="shared" si="12"/>
        <v>0</v>
      </c>
      <c r="G75" s="13"/>
      <c r="H75" s="13"/>
      <c r="I75" s="13"/>
      <c r="J75" s="140">
        <v>0</v>
      </c>
      <c r="K75" s="141">
        <f t="shared" si="13"/>
        <v>0</v>
      </c>
      <c r="L75" s="430"/>
      <c r="M75" s="430"/>
      <c r="N75" s="430"/>
      <c r="O75" s="430"/>
    </row>
    <row r="76" spans="1:15" s="3" customFormat="1" ht="14.5" hidden="1" x14ac:dyDescent="0.35">
      <c r="A76" s="14">
        <v>14</v>
      </c>
      <c r="B76" s="14">
        <f t="shared" si="11"/>
        <v>16384</v>
      </c>
      <c r="C76" s="150" t="s">
        <v>54</v>
      </c>
      <c r="D76" s="151"/>
      <c r="E76" s="395">
        <v>0</v>
      </c>
      <c r="F76" s="14">
        <f t="shared" si="12"/>
        <v>0</v>
      </c>
      <c r="G76" s="13"/>
      <c r="H76" s="13"/>
      <c r="I76" s="13"/>
      <c r="J76" s="140">
        <v>0</v>
      </c>
      <c r="K76" s="141">
        <f t="shared" si="13"/>
        <v>0</v>
      </c>
      <c r="L76" s="430"/>
      <c r="M76" s="430"/>
      <c r="N76" s="430"/>
      <c r="O76" s="430"/>
    </row>
    <row r="77" spans="1:15" s="3" customFormat="1" ht="15" hidden="1" thickBot="1" x14ac:dyDescent="0.4">
      <c r="A77" s="15">
        <v>15</v>
      </c>
      <c r="B77" s="15">
        <f t="shared" si="11"/>
        <v>32768</v>
      </c>
      <c r="C77" s="504" t="s">
        <v>56</v>
      </c>
      <c r="D77" s="20"/>
      <c r="E77" s="398">
        <v>0</v>
      </c>
      <c r="F77" s="17">
        <f t="shared" si="12"/>
        <v>0</v>
      </c>
      <c r="G77" s="13"/>
      <c r="H77" s="13"/>
      <c r="I77" s="13"/>
      <c r="J77" s="142">
        <v>0</v>
      </c>
      <c r="K77" s="141">
        <f>B77*J77</f>
        <v>0</v>
      </c>
      <c r="L77" s="430"/>
      <c r="M77" s="430"/>
      <c r="N77" s="430"/>
      <c r="O77" s="430"/>
    </row>
    <row r="78" spans="1:15" s="3" customFormat="1" ht="14.5" hidden="1" x14ac:dyDescent="0.35">
      <c r="A78" s="13"/>
      <c r="B78" s="13"/>
      <c r="C78" s="13"/>
      <c r="D78" s="11" t="s">
        <v>109</v>
      </c>
      <c r="E78" s="12">
        <f>SUM(F62:F77)</f>
        <v>1794</v>
      </c>
      <c r="F78" s="13"/>
      <c r="G78" s="13"/>
      <c r="H78" s="13"/>
      <c r="I78" s="13"/>
      <c r="J78" s="143">
        <f>SUM(K62:K77)</f>
        <v>0</v>
      </c>
      <c r="K78" s="144"/>
      <c r="L78" s="430"/>
      <c r="M78" s="430"/>
      <c r="N78" s="430"/>
      <c r="O78" s="430"/>
    </row>
    <row r="79" spans="1:15" s="3" customFormat="1" ht="14.5" hidden="1" x14ac:dyDescent="0.35">
      <c r="A79" s="13"/>
      <c r="B79" s="13"/>
      <c r="C79" s="13"/>
      <c r="D79" s="13"/>
      <c r="E79" s="13"/>
      <c r="F79" s="13"/>
      <c r="G79" s="13"/>
      <c r="H79" s="13"/>
      <c r="I79" s="13"/>
      <c r="L79" s="430"/>
      <c r="M79" s="430"/>
      <c r="N79" s="430"/>
      <c r="O79" s="430"/>
    </row>
    <row r="80" spans="1:15" s="3" customFormat="1" ht="14.5" hidden="1" x14ac:dyDescent="0.35">
      <c r="A80" s="13"/>
      <c r="B80" s="13"/>
      <c r="C80" s="13"/>
      <c r="D80" s="13"/>
      <c r="E80" s="13"/>
      <c r="F80" s="13"/>
      <c r="G80" s="13"/>
      <c r="H80" s="13"/>
      <c r="I80" s="13"/>
      <c r="L80" s="430"/>
      <c r="M80" s="430"/>
      <c r="N80" s="430"/>
      <c r="O80" s="430"/>
    </row>
    <row r="81" spans="1:15" s="3" customFormat="1" ht="43.5" hidden="1" x14ac:dyDescent="0.35">
      <c r="A81" s="124" t="s">
        <v>29</v>
      </c>
      <c r="B81" s="124" t="s">
        <v>30</v>
      </c>
      <c r="C81" s="124" t="s">
        <v>31</v>
      </c>
      <c r="D81" s="124" t="s">
        <v>32</v>
      </c>
      <c r="E81" s="125" t="s">
        <v>58</v>
      </c>
      <c r="F81" s="124" t="s">
        <v>30</v>
      </c>
      <c r="G81" s="125" t="s">
        <v>59</v>
      </c>
      <c r="H81" s="124" t="s">
        <v>30</v>
      </c>
      <c r="I81" s="13"/>
      <c r="J81" s="138" t="s">
        <v>490</v>
      </c>
      <c r="K81" s="139" t="s">
        <v>30</v>
      </c>
      <c r="L81" s="430"/>
      <c r="M81" s="430"/>
      <c r="N81" s="430"/>
      <c r="O81" s="430"/>
    </row>
    <row r="82" spans="1:15" s="3" customFormat="1" ht="14.5" hidden="1" x14ac:dyDescent="0.35">
      <c r="A82" s="17">
        <v>0</v>
      </c>
      <c r="B82" s="17">
        <f t="shared" ref="B82:B97" si="14">2^A82</f>
        <v>1</v>
      </c>
      <c r="C82" s="17" t="s">
        <v>124</v>
      </c>
      <c r="D82" s="18" t="s">
        <v>106</v>
      </c>
      <c r="E82" s="397">
        <v>1</v>
      </c>
      <c r="F82" s="14">
        <f t="shared" ref="F82:F97" si="15">B82*E82</f>
        <v>1</v>
      </c>
      <c r="G82" s="455">
        <v>0</v>
      </c>
      <c r="H82" s="14">
        <f t="shared" ref="H82:H97" si="16">B82*G82</f>
        <v>0</v>
      </c>
      <c r="I82" s="13"/>
      <c r="J82" s="140">
        <v>0</v>
      </c>
      <c r="K82" s="141">
        <f>B82*J82</f>
        <v>0</v>
      </c>
      <c r="L82" s="430"/>
      <c r="M82" s="430"/>
      <c r="N82" s="430"/>
      <c r="O82" s="430"/>
    </row>
    <row r="83" spans="1:15" s="3" customFormat="1" ht="14.5" hidden="1" x14ac:dyDescent="0.35">
      <c r="A83" s="17">
        <v>1</v>
      </c>
      <c r="B83" s="17">
        <f t="shared" si="14"/>
        <v>2</v>
      </c>
      <c r="C83" s="17" t="s">
        <v>128</v>
      </c>
      <c r="D83" s="18" t="s">
        <v>131</v>
      </c>
      <c r="E83" s="397">
        <v>1</v>
      </c>
      <c r="F83" s="14">
        <f t="shared" si="15"/>
        <v>2</v>
      </c>
      <c r="G83" s="455">
        <v>0</v>
      </c>
      <c r="H83" s="14">
        <f t="shared" si="16"/>
        <v>0</v>
      </c>
      <c r="I83" s="13"/>
      <c r="J83" s="140">
        <v>0</v>
      </c>
      <c r="K83" s="141">
        <f>B83*J83</f>
        <v>0</v>
      </c>
      <c r="L83" s="430"/>
      <c r="M83" s="430"/>
      <c r="N83" s="430"/>
      <c r="O83" s="430"/>
    </row>
    <row r="84" spans="1:15" s="3" customFormat="1" ht="14.5" hidden="1" x14ac:dyDescent="0.35">
      <c r="A84" s="17">
        <v>2</v>
      </c>
      <c r="B84" s="17">
        <f t="shared" si="14"/>
        <v>4</v>
      </c>
      <c r="C84" s="6" t="s">
        <v>129</v>
      </c>
      <c r="D84" s="19" t="s">
        <v>125</v>
      </c>
      <c r="E84" s="397">
        <v>1</v>
      </c>
      <c r="F84" s="14">
        <f t="shared" si="15"/>
        <v>4</v>
      </c>
      <c r="G84" s="455">
        <v>0</v>
      </c>
      <c r="H84" s="14">
        <f t="shared" si="16"/>
        <v>0</v>
      </c>
      <c r="I84" s="13"/>
      <c r="J84" s="140">
        <v>0</v>
      </c>
      <c r="K84" s="141">
        <f>B84*J84</f>
        <v>0</v>
      </c>
      <c r="L84" s="430"/>
      <c r="M84" s="430"/>
      <c r="N84" s="430"/>
      <c r="O84" s="430"/>
    </row>
    <row r="85" spans="1:15" s="3" customFormat="1" ht="14.5" hidden="1" x14ac:dyDescent="0.35">
      <c r="A85" s="17">
        <v>3</v>
      </c>
      <c r="B85" s="17">
        <f t="shared" si="14"/>
        <v>8</v>
      </c>
      <c r="C85" s="6" t="s">
        <v>130</v>
      </c>
      <c r="D85" s="19" t="s">
        <v>737</v>
      </c>
      <c r="E85" s="460">
        <v>1</v>
      </c>
      <c r="F85" s="14">
        <f t="shared" si="15"/>
        <v>8</v>
      </c>
      <c r="G85" s="455">
        <v>0</v>
      </c>
      <c r="H85" s="14">
        <f t="shared" si="16"/>
        <v>0</v>
      </c>
      <c r="I85" s="13"/>
      <c r="J85" s="140">
        <v>0</v>
      </c>
      <c r="K85" s="141">
        <f>B85*J85</f>
        <v>0</v>
      </c>
      <c r="L85" s="430"/>
      <c r="M85" s="430"/>
      <c r="N85" s="430"/>
      <c r="O85" s="430"/>
    </row>
    <row r="86" spans="1:15" s="3" customFormat="1" ht="14.5" hidden="1" x14ac:dyDescent="0.35">
      <c r="A86" s="17">
        <v>4</v>
      </c>
      <c r="B86" s="17">
        <f t="shared" si="14"/>
        <v>16</v>
      </c>
      <c r="C86" s="17" t="s">
        <v>126</v>
      </c>
      <c r="D86" s="19" t="s">
        <v>107</v>
      </c>
      <c r="E86" s="397">
        <v>1</v>
      </c>
      <c r="F86" s="14">
        <f t="shared" si="15"/>
        <v>16</v>
      </c>
      <c r="G86" s="455">
        <v>0</v>
      </c>
      <c r="H86" s="14">
        <f t="shared" si="16"/>
        <v>0</v>
      </c>
      <c r="I86" s="13"/>
      <c r="J86" s="140">
        <v>0</v>
      </c>
      <c r="K86" s="141">
        <f>B86*J86</f>
        <v>0</v>
      </c>
      <c r="L86" s="430"/>
      <c r="M86" s="430"/>
      <c r="N86" s="430"/>
      <c r="O86" s="430"/>
    </row>
    <row r="87" spans="1:15" s="3" customFormat="1" ht="14.5" hidden="1" x14ac:dyDescent="0.35">
      <c r="A87" s="17">
        <v>5</v>
      </c>
      <c r="B87" s="17">
        <f t="shared" si="14"/>
        <v>32</v>
      </c>
      <c r="C87" s="17" t="s">
        <v>127</v>
      </c>
      <c r="D87" s="19" t="s">
        <v>108</v>
      </c>
      <c r="E87" s="397">
        <v>1</v>
      </c>
      <c r="F87" s="14">
        <f t="shared" si="15"/>
        <v>32</v>
      </c>
      <c r="G87" s="455">
        <v>0</v>
      </c>
      <c r="H87" s="14">
        <f t="shared" si="16"/>
        <v>0</v>
      </c>
      <c r="I87" s="13"/>
      <c r="J87" s="140">
        <v>0</v>
      </c>
      <c r="K87" s="141">
        <f t="shared" ref="K87:K96" si="17">B87*J87</f>
        <v>0</v>
      </c>
      <c r="L87" s="430"/>
      <c r="M87" s="430"/>
      <c r="N87" s="430"/>
      <c r="O87" s="430"/>
    </row>
    <row r="88" spans="1:15" s="3" customFormat="1" ht="14.5" hidden="1" x14ac:dyDescent="0.35">
      <c r="A88" s="14">
        <v>6</v>
      </c>
      <c r="B88" s="14">
        <f t="shared" si="14"/>
        <v>64</v>
      </c>
      <c r="D88" s="13"/>
      <c r="E88" s="395">
        <v>0</v>
      </c>
      <c r="F88" s="14">
        <f t="shared" si="15"/>
        <v>0</v>
      </c>
      <c r="G88" s="458">
        <v>0</v>
      </c>
      <c r="H88" s="14">
        <f t="shared" si="16"/>
        <v>0</v>
      </c>
      <c r="I88" s="13"/>
      <c r="J88" s="140">
        <v>0</v>
      </c>
      <c r="K88" s="141">
        <f t="shared" si="17"/>
        <v>0</v>
      </c>
      <c r="L88" s="430"/>
      <c r="M88" s="430"/>
      <c r="N88" s="430"/>
      <c r="O88" s="430"/>
    </row>
    <row r="89" spans="1:15" s="3" customFormat="1" ht="14.5" hidden="1" x14ac:dyDescent="0.35">
      <c r="A89" s="14">
        <v>7</v>
      </c>
      <c r="B89" s="14">
        <f t="shared" si="14"/>
        <v>128</v>
      </c>
      <c r="D89" s="18"/>
      <c r="E89" s="395">
        <v>0</v>
      </c>
      <c r="F89" s="14">
        <f t="shared" si="15"/>
        <v>0</v>
      </c>
      <c r="G89" s="458">
        <v>0</v>
      </c>
      <c r="H89" s="14">
        <f t="shared" si="16"/>
        <v>0</v>
      </c>
      <c r="I89" s="13"/>
      <c r="J89" s="140">
        <v>0</v>
      </c>
      <c r="K89" s="141">
        <f t="shared" si="17"/>
        <v>0</v>
      </c>
      <c r="L89" s="430"/>
      <c r="M89" s="430"/>
      <c r="N89" s="430"/>
      <c r="O89" s="430"/>
    </row>
    <row r="90" spans="1:15" s="3" customFormat="1" ht="14.5" hidden="1" x14ac:dyDescent="0.35">
      <c r="A90" s="14">
        <v>8</v>
      </c>
      <c r="B90" s="14">
        <f t="shared" si="14"/>
        <v>256</v>
      </c>
      <c r="C90" s="14"/>
      <c r="D90" s="18"/>
      <c r="E90" s="395">
        <v>0</v>
      </c>
      <c r="F90" s="14">
        <f t="shared" si="15"/>
        <v>0</v>
      </c>
      <c r="G90" s="458">
        <v>0</v>
      </c>
      <c r="H90" s="14">
        <f t="shared" si="16"/>
        <v>0</v>
      </c>
      <c r="I90" s="13"/>
      <c r="J90" s="140">
        <v>0</v>
      </c>
      <c r="K90" s="141">
        <f t="shared" si="17"/>
        <v>0</v>
      </c>
      <c r="L90" s="430"/>
      <c r="M90" s="430"/>
      <c r="N90" s="430"/>
      <c r="O90" s="430"/>
    </row>
    <row r="91" spans="1:15" s="3" customFormat="1" ht="14.5" hidden="1" x14ac:dyDescent="0.35">
      <c r="A91" s="14">
        <v>9</v>
      </c>
      <c r="B91" s="14">
        <f t="shared" si="14"/>
        <v>512</v>
      </c>
      <c r="C91" s="14"/>
      <c r="D91" s="19"/>
      <c r="E91" s="395">
        <v>0</v>
      </c>
      <c r="F91" s="14">
        <f t="shared" si="15"/>
        <v>0</v>
      </c>
      <c r="G91" s="458">
        <v>0</v>
      </c>
      <c r="H91" s="14">
        <f t="shared" si="16"/>
        <v>0</v>
      </c>
      <c r="I91" s="13"/>
      <c r="J91" s="140">
        <v>0</v>
      </c>
      <c r="K91" s="141">
        <f t="shared" si="17"/>
        <v>0</v>
      </c>
      <c r="L91" s="430"/>
      <c r="M91" s="430"/>
      <c r="N91" s="430"/>
      <c r="O91" s="430"/>
    </row>
    <row r="92" spans="1:15" s="3" customFormat="1" ht="14.5" hidden="1" x14ac:dyDescent="0.35">
      <c r="A92" s="14">
        <v>10</v>
      </c>
      <c r="B92" s="14">
        <f t="shared" si="14"/>
        <v>1024</v>
      </c>
      <c r="C92" s="14"/>
      <c r="D92" s="19"/>
      <c r="E92" s="395">
        <v>0</v>
      </c>
      <c r="F92" s="14">
        <f t="shared" si="15"/>
        <v>0</v>
      </c>
      <c r="G92" s="458">
        <v>0</v>
      </c>
      <c r="H92" s="14">
        <f t="shared" si="16"/>
        <v>0</v>
      </c>
      <c r="I92" s="13"/>
      <c r="J92" s="140">
        <v>0</v>
      </c>
      <c r="K92" s="141">
        <f t="shared" si="17"/>
        <v>0</v>
      </c>
      <c r="L92" s="430"/>
      <c r="M92" s="430"/>
      <c r="N92" s="430"/>
      <c r="O92" s="430"/>
    </row>
    <row r="93" spans="1:15" s="3" customFormat="1" ht="14.5" hidden="1" x14ac:dyDescent="0.35">
      <c r="A93" s="14">
        <v>11</v>
      </c>
      <c r="B93" s="14">
        <f t="shared" si="14"/>
        <v>2048</v>
      </c>
      <c r="C93" s="14"/>
      <c r="D93" s="13"/>
      <c r="E93" s="395">
        <v>0</v>
      </c>
      <c r="F93" s="14">
        <f t="shared" si="15"/>
        <v>0</v>
      </c>
      <c r="G93" s="458">
        <v>0</v>
      </c>
      <c r="H93" s="14">
        <f t="shared" si="16"/>
        <v>0</v>
      </c>
      <c r="I93" s="13"/>
      <c r="J93" s="140">
        <v>0</v>
      </c>
      <c r="K93" s="141">
        <f t="shared" si="17"/>
        <v>0</v>
      </c>
      <c r="L93" s="430"/>
      <c r="M93" s="430"/>
      <c r="N93" s="430"/>
      <c r="O93" s="430"/>
    </row>
    <row r="94" spans="1:15" s="3" customFormat="1" ht="14.5" hidden="1" x14ac:dyDescent="0.35">
      <c r="A94" s="14">
        <v>12</v>
      </c>
      <c r="B94" s="14">
        <f t="shared" si="14"/>
        <v>4096</v>
      </c>
      <c r="C94" s="14"/>
      <c r="D94" s="13"/>
      <c r="E94" s="395">
        <v>0</v>
      </c>
      <c r="F94" s="14">
        <f t="shared" si="15"/>
        <v>0</v>
      </c>
      <c r="G94" s="458">
        <v>0</v>
      </c>
      <c r="H94" s="14">
        <f t="shared" si="16"/>
        <v>0</v>
      </c>
      <c r="I94" s="13"/>
      <c r="J94" s="140">
        <v>0</v>
      </c>
      <c r="K94" s="141">
        <f t="shared" si="17"/>
        <v>0</v>
      </c>
      <c r="L94" s="430"/>
      <c r="M94" s="430"/>
      <c r="N94" s="430"/>
      <c r="O94" s="430"/>
    </row>
    <row r="95" spans="1:15" s="3" customFormat="1" ht="14.5" hidden="1" x14ac:dyDescent="0.35">
      <c r="A95" s="14">
        <v>13</v>
      </c>
      <c r="B95" s="14">
        <f t="shared" si="14"/>
        <v>8192</v>
      </c>
      <c r="C95" s="14"/>
      <c r="D95" s="13"/>
      <c r="E95" s="395">
        <v>0</v>
      </c>
      <c r="F95" s="14">
        <f t="shared" si="15"/>
        <v>0</v>
      </c>
      <c r="G95" s="458">
        <v>0</v>
      </c>
      <c r="H95" s="14">
        <f t="shared" si="16"/>
        <v>0</v>
      </c>
      <c r="I95" s="13"/>
      <c r="J95" s="140">
        <v>0</v>
      </c>
      <c r="K95" s="141">
        <f t="shared" si="17"/>
        <v>0</v>
      </c>
      <c r="L95" s="430"/>
      <c r="M95" s="430"/>
      <c r="N95" s="430"/>
      <c r="O95" s="430"/>
    </row>
    <row r="96" spans="1:15" s="3" customFormat="1" ht="14.5" hidden="1" x14ac:dyDescent="0.35">
      <c r="A96" s="14">
        <v>14</v>
      </c>
      <c r="B96" s="14">
        <f t="shared" si="14"/>
        <v>16384</v>
      </c>
      <c r="C96" s="14"/>
      <c r="D96" s="13"/>
      <c r="E96" s="395">
        <v>0</v>
      </c>
      <c r="F96" s="14">
        <f t="shared" si="15"/>
        <v>0</v>
      </c>
      <c r="G96" s="458">
        <v>0</v>
      </c>
      <c r="H96" s="14">
        <f t="shared" si="16"/>
        <v>0</v>
      </c>
      <c r="I96" s="13"/>
      <c r="J96" s="140">
        <v>0</v>
      </c>
      <c r="K96" s="141">
        <f t="shared" si="17"/>
        <v>0</v>
      </c>
      <c r="L96" s="430"/>
      <c r="M96" s="430"/>
      <c r="N96" s="430"/>
      <c r="O96" s="430"/>
    </row>
    <row r="97" spans="1:15" s="3" customFormat="1" ht="15" hidden="1" thickBot="1" x14ac:dyDescent="0.4">
      <c r="A97" s="15">
        <v>15</v>
      </c>
      <c r="B97" s="15">
        <f t="shared" si="14"/>
        <v>32768</v>
      </c>
      <c r="C97" s="15"/>
      <c r="D97" s="16"/>
      <c r="E97" s="399">
        <v>0</v>
      </c>
      <c r="F97" s="14">
        <f t="shared" si="15"/>
        <v>0</v>
      </c>
      <c r="G97" s="459">
        <v>0</v>
      </c>
      <c r="H97" s="14">
        <f t="shared" si="16"/>
        <v>0</v>
      </c>
      <c r="I97" s="13"/>
      <c r="J97" s="142">
        <v>0</v>
      </c>
      <c r="K97" s="141">
        <f>B97*J97</f>
        <v>0</v>
      </c>
      <c r="L97" s="430"/>
      <c r="M97" s="430"/>
      <c r="N97" s="430"/>
      <c r="O97" s="430"/>
    </row>
    <row r="98" spans="1:15" s="3" customFormat="1" ht="14.5" hidden="1" x14ac:dyDescent="0.35">
      <c r="A98" s="13"/>
      <c r="B98" s="13"/>
      <c r="C98" s="13"/>
      <c r="D98" s="11" t="s">
        <v>60</v>
      </c>
      <c r="E98" s="12">
        <f>SUM(F82:F97)</f>
        <v>63</v>
      </c>
      <c r="F98" s="19"/>
      <c r="G98" s="19"/>
      <c r="H98" s="13"/>
      <c r="I98" s="13"/>
      <c r="J98" s="143">
        <f>SUM(K82:K97)</f>
        <v>0</v>
      </c>
      <c r="K98" s="144"/>
      <c r="L98" s="430"/>
      <c r="M98" s="430"/>
      <c r="N98" s="430"/>
      <c r="O98" s="430"/>
    </row>
    <row r="99" spans="1:15" s="3" customFormat="1" ht="14.5" hidden="1" x14ac:dyDescent="0.35">
      <c r="A99" s="13"/>
      <c r="B99" s="13"/>
      <c r="C99" s="13"/>
      <c r="D99" s="11" t="s">
        <v>61</v>
      </c>
      <c r="E99" s="19"/>
      <c r="F99" s="19"/>
      <c r="G99" s="12">
        <f>SUM(H82:H97)</f>
        <v>0</v>
      </c>
      <c r="H99" s="13"/>
      <c r="I99" s="13"/>
      <c r="L99" s="430"/>
      <c r="M99" s="430"/>
      <c r="N99" s="430"/>
      <c r="O99" s="430"/>
    </row>
    <row r="100" spans="1:15" s="3" customFormat="1" ht="14.5" hidden="1" x14ac:dyDescent="0.35">
      <c r="A100" s="13"/>
      <c r="B100" s="13"/>
      <c r="C100" s="13"/>
      <c r="D100" s="11"/>
      <c r="E100" s="19"/>
      <c r="F100" s="19"/>
      <c r="G100" s="12"/>
      <c r="H100" s="13"/>
      <c r="I100" s="13"/>
      <c r="L100" s="430"/>
      <c r="M100" s="430"/>
      <c r="N100" s="430"/>
      <c r="O100" s="430"/>
    </row>
    <row r="101" spans="1:15" s="3" customFormat="1" ht="14.5" hidden="1" x14ac:dyDescent="0.35">
      <c r="A101" s="13"/>
      <c r="B101" s="13"/>
      <c r="C101" s="13"/>
      <c r="D101" s="11"/>
      <c r="E101" s="19"/>
      <c r="F101" s="19"/>
      <c r="G101" s="12"/>
      <c r="H101" s="13"/>
      <c r="I101" s="13"/>
      <c r="L101" s="430"/>
      <c r="M101" s="430"/>
      <c r="N101" s="430"/>
      <c r="O101" s="430"/>
    </row>
    <row r="102" spans="1:15" s="118" customFormat="1" hidden="1" x14ac:dyDescent="0.25">
      <c r="A102" s="122"/>
      <c r="B102" s="122"/>
      <c r="C102" s="122"/>
      <c r="D102" s="122"/>
      <c r="E102" s="122"/>
      <c r="F102" s="122"/>
      <c r="G102" s="122"/>
      <c r="H102" s="122"/>
      <c r="L102" s="429"/>
      <c r="M102" s="429"/>
      <c r="N102" s="429"/>
      <c r="O102" s="429"/>
    </row>
    <row r="103" spans="1:15" s="118" customFormat="1" ht="18.5" x14ac:dyDescent="0.25">
      <c r="A103" s="123" t="s">
        <v>488</v>
      </c>
      <c r="B103" s="123"/>
      <c r="C103" s="123"/>
      <c r="L103" s="429"/>
      <c r="M103" s="429"/>
      <c r="N103" s="429"/>
      <c r="O103" s="429"/>
    </row>
    <row r="104" spans="1:15" ht="14.5" x14ac:dyDescent="0.35">
      <c r="A104" s="612"/>
      <c r="B104" s="612"/>
      <c r="C104" s="612"/>
      <c r="D104" s="612"/>
      <c r="L104" s="417"/>
      <c r="M104" s="417"/>
      <c r="N104" s="417"/>
      <c r="O104" s="417"/>
    </row>
    <row r="105" spans="1:15" s="3" customFormat="1" ht="29" x14ac:dyDescent="0.35">
      <c r="A105" s="4" t="s">
        <v>29</v>
      </c>
      <c r="B105" s="4" t="s">
        <v>30</v>
      </c>
      <c r="C105" s="4" t="s">
        <v>31</v>
      </c>
      <c r="D105" s="4" t="s">
        <v>32</v>
      </c>
      <c r="E105" s="5" t="s">
        <v>33</v>
      </c>
      <c r="F105" s="4" t="s">
        <v>30</v>
      </c>
      <c r="J105" s="138" t="s">
        <v>490</v>
      </c>
      <c r="K105" s="139" t="s">
        <v>30</v>
      </c>
      <c r="L105" s="430"/>
      <c r="M105" s="430"/>
      <c r="N105" s="430"/>
      <c r="O105" s="430"/>
    </row>
    <row r="106" spans="1:15" s="3" customFormat="1" ht="43.5" x14ac:dyDescent="0.35">
      <c r="A106" s="6">
        <v>0</v>
      </c>
      <c r="B106" s="6">
        <f>2^A106</f>
        <v>1</v>
      </c>
      <c r="C106" s="6" t="s">
        <v>34</v>
      </c>
      <c r="D106" s="7" t="s">
        <v>35</v>
      </c>
      <c r="E106" s="386">
        <v>1</v>
      </c>
      <c r="F106" s="8">
        <f>B106*E106</f>
        <v>1</v>
      </c>
      <c r="J106" s="140">
        <v>0</v>
      </c>
      <c r="K106" s="141">
        <f>B106*J106</f>
        <v>0</v>
      </c>
      <c r="L106" s="430"/>
      <c r="M106" s="430"/>
      <c r="N106" s="430"/>
      <c r="O106" s="430"/>
    </row>
    <row r="107" spans="1:15" s="3" customFormat="1" ht="14.5" x14ac:dyDescent="0.35">
      <c r="A107" s="6">
        <v>1</v>
      </c>
      <c r="B107" s="6">
        <f t="shared" ref="B107:B121" si="18">2^A107</f>
        <v>2</v>
      </c>
      <c r="C107" s="6" t="s">
        <v>36</v>
      </c>
      <c r="D107" s="3" t="s">
        <v>466</v>
      </c>
      <c r="E107" s="386">
        <v>1</v>
      </c>
      <c r="F107" s="8">
        <f t="shared" ref="F107:F121" si="19">B107*E107</f>
        <v>2</v>
      </c>
      <c r="J107" s="140">
        <v>0</v>
      </c>
      <c r="K107" s="141">
        <f>B107*J107</f>
        <v>0</v>
      </c>
      <c r="L107" s="430"/>
      <c r="M107" s="430"/>
      <c r="N107" s="430"/>
      <c r="O107" s="430"/>
    </row>
    <row r="108" spans="1:15" s="3" customFormat="1" ht="14.5" x14ac:dyDescent="0.35">
      <c r="A108" s="6">
        <v>2</v>
      </c>
      <c r="B108" s="6">
        <f t="shared" si="18"/>
        <v>4</v>
      </c>
      <c r="C108" s="6" t="s">
        <v>37</v>
      </c>
      <c r="D108" s="3" t="s">
        <v>38</v>
      </c>
      <c r="E108" s="386">
        <v>1</v>
      </c>
      <c r="F108" s="8">
        <f t="shared" si="19"/>
        <v>4</v>
      </c>
      <c r="J108" s="140">
        <v>0</v>
      </c>
      <c r="K108" s="141">
        <f>B108*J108</f>
        <v>0</v>
      </c>
      <c r="L108" s="430"/>
      <c r="M108" s="430"/>
      <c r="N108" s="430"/>
      <c r="O108" s="430"/>
    </row>
    <row r="109" spans="1:15" s="3" customFormat="1" ht="14.5" x14ac:dyDescent="0.35">
      <c r="A109" s="6">
        <v>3</v>
      </c>
      <c r="B109" s="6">
        <f t="shared" si="18"/>
        <v>8</v>
      </c>
      <c r="C109" s="6" t="s">
        <v>39</v>
      </c>
      <c r="D109" s="3" t="s">
        <v>40</v>
      </c>
      <c r="E109" s="389">
        <v>1</v>
      </c>
      <c r="F109" s="8">
        <f t="shared" si="19"/>
        <v>8</v>
      </c>
      <c r="J109" s="140">
        <v>0</v>
      </c>
      <c r="K109" s="141">
        <f>B109*J109</f>
        <v>0</v>
      </c>
      <c r="L109" s="430"/>
      <c r="M109" s="430"/>
      <c r="N109" s="430"/>
      <c r="O109" s="430"/>
    </row>
    <row r="110" spans="1:15" s="3" customFormat="1" ht="14.5" x14ac:dyDescent="0.35">
      <c r="A110" s="6">
        <v>4</v>
      </c>
      <c r="B110" s="6">
        <f t="shared" si="18"/>
        <v>16</v>
      </c>
      <c r="C110" s="6" t="s">
        <v>41</v>
      </c>
      <c r="D110" s="3" t="s">
        <v>467</v>
      </c>
      <c r="E110" s="389">
        <v>0</v>
      </c>
      <c r="F110" s="8">
        <f t="shared" si="19"/>
        <v>0</v>
      </c>
      <c r="J110" s="140">
        <v>0</v>
      </c>
      <c r="K110" s="141">
        <f>B110*J110</f>
        <v>0</v>
      </c>
      <c r="L110" s="430"/>
      <c r="M110" s="430"/>
      <c r="N110" s="430"/>
      <c r="O110" s="430"/>
    </row>
    <row r="111" spans="1:15" s="3" customFormat="1" ht="14.5" x14ac:dyDescent="0.35">
      <c r="A111" s="6">
        <v>5</v>
      </c>
      <c r="B111" s="6">
        <f t="shared" si="18"/>
        <v>32</v>
      </c>
      <c r="C111" s="6" t="s">
        <v>42</v>
      </c>
      <c r="D111" s="3" t="s">
        <v>468</v>
      </c>
      <c r="E111" s="389">
        <v>0</v>
      </c>
      <c r="F111" s="8">
        <f t="shared" si="19"/>
        <v>0</v>
      </c>
      <c r="J111" s="140">
        <v>0</v>
      </c>
      <c r="K111" s="141">
        <f t="shared" ref="K111:K120" si="20">B111*J111</f>
        <v>0</v>
      </c>
      <c r="L111" s="430"/>
      <c r="M111" s="430"/>
      <c r="N111" s="430"/>
      <c r="O111" s="430"/>
    </row>
    <row r="112" spans="1:15" s="3" customFormat="1" ht="14.5" x14ac:dyDescent="0.35">
      <c r="A112" s="6">
        <v>6</v>
      </c>
      <c r="B112" s="6">
        <f t="shared" si="18"/>
        <v>64</v>
      </c>
      <c r="C112" s="6" t="s">
        <v>43</v>
      </c>
      <c r="D112" s="3" t="s">
        <v>469</v>
      </c>
      <c r="E112" s="389">
        <v>1</v>
      </c>
      <c r="F112" s="8">
        <f t="shared" si="19"/>
        <v>64</v>
      </c>
      <c r="J112" s="140">
        <v>0</v>
      </c>
      <c r="K112" s="141">
        <f t="shared" si="20"/>
        <v>0</v>
      </c>
      <c r="L112" s="430"/>
      <c r="M112" s="430"/>
      <c r="N112" s="430"/>
      <c r="O112" s="430"/>
    </row>
    <row r="113" spans="1:15" s="3" customFormat="1" ht="14.5" x14ac:dyDescent="0.35">
      <c r="A113" s="6">
        <v>7</v>
      </c>
      <c r="B113" s="6">
        <f t="shared" si="18"/>
        <v>128</v>
      </c>
      <c r="C113" s="6" t="s">
        <v>44</v>
      </c>
      <c r="D113" s="3" t="s">
        <v>45</v>
      </c>
      <c r="E113" s="389">
        <v>1</v>
      </c>
      <c r="F113" s="8">
        <f t="shared" si="19"/>
        <v>128</v>
      </c>
      <c r="J113" s="140">
        <v>0</v>
      </c>
      <c r="K113" s="141">
        <f t="shared" si="20"/>
        <v>0</v>
      </c>
      <c r="L113" s="519">
        <v>1</v>
      </c>
      <c r="M113" s="430"/>
      <c r="N113" s="430"/>
      <c r="O113" s="430"/>
    </row>
    <row r="114" spans="1:15" s="3" customFormat="1" ht="14.5" x14ac:dyDescent="0.35">
      <c r="A114" s="6">
        <v>8</v>
      </c>
      <c r="B114" s="6">
        <f t="shared" si="18"/>
        <v>256</v>
      </c>
      <c r="C114" s="6" t="s">
        <v>46</v>
      </c>
      <c r="D114" s="3" t="s">
        <v>47</v>
      </c>
      <c r="E114" s="386">
        <v>1</v>
      </c>
      <c r="F114" s="8">
        <f t="shared" si="19"/>
        <v>256</v>
      </c>
      <c r="J114" s="140">
        <v>0</v>
      </c>
      <c r="K114" s="141">
        <f t="shared" si="20"/>
        <v>0</v>
      </c>
      <c r="L114" s="519">
        <v>1</v>
      </c>
      <c r="M114" s="430"/>
      <c r="N114" s="430"/>
      <c r="O114" s="430"/>
    </row>
    <row r="115" spans="1:15" s="3" customFormat="1" ht="14.5" x14ac:dyDescent="0.35">
      <c r="A115" s="6">
        <v>9</v>
      </c>
      <c r="B115" s="6">
        <f t="shared" si="18"/>
        <v>512</v>
      </c>
      <c r="C115" s="6" t="s">
        <v>48</v>
      </c>
      <c r="D115" s="3" t="s">
        <v>470</v>
      </c>
      <c r="E115" s="389">
        <v>1</v>
      </c>
      <c r="F115" s="8">
        <f t="shared" si="19"/>
        <v>512</v>
      </c>
      <c r="J115" s="140">
        <v>0</v>
      </c>
      <c r="K115" s="141">
        <f t="shared" si="20"/>
        <v>0</v>
      </c>
      <c r="L115" s="519">
        <v>1</v>
      </c>
      <c r="M115" s="430"/>
      <c r="N115" s="430"/>
      <c r="O115" s="430"/>
    </row>
    <row r="116" spans="1:15" s="3" customFormat="1" ht="14.5" x14ac:dyDescent="0.35">
      <c r="A116" s="6">
        <v>10</v>
      </c>
      <c r="B116" s="6">
        <f t="shared" si="18"/>
        <v>1024</v>
      </c>
      <c r="C116" s="6" t="s">
        <v>49</v>
      </c>
      <c r="D116" s="3" t="s">
        <v>471</v>
      </c>
      <c r="E116" s="389">
        <v>1</v>
      </c>
      <c r="F116" s="8">
        <f t="shared" si="19"/>
        <v>1024</v>
      </c>
      <c r="J116" s="140">
        <v>0</v>
      </c>
      <c r="K116" s="141">
        <f t="shared" si="20"/>
        <v>0</v>
      </c>
      <c r="L116" s="430"/>
      <c r="M116" s="430"/>
      <c r="N116" s="430"/>
      <c r="O116" s="430"/>
    </row>
    <row r="117" spans="1:15" s="3" customFormat="1" ht="14.5" x14ac:dyDescent="0.35">
      <c r="A117" s="6">
        <v>11</v>
      </c>
      <c r="B117" s="6">
        <f t="shared" si="18"/>
        <v>2048</v>
      </c>
      <c r="C117" s="6" t="s">
        <v>50</v>
      </c>
      <c r="D117" s="3" t="s">
        <v>472</v>
      </c>
      <c r="E117" s="386">
        <v>0</v>
      </c>
      <c r="F117" s="8">
        <f t="shared" si="19"/>
        <v>0</v>
      </c>
      <c r="J117" s="140">
        <v>0</v>
      </c>
      <c r="K117" s="141">
        <f t="shared" si="20"/>
        <v>0</v>
      </c>
      <c r="L117" s="430"/>
      <c r="M117" s="430"/>
      <c r="N117" s="430"/>
      <c r="O117" s="430"/>
    </row>
    <row r="118" spans="1:15" s="3" customFormat="1" ht="14.5" x14ac:dyDescent="0.35">
      <c r="A118" s="6">
        <v>12</v>
      </c>
      <c r="B118" s="6">
        <f t="shared" si="18"/>
        <v>4096</v>
      </c>
      <c r="C118" s="6" t="s">
        <v>51</v>
      </c>
      <c r="D118" s="3" t="s">
        <v>52</v>
      </c>
      <c r="E118" s="386">
        <v>1</v>
      </c>
      <c r="F118" s="8">
        <f t="shared" si="19"/>
        <v>4096</v>
      </c>
      <c r="J118" s="140">
        <v>0</v>
      </c>
      <c r="K118" s="141">
        <f t="shared" si="20"/>
        <v>0</v>
      </c>
      <c r="L118" s="430"/>
      <c r="M118" s="430"/>
      <c r="N118" s="430"/>
      <c r="O118" s="430"/>
    </row>
    <row r="119" spans="1:15" s="3" customFormat="1" ht="14.5" x14ac:dyDescent="0.35">
      <c r="A119" s="6">
        <v>13</v>
      </c>
      <c r="B119" s="6">
        <f t="shared" si="18"/>
        <v>8192</v>
      </c>
      <c r="C119" s="6" t="s">
        <v>53</v>
      </c>
      <c r="D119" s="3" t="s">
        <v>473</v>
      </c>
      <c r="E119" s="386">
        <v>1</v>
      </c>
      <c r="F119" s="8">
        <f t="shared" si="19"/>
        <v>8192</v>
      </c>
      <c r="J119" s="140">
        <v>0</v>
      </c>
      <c r="K119" s="141">
        <f t="shared" si="20"/>
        <v>0</v>
      </c>
      <c r="L119" s="430"/>
      <c r="M119" s="430"/>
      <c r="N119" s="430"/>
      <c r="O119" s="430"/>
    </row>
    <row r="120" spans="1:15" s="3" customFormat="1" ht="14.5" x14ac:dyDescent="0.35">
      <c r="A120" s="6">
        <v>14</v>
      </c>
      <c r="B120" s="6">
        <f t="shared" si="18"/>
        <v>16384</v>
      </c>
      <c r="C120" s="6" t="s">
        <v>54</v>
      </c>
      <c r="D120" s="3" t="s">
        <v>55</v>
      </c>
      <c r="E120" s="389">
        <v>0</v>
      </c>
      <c r="F120" s="8">
        <f t="shared" si="19"/>
        <v>0</v>
      </c>
      <c r="J120" s="140">
        <v>0</v>
      </c>
      <c r="K120" s="141">
        <f t="shared" si="20"/>
        <v>0</v>
      </c>
      <c r="L120" s="430"/>
      <c r="M120" s="430"/>
      <c r="N120" s="430"/>
      <c r="O120" s="430"/>
    </row>
    <row r="121" spans="1:15" s="3" customFormat="1" ht="15" thickBot="1" x14ac:dyDescent="0.4">
      <c r="A121" s="9">
        <v>15</v>
      </c>
      <c r="B121" s="9">
        <f t="shared" si="18"/>
        <v>32768</v>
      </c>
      <c r="C121" s="9" t="s">
        <v>56</v>
      </c>
      <c r="D121" s="10" t="s">
        <v>57</v>
      </c>
      <c r="E121" s="390">
        <v>0</v>
      </c>
      <c r="F121" s="8">
        <f t="shared" si="19"/>
        <v>0</v>
      </c>
      <c r="J121" s="142">
        <v>0</v>
      </c>
      <c r="K121" s="141">
        <f>B121*J121</f>
        <v>0</v>
      </c>
      <c r="L121" s="430"/>
      <c r="M121" s="430"/>
      <c r="N121" s="430"/>
      <c r="O121" s="430"/>
    </row>
    <row r="122" spans="1:15" s="3" customFormat="1" ht="14.5" x14ac:dyDescent="0.35">
      <c r="D122" s="11" t="s">
        <v>474</v>
      </c>
      <c r="E122" s="12">
        <f>SUM(F106:F121)</f>
        <v>14287</v>
      </c>
      <c r="J122" s="143">
        <f>SUM(K106:K121)</f>
        <v>0</v>
      </c>
      <c r="K122" s="144"/>
      <c r="L122" s="430"/>
      <c r="M122" s="430"/>
      <c r="N122" s="430"/>
      <c r="O122" s="430"/>
    </row>
    <row r="123" spans="1:15" s="3" customFormat="1" ht="14.5" x14ac:dyDescent="0.35">
      <c r="D123" s="11"/>
      <c r="E123" s="12"/>
      <c r="L123" s="430"/>
      <c r="M123" s="430"/>
      <c r="N123" s="430"/>
      <c r="O123" s="430"/>
    </row>
    <row r="124" spans="1:15" s="118" customFormat="1" x14ac:dyDescent="0.25">
      <c r="I124" s="119"/>
      <c r="L124" s="429"/>
      <c r="M124" s="429"/>
      <c r="N124" s="429"/>
      <c r="O124" s="429"/>
    </row>
    <row r="125" spans="1:15" s="118" customFormat="1" ht="29" x14ac:dyDescent="0.35">
      <c r="A125" s="126" t="s">
        <v>29</v>
      </c>
      <c r="B125" s="126" t="s">
        <v>30</v>
      </c>
      <c r="C125" s="126" t="s">
        <v>31</v>
      </c>
      <c r="D125" s="126" t="s">
        <v>32</v>
      </c>
      <c r="E125" s="145" t="s">
        <v>33</v>
      </c>
      <c r="F125" s="126" t="s">
        <v>30</v>
      </c>
      <c r="G125" s="120"/>
      <c r="H125" s="121"/>
      <c r="J125" s="138" t="s">
        <v>490</v>
      </c>
      <c r="K125" s="139" t="s">
        <v>30</v>
      </c>
      <c r="L125" s="429"/>
      <c r="M125" s="429"/>
      <c r="N125" s="429"/>
      <c r="O125" s="429"/>
    </row>
    <row r="126" spans="1:15" s="118" customFormat="1" ht="14.5" x14ac:dyDescent="0.35">
      <c r="A126" s="127">
        <v>0</v>
      </c>
      <c r="B126" s="127">
        <f>2^A126</f>
        <v>1</v>
      </c>
      <c r="C126" s="127" t="s">
        <v>483</v>
      </c>
      <c r="D126" s="128" t="s">
        <v>484</v>
      </c>
      <c r="E126" s="389">
        <v>0</v>
      </c>
      <c r="F126" s="129">
        <f>B126*E126</f>
        <v>0</v>
      </c>
      <c r="G126" s="120"/>
      <c r="H126" s="120"/>
      <c r="J126" s="140">
        <v>0</v>
      </c>
      <c r="K126" s="141">
        <f>B126*J126</f>
        <v>0</v>
      </c>
      <c r="L126" s="429"/>
      <c r="M126" s="429"/>
      <c r="N126" s="429"/>
      <c r="O126" s="429"/>
    </row>
    <row r="127" spans="1:15" s="118" customFormat="1" ht="14.5" x14ac:dyDescent="0.35">
      <c r="A127" s="127">
        <v>1</v>
      </c>
      <c r="B127" s="127">
        <f t="shared" ref="B127:B141" si="21">2^A127</f>
        <v>2</v>
      </c>
      <c r="C127" s="127" t="s">
        <v>664</v>
      </c>
      <c r="D127" s="128" t="s">
        <v>665</v>
      </c>
      <c r="E127" s="267" t="str">
        <f>IF('Steering Angle'!B90=180,"1","0")</f>
        <v>1</v>
      </c>
      <c r="F127" s="129">
        <f t="shared" ref="F127:F141" si="22">B127*E127</f>
        <v>2</v>
      </c>
      <c r="G127" s="120"/>
      <c r="H127" s="120"/>
      <c r="J127" s="140">
        <v>0</v>
      </c>
      <c r="K127" s="141">
        <f>B127*J127</f>
        <v>0</v>
      </c>
      <c r="L127" s="429"/>
      <c r="M127" s="429"/>
      <c r="N127" s="429"/>
      <c r="O127" s="429"/>
    </row>
    <row r="128" spans="1:15" s="118" customFormat="1" ht="14.5" x14ac:dyDescent="0.35">
      <c r="A128" s="129">
        <v>2</v>
      </c>
      <c r="B128" s="129">
        <f t="shared" si="21"/>
        <v>4</v>
      </c>
      <c r="C128" s="129" t="s">
        <v>666</v>
      </c>
      <c r="D128" s="133" t="s">
        <v>639</v>
      </c>
      <c r="E128" s="391">
        <v>0</v>
      </c>
      <c r="F128" s="129">
        <f t="shared" si="22"/>
        <v>0</v>
      </c>
      <c r="G128" s="120"/>
      <c r="H128" s="120"/>
      <c r="J128" s="140">
        <v>0</v>
      </c>
      <c r="K128" s="141">
        <f>B128*J128</f>
        <v>0</v>
      </c>
      <c r="L128" s="429"/>
      <c r="M128" s="429"/>
      <c r="N128" s="429"/>
      <c r="O128" s="429"/>
    </row>
    <row r="129" spans="1:15" s="118" customFormat="1" ht="14.5" x14ac:dyDescent="0.35">
      <c r="A129" s="129">
        <v>3</v>
      </c>
      <c r="B129" s="129">
        <f t="shared" si="21"/>
        <v>8</v>
      </c>
      <c r="C129" s="129" t="s">
        <v>736</v>
      </c>
      <c r="D129" s="133" t="s">
        <v>667</v>
      </c>
      <c r="E129" s="391">
        <v>0</v>
      </c>
      <c r="F129" s="129">
        <f t="shared" si="22"/>
        <v>0</v>
      </c>
      <c r="G129" s="120"/>
      <c r="H129" s="120"/>
      <c r="J129" s="140">
        <v>0</v>
      </c>
      <c r="K129" s="141">
        <f>B129*J129</f>
        <v>0</v>
      </c>
      <c r="L129" s="429"/>
      <c r="M129" s="429"/>
      <c r="N129" s="429"/>
      <c r="O129" s="429"/>
    </row>
    <row r="130" spans="1:15" s="118" customFormat="1" ht="14.5" x14ac:dyDescent="0.35">
      <c r="A130" s="129">
        <v>4</v>
      </c>
      <c r="B130" s="129">
        <f t="shared" si="21"/>
        <v>16</v>
      </c>
      <c r="C130" s="129"/>
      <c r="D130" s="133"/>
      <c r="E130" s="391">
        <v>0</v>
      </c>
      <c r="F130" s="129">
        <f t="shared" si="22"/>
        <v>0</v>
      </c>
      <c r="G130" s="120"/>
      <c r="H130" s="120"/>
      <c r="J130" s="140">
        <v>0</v>
      </c>
      <c r="K130" s="141">
        <f>B130*J130</f>
        <v>0</v>
      </c>
      <c r="L130" s="429"/>
      <c r="M130" s="429"/>
      <c r="N130" s="429"/>
      <c r="O130" s="429"/>
    </row>
    <row r="131" spans="1:15" s="118" customFormat="1" ht="14.5" x14ac:dyDescent="0.35">
      <c r="A131" s="129">
        <v>5</v>
      </c>
      <c r="B131" s="129">
        <f t="shared" si="21"/>
        <v>32</v>
      </c>
      <c r="C131" s="129"/>
      <c r="D131" s="133"/>
      <c r="E131" s="391">
        <v>0</v>
      </c>
      <c r="F131" s="129">
        <f t="shared" si="22"/>
        <v>0</v>
      </c>
      <c r="G131" s="120"/>
      <c r="H131" s="120"/>
      <c r="J131" s="140">
        <v>0</v>
      </c>
      <c r="K131" s="141">
        <f t="shared" ref="K131:K140" si="23">B131*J131</f>
        <v>0</v>
      </c>
      <c r="L131" s="429"/>
      <c r="M131" s="429"/>
      <c r="N131" s="429"/>
      <c r="O131" s="429"/>
    </row>
    <row r="132" spans="1:15" s="118" customFormat="1" ht="14.5" x14ac:dyDescent="0.35">
      <c r="A132" s="129">
        <v>6</v>
      </c>
      <c r="B132" s="129">
        <f t="shared" si="21"/>
        <v>64</v>
      </c>
      <c r="C132" s="129"/>
      <c r="D132" s="133"/>
      <c r="E132" s="391">
        <v>0</v>
      </c>
      <c r="F132" s="129">
        <f t="shared" si="22"/>
        <v>0</v>
      </c>
      <c r="G132" s="120"/>
      <c r="H132" s="120"/>
      <c r="J132" s="140">
        <v>0</v>
      </c>
      <c r="K132" s="141">
        <f t="shared" si="23"/>
        <v>0</v>
      </c>
      <c r="L132" s="429"/>
      <c r="M132" s="429"/>
      <c r="N132" s="429"/>
      <c r="O132" s="429"/>
    </row>
    <row r="133" spans="1:15" s="118" customFormat="1" ht="14.5" x14ac:dyDescent="0.35">
      <c r="A133" s="129">
        <v>7</v>
      </c>
      <c r="B133" s="129">
        <f t="shared" si="21"/>
        <v>128</v>
      </c>
      <c r="C133" s="129"/>
      <c r="D133" s="133"/>
      <c r="E133" s="391">
        <v>0</v>
      </c>
      <c r="F133" s="129">
        <f t="shared" si="22"/>
        <v>0</v>
      </c>
      <c r="G133" s="120"/>
      <c r="H133" s="120"/>
      <c r="J133" s="140">
        <v>0</v>
      </c>
      <c r="K133" s="141">
        <f t="shared" si="23"/>
        <v>0</v>
      </c>
      <c r="L133" s="429"/>
      <c r="M133" s="429"/>
      <c r="N133" s="429"/>
      <c r="O133" s="429"/>
    </row>
    <row r="134" spans="1:15" s="118" customFormat="1" ht="14.5" x14ac:dyDescent="0.35">
      <c r="A134" s="129">
        <v>8</v>
      </c>
      <c r="B134" s="129">
        <f t="shared" si="21"/>
        <v>256</v>
      </c>
      <c r="C134" s="129"/>
      <c r="D134" s="133"/>
      <c r="E134" s="391">
        <v>0</v>
      </c>
      <c r="F134" s="129">
        <f t="shared" si="22"/>
        <v>0</v>
      </c>
      <c r="G134" s="120"/>
      <c r="H134" s="120"/>
      <c r="J134" s="140">
        <v>0</v>
      </c>
      <c r="K134" s="141">
        <f t="shared" si="23"/>
        <v>0</v>
      </c>
      <c r="L134" s="429"/>
      <c r="M134" s="429"/>
      <c r="N134" s="429"/>
      <c r="O134" s="429"/>
    </row>
    <row r="135" spans="1:15" s="118" customFormat="1" ht="14.5" x14ac:dyDescent="0.35">
      <c r="A135" s="129">
        <v>9</v>
      </c>
      <c r="B135" s="129">
        <f t="shared" si="21"/>
        <v>512</v>
      </c>
      <c r="C135" s="129"/>
      <c r="D135" s="133"/>
      <c r="E135" s="391">
        <v>0</v>
      </c>
      <c r="F135" s="129">
        <f t="shared" si="22"/>
        <v>0</v>
      </c>
      <c r="G135" s="120"/>
      <c r="H135" s="120"/>
      <c r="J135" s="140">
        <v>0</v>
      </c>
      <c r="K135" s="141">
        <f t="shared" si="23"/>
        <v>0</v>
      </c>
      <c r="L135" s="429"/>
      <c r="M135" s="429"/>
      <c r="N135" s="429"/>
      <c r="O135" s="429"/>
    </row>
    <row r="136" spans="1:15" s="118" customFormat="1" ht="14.5" x14ac:dyDescent="0.35">
      <c r="A136" s="129">
        <v>10</v>
      </c>
      <c r="B136" s="129">
        <f t="shared" si="21"/>
        <v>1024</v>
      </c>
      <c r="C136" s="129"/>
      <c r="D136" s="133"/>
      <c r="E136" s="391">
        <v>0</v>
      </c>
      <c r="F136" s="129">
        <f t="shared" si="22"/>
        <v>0</v>
      </c>
      <c r="G136" s="120"/>
      <c r="H136" s="120"/>
      <c r="J136" s="140">
        <v>0</v>
      </c>
      <c r="K136" s="141">
        <f t="shared" si="23"/>
        <v>0</v>
      </c>
      <c r="L136" s="429"/>
      <c r="M136" s="429"/>
      <c r="N136" s="429"/>
      <c r="O136" s="429"/>
    </row>
    <row r="137" spans="1:15" s="118" customFormat="1" ht="14.5" x14ac:dyDescent="0.35">
      <c r="A137" s="129">
        <v>11</v>
      </c>
      <c r="B137" s="129">
        <f t="shared" si="21"/>
        <v>2048</v>
      </c>
      <c r="C137" s="129"/>
      <c r="D137" s="133"/>
      <c r="E137" s="391">
        <v>0</v>
      </c>
      <c r="F137" s="129">
        <f t="shared" si="22"/>
        <v>0</v>
      </c>
      <c r="G137" s="120"/>
      <c r="H137" s="120"/>
      <c r="J137" s="140">
        <v>0</v>
      </c>
      <c r="K137" s="141">
        <f t="shared" si="23"/>
        <v>0</v>
      </c>
      <c r="L137" s="429"/>
      <c r="M137" s="429"/>
      <c r="N137" s="429"/>
      <c r="O137" s="429"/>
    </row>
    <row r="138" spans="1:15" s="118" customFormat="1" ht="14.5" x14ac:dyDescent="0.35">
      <c r="A138" s="129">
        <v>12</v>
      </c>
      <c r="B138" s="129">
        <f t="shared" si="21"/>
        <v>4096</v>
      </c>
      <c r="C138" s="129"/>
      <c r="D138" s="133"/>
      <c r="E138" s="391">
        <v>0</v>
      </c>
      <c r="F138" s="129">
        <f t="shared" si="22"/>
        <v>0</v>
      </c>
      <c r="G138" s="120"/>
      <c r="H138" s="120"/>
      <c r="J138" s="140">
        <v>0</v>
      </c>
      <c r="K138" s="141">
        <f t="shared" si="23"/>
        <v>0</v>
      </c>
      <c r="L138" s="429"/>
      <c r="M138" s="429"/>
      <c r="N138" s="429"/>
      <c r="O138" s="429"/>
    </row>
    <row r="139" spans="1:15" s="118" customFormat="1" ht="14.5" x14ac:dyDescent="0.35">
      <c r="A139" s="129">
        <v>13</v>
      </c>
      <c r="B139" s="129">
        <f t="shared" si="21"/>
        <v>8192</v>
      </c>
      <c r="C139" s="129"/>
      <c r="D139" s="133"/>
      <c r="E139" s="391">
        <v>0</v>
      </c>
      <c r="F139" s="129">
        <f t="shared" si="22"/>
        <v>0</v>
      </c>
      <c r="G139" s="120"/>
      <c r="H139" s="120"/>
      <c r="J139" s="140">
        <v>0</v>
      </c>
      <c r="K139" s="141">
        <f t="shared" si="23"/>
        <v>0</v>
      </c>
      <c r="L139" s="429"/>
      <c r="M139" s="429"/>
      <c r="N139" s="429"/>
      <c r="O139" s="429"/>
    </row>
    <row r="140" spans="1:15" s="118" customFormat="1" ht="14.5" x14ac:dyDescent="0.35">
      <c r="A140" s="129">
        <v>14</v>
      </c>
      <c r="B140" s="129">
        <f t="shared" si="21"/>
        <v>16384</v>
      </c>
      <c r="C140" s="129"/>
      <c r="D140" s="133"/>
      <c r="E140" s="391">
        <v>0</v>
      </c>
      <c r="F140" s="129">
        <f t="shared" si="22"/>
        <v>0</v>
      </c>
      <c r="G140" s="120"/>
      <c r="H140" s="120"/>
      <c r="J140" s="140">
        <v>0</v>
      </c>
      <c r="K140" s="141">
        <f t="shared" si="23"/>
        <v>0</v>
      </c>
      <c r="L140" s="429"/>
      <c r="M140" s="429"/>
      <c r="N140" s="429"/>
      <c r="O140" s="429"/>
    </row>
    <row r="141" spans="1:15" s="118" customFormat="1" ht="15" thickBot="1" x14ac:dyDescent="0.4">
      <c r="A141" s="130">
        <v>15</v>
      </c>
      <c r="B141" s="130">
        <f t="shared" si="21"/>
        <v>32768</v>
      </c>
      <c r="C141" s="130"/>
      <c r="D141" s="134"/>
      <c r="E141" s="392">
        <v>0</v>
      </c>
      <c r="F141" s="130">
        <f t="shared" si="22"/>
        <v>0</v>
      </c>
      <c r="G141" s="120"/>
      <c r="H141" s="120"/>
      <c r="J141" s="142">
        <v>0</v>
      </c>
      <c r="K141" s="141">
        <f>B141*J141</f>
        <v>0</v>
      </c>
      <c r="L141" s="429"/>
      <c r="M141" s="429"/>
      <c r="N141" s="429"/>
      <c r="O141" s="429"/>
    </row>
    <row r="142" spans="1:15" s="118" customFormat="1" ht="14.5" x14ac:dyDescent="0.35">
      <c r="A142" s="128"/>
      <c r="B142" s="128"/>
      <c r="C142" s="128"/>
      <c r="D142" s="131" t="s">
        <v>485</v>
      </c>
      <c r="E142" s="132">
        <f>SUM(F126:F141)</f>
        <v>2</v>
      </c>
      <c r="F142" s="128"/>
      <c r="G142" s="120"/>
      <c r="H142" s="120"/>
      <c r="J142" s="143">
        <f>SUM(K126:K141)</f>
        <v>0</v>
      </c>
      <c r="K142" s="144"/>
      <c r="L142" s="429"/>
      <c r="M142" s="429"/>
      <c r="N142" s="429"/>
      <c r="O142" s="429"/>
    </row>
    <row r="143" spans="1:15" s="118" customFormat="1" x14ac:dyDescent="0.25">
      <c r="L143" s="429"/>
      <c r="M143" s="429"/>
      <c r="N143" s="429"/>
      <c r="O143" s="429"/>
    </row>
    <row r="144" spans="1:15" s="3" customFormat="1" ht="14.5" x14ac:dyDescent="0.35">
      <c r="D144" s="11"/>
      <c r="E144" s="12"/>
      <c r="L144" s="430"/>
      <c r="M144" s="430"/>
      <c r="N144" s="430"/>
      <c r="O144" s="430"/>
    </row>
    <row r="145" spans="1:15" s="3" customFormat="1" ht="14.25" customHeight="1" x14ac:dyDescent="0.35">
      <c r="A145" s="4" t="s">
        <v>29</v>
      </c>
      <c r="B145" s="4" t="s">
        <v>30</v>
      </c>
      <c r="C145" s="4" t="s">
        <v>31</v>
      </c>
      <c r="D145" s="4" t="s">
        <v>32</v>
      </c>
      <c r="E145" s="5" t="s">
        <v>58</v>
      </c>
      <c r="F145" s="4" t="s">
        <v>30</v>
      </c>
      <c r="G145" s="5" t="s">
        <v>59</v>
      </c>
      <c r="H145" s="4" t="s">
        <v>30</v>
      </c>
      <c r="J145" s="138" t="s">
        <v>490</v>
      </c>
      <c r="K145" s="139" t="s">
        <v>30</v>
      </c>
      <c r="L145" s="430"/>
      <c r="M145" s="430"/>
      <c r="N145" s="430"/>
      <c r="O145" s="430"/>
    </row>
    <row r="146" spans="1:15" s="3" customFormat="1" ht="14.25" customHeight="1" x14ac:dyDescent="0.35">
      <c r="A146" s="6">
        <v>0</v>
      </c>
      <c r="B146" s="6">
        <f>2^A146</f>
        <v>1</v>
      </c>
      <c r="C146" s="6" t="s">
        <v>475</v>
      </c>
      <c r="D146" s="7" t="s">
        <v>476</v>
      </c>
      <c r="E146" s="386">
        <v>1</v>
      </c>
      <c r="F146" s="8">
        <f>B146*E146</f>
        <v>1</v>
      </c>
      <c r="G146" s="454">
        <v>0</v>
      </c>
      <c r="H146" s="8">
        <f>B146*G146</f>
        <v>0</v>
      </c>
      <c r="J146" s="140">
        <v>0</v>
      </c>
      <c r="K146" s="141">
        <f>B146*J146</f>
        <v>0</v>
      </c>
      <c r="L146" s="430"/>
      <c r="M146" s="430"/>
      <c r="N146" s="430"/>
      <c r="O146" s="430"/>
    </row>
    <row r="147" spans="1:15" s="3" customFormat="1" ht="14.25" customHeight="1" x14ac:dyDescent="0.35">
      <c r="A147" s="6">
        <v>1</v>
      </c>
      <c r="B147" s="6">
        <f t="shared" ref="B147:B161" si="24">2^A147</f>
        <v>2</v>
      </c>
      <c r="C147" s="6" t="s">
        <v>477</v>
      </c>
      <c r="D147" s="7" t="s">
        <v>478</v>
      </c>
      <c r="E147" s="386">
        <v>1</v>
      </c>
      <c r="F147" s="8">
        <f t="shared" ref="F147:F161" si="25">B147*E147</f>
        <v>2</v>
      </c>
      <c r="G147" s="454">
        <v>0</v>
      </c>
      <c r="H147" s="8">
        <f t="shared" ref="H147:H161" si="26">B147*G147</f>
        <v>0</v>
      </c>
      <c r="J147" s="140">
        <v>0</v>
      </c>
      <c r="K147" s="141">
        <f>B147*J147</f>
        <v>0</v>
      </c>
      <c r="L147" s="430"/>
      <c r="M147" s="430"/>
      <c r="N147" s="430"/>
      <c r="O147" s="430"/>
    </row>
    <row r="148" spans="1:15" s="3" customFormat="1" ht="14.25" customHeight="1" x14ac:dyDescent="0.35">
      <c r="A148" s="6">
        <v>2</v>
      </c>
      <c r="B148" s="6">
        <f t="shared" si="24"/>
        <v>4</v>
      </c>
      <c r="C148" s="6" t="s">
        <v>479</v>
      </c>
      <c r="D148" s="3" t="s">
        <v>480</v>
      </c>
      <c r="E148" s="386">
        <v>1</v>
      </c>
      <c r="F148" s="8">
        <f t="shared" si="25"/>
        <v>4</v>
      </c>
      <c r="G148" s="454">
        <v>0</v>
      </c>
      <c r="H148" s="8">
        <f t="shared" si="26"/>
        <v>0</v>
      </c>
      <c r="J148" s="140">
        <v>0</v>
      </c>
      <c r="K148" s="141">
        <f>B148*J148</f>
        <v>0</v>
      </c>
      <c r="L148" s="430"/>
      <c r="M148" s="430"/>
      <c r="N148" s="430"/>
      <c r="O148" s="430"/>
    </row>
    <row r="149" spans="1:15" s="3" customFormat="1" ht="14.25" customHeight="1" x14ac:dyDescent="0.35">
      <c r="A149" s="6">
        <v>3</v>
      </c>
      <c r="B149" s="6">
        <f t="shared" si="24"/>
        <v>8</v>
      </c>
      <c r="C149" s="6" t="s">
        <v>481</v>
      </c>
      <c r="D149" s="3" t="s">
        <v>482</v>
      </c>
      <c r="E149" s="386">
        <v>1</v>
      </c>
      <c r="F149" s="8">
        <f t="shared" si="25"/>
        <v>8</v>
      </c>
      <c r="G149" s="454">
        <v>0</v>
      </c>
      <c r="H149" s="8">
        <f t="shared" si="26"/>
        <v>0</v>
      </c>
      <c r="J149" s="140">
        <v>0</v>
      </c>
      <c r="K149" s="141">
        <f>B149*J149</f>
        <v>0</v>
      </c>
      <c r="L149" s="430"/>
      <c r="M149" s="430"/>
      <c r="N149" s="430"/>
      <c r="O149" s="430"/>
    </row>
    <row r="150" spans="1:15" s="3" customFormat="1" ht="14.25" customHeight="1" x14ac:dyDescent="0.35">
      <c r="A150" s="8">
        <v>4</v>
      </c>
      <c r="B150" s="8">
        <f t="shared" si="24"/>
        <v>16</v>
      </c>
      <c r="C150" s="8"/>
      <c r="D150" s="135"/>
      <c r="E150" s="393">
        <v>0</v>
      </c>
      <c r="F150" s="8">
        <f t="shared" si="25"/>
        <v>0</v>
      </c>
      <c r="G150" s="8">
        <v>0</v>
      </c>
      <c r="H150" s="8">
        <f t="shared" si="26"/>
        <v>0</v>
      </c>
      <c r="J150" s="140">
        <v>0</v>
      </c>
      <c r="K150" s="141">
        <f>B150*J150</f>
        <v>0</v>
      </c>
      <c r="L150" s="430"/>
      <c r="M150" s="430"/>
      <c r="N150" s="430"/>
      <c r="O150" s="430"/>
    </row>
    <row r="151" spans="1:15" s="3" customFormat="1" ht="14.25" customHeight="1" x14ac:dyDescent="0.35">
      <c r="A151" s="8">
        <v>5</v>
      </c>
      <c r="B151" s="8">
        <f t="shared" si="24"/>
        <v>32</v>
      </c>
      <c r="C151" s="8"/>
      <c r="D151" s="135"/>
      <c r="E151" s="393">
        <v>0</v>
      </c>
      <c r="F151" s="8">
        <f t="shared" si="25"/>
        <v>0</v>
      </c>
      <c r="G151" s="8">
        <v>0</v>
      </c>
      <c r="H151" s="8">
        <f t="shared" si="26"/>
        <v>0</v>
      </c>
      <c r="J151" s="140">
        <v>0</v>
      </c>
      <c r="K151" s="141">
        <f t="shared" ref="K151:K160" si="27">B151*J151</f>
        <v>0</v>
      </c>
      <c r="L151" s="430"/>
      <c r="M151" s="430"/>
      <c r="N151" s="430"/>
      <c r="O151" s="430"/>
    </row>
    <row r="152" spans="1:15" s="3" customFormat="1" ht="14.25" customHeight="1" x14ac:dyDescent="0.35">
      <c r="A152" s="8">
        <v>6</v>
      </c>
      <c r="B152" s="8">
        <f t="shared" si="24"/>
        <v>64</v>
      </c>
      <c r="C152" s="8"/>
      <c r="D152" s="135"/>
      <c r="E152" s="393">
        <v>0</v>
      </c>
      <c r="F152" s="8">
        <f t="shared" si="25"/>
        <v>0</v>
      </c>
      <c r="G152" s="8">
        <v>0</v>
      </c>
      <c r="H152" s="8">
        <f t="shared" si="26"/>
        <v>0</v>
      </c>
      <c r="J152" s="140">
        <v>0</v>
      </c>
      <c r="K152" s="141">
        <f t="shared" si="27"/>
        <v>0</v>
      </c>
      <c r="L152" s="430"/>
      <c r="M152" s="430"/>
      <c r="N152" s="430"/>
      <c r="O152" s="430"/>
    </row>
    <row r="153" spans="1:15" s="3" customFormat="1" ht="14.25" customHeight="1" x14ac:dyDescent="0.35">
      <c r="A153" s="8">
        <v>7</v>
      </c>
      <c r="B153" s="8">
        <f t="shared" si="24"/>
        <v>128</v>
      </c>
      <c r="C153" s="8"/>
      <c r="D153" s="135"/>
      <c r="E153" s="393">
        <v>0</v>
      </c>
      <c r="F153" s="8">
        <f t="shared" si="25"/>
        <v>0</v>
      </c>
      <c r="G153" s="8">
        <v>0</v>
      </c>
      <c r="H153" s="8">
        <f t="shared" si="26"/>
        <v>0</v>
      </c>
      <c r="J153" s="140">
        <v>0</v>
      </c>
      <c r="K153" s="141">
        <f t="shared" si="27"/>
        <v>0</v>
      </c>
      <c r="L153" s="430"/>
      <c r="M153" s="430"/>
      <c r="N153" s="430"/>
      <c r="O153" s="430"/>
    </row>
    <row r="154" spans="1:15" s="3" customFormat="1" ht="14.25" customHeight="1" x14ac:dyDescent="0.35">
      <c r="A154" s="8">
        <v>8</v>
      </c>
      <c r="B154" s="8">
        <f t="shared" si="24"/>
        <v>256</v>
      </c>
      <c r="C154" s="8"/>
      <c r="D154" s="135"/>
      <c r="E154" s="393">
        <v>0</v>
      </c>
      <c r="F154" s="8">
        <f t="shared" si="25"/>
        <v>0</v>
      </c>
      <c r="G154" s="8">
        <v>0</v>
      </c>
      <c r="H154" s="8">
        <f t="shared" si="26"/>
        <v>0</v>
      </c>
      <c r="J154" s="140">
        <v>0</v>
      </c>
      <c r="K154" s="141">
        <f t="shared" si="27"/>
        <v>0</v>
      </c>
      <c r="L154" s="430"/>
      <c r="M154" s="430"/>
      <c r="N154" s="430"/>
      <c r="O154" s="430"/>
    </row>
    <row r="155" spans="1:15" s="3" customFormat="1" ht="14.25" customHeight="1" x14ac:dyDescent="0.35">
      <c r="A155" s="8">
        <v>9</v>
      </c>
      <c r="B155" s="8">
        <f t="shared" si="24"/>
        <v>512</v>
      </c>
      <c r="C155" s="8"/>
      <c r="D155" s="135"/>
      <c r="E155" s="393">
        <v>0</v>
      </c>
      <c r="F155" s="8">
        <f t="shared" si="25"/>
        <v>0</v>
      </c>
      <c r="G155" s="8">
        <v>0</v>
      </c>
      <c r="H155" s="8">
        <f t="shared" si="26"/>
        <v>0</v>
      </c>
      <c r="J155" s="140">
        <v>0</v>
      </c>
      <c r="K155" s="141">
        <f t="shared" si="27"/>
        <v>0</v>
      </c>
      <c r="L155" s="430"/>
      <c r="M155" s="430"/>
      <c r="N155" s="430"/>
      <c r="O155" s="430"/>
    </row>
    <row r="156" spans="1:15" s="3" customFormat="1" ht="14.25" customHeight="1" x14ac:dyDescent="0.35">
      <c r="A156" s="8">
        <v>10</v>
      </c>
      <c r="B156" s="8">
        <f t="shared" si="24"/>
        <v>1024</v>
      </c>
      <c r="C156" s="8"/>
      <c r="D156" s="135"/>
      <c r="E156" s="393">
        <v>0</v>
      </c>
      <c r="F156" s="8">
        <f t="shared" si="25"/>
        <v>0</v>
      </c>
      <c r="G156" s="8">
        <v>0</v>
      </c>
      <c r="H156" s="8">
        <f t="shared" si="26"/>
        <v>0</v>
      </c>
      <c r="J156" s="140">
        <v>0</v>
      </c>
      <c r="K156" s="141">
        <f t="shared" si="27"/>
        <v>0</v>
      </c>
      <c r="L156" s="430"/>
      <c r="M156" s="430"/>
      <c r="N156" s="430"/>
      <c r="O156" s="430"/>
    </row>
    <row r="157" spans="1:15" s="3" customFormat="1" ht="14.25" customHeight="1" x14ac:dyDescent="0.35">
      <c r="A157" s="8">
        <v>11</v>
      </c>
      <c r="B157" s="8">
        <f t="shared" si="24"/>
        <v>2048</v>
      </c>
      <c r="C157" s="8"/>
      <c r="D157" s="135"/>
      <c r="E157" s="393">
        <v>0</v>
      </c>
      <c r="F157" s="8">
        <f t="shared" si="25"/>
        <v>0</v>
      </c>
      <c r="G157" s="8">
        <v>0</v>
      </c>
      <c r="H157" s="8">
        <f t="shared" si="26"/>
        <v>0</v>
      </c>
      <c r="J157" s="140">
        <v>0</v>
      </c>
      <c r="K157" s="141">
        <f t="shared" si="27"/>
        <v>0</v>
      </c>
      <c r="L157" s="430"/>
      <c r="M157" s="430"/>
      <c r="N157" s="430"/>
      <c r="O157" s="430"/>
    </row>
    <row r="158" spans="1:15" s="3" customFormat="1" ht="14.25" customHeight="1" x14ac:dyDescent="0.35">
      <c r="A158" s="8">
        <v>12</v>
      </c>
      <c r="B158" s="8">
        <f t="shared" si="24"/>
        <v>4096</v>
      </c>
      <c r="C158" s="8"/>
      <c r="D158" s="135"/>
      <c r="E158" s="393">
        <v>0</v>
      </c>
      <c r="F158" s="8">
        <f t="shared" si="25"/>
        <v>0</v>
      </c>
      <c r="G158" s="8">
        <v>0</v>
      </c>
      <c r="H158" s="8">
        <f t="shared" si="26"/>
        <v>0</v>
      </c>
      <c r="J158" s="140">
        <v>0</v>
      </c>
      <c r="K158" s="141">
        <f t="shared" si="27"/>
        <v>0</v>
      </c>
      <c r="L158" s="430"/>
      <c r="M158" s="430"/>
      <c r="N158" s="430"/>
      <c r="O158" s="430"/>
    </row>
    <row r="159" spans="1:15" s="3" customFormat="1" ht="14.25" customHeight="1" x14ac:dyDescent="0.35">
      <c r="A159" s="8">
        <v>13</v>
      </c>
      <c r="B159" s="8">
        <f t="shared" si="24"/>
        <v>8192</v>
      </c>
      <c r="C159" s="8"/>
      <c r="D159" s="135"/>
      <c r="E159" s="393">
        <v>0</v>
      </c>
      <c r="F159" s="8">
        <f t="shared" si="25"/>
        <v>0</v>
      </c>
      <c r="G159" s="8">
        <v>0</v>
      </c>
      <c r="H159" s="8">
        <f t="shared" si="26"/>
        <v>0</v>
      </c>
      <c r="J159" s="140">
        <v>0</v>
      </c>
      <c r="K159" s="141">
        <f t="shared" si="27"/>
        <v>0</v>
      </c>
      <c r="L159" s="430"/>
      <c r="M159" s="430"/>
      <c r="N159" s="430"/>
      <c r="O159" s="430"/>
    </row>
    <row r="160" spans="1:15" s="3" customFormat="1" ht="14.25" customHeight="1" x14ac:dyDescent="0.35">
      <c r="A160" s="8">
        <v>14</v>
      </c>
      <c r="B160" s="8">
        <f t="shared" si="24"/>
        <v>16384</v>
      </c>
      <c r="C160" s="8"/>
      <c r="D160" s="135"/>
      <c r="E160" s="393">
        <v>0</v>
      </c>
      <c r="F160" s="8">
        <f t="shared" si="25"/>
        <v>0</v>
      </c>
      <c r="G160" s="8">
        <v>0</v>
      </c>
      <c r="H160" s="8">
        <f t="shared" si="26"/>
        <v>0</v>
      </c>
      <c r="J160" s="140">
        <v>0</v>
      </c>
      <c r="K160" s="141">
        <f t="shared" si="27"/>
        <v>0</v>
      </c>
      <c r="L160" s="430"/>
      <c r="M160" s="430"/>
      <c r="N160" s="430"/>
      <c r="O160" s="430"/>
    </row>
    <row r="161" spans="1:15" s="3" customFormat="1" ht="14.25" customHeight="1" thickBot="1" x14ac:dyDescent="0.4">
      <c r="A161" s="152">
        <v>15</v>
      </c>
      <c r="B161" s="152">
        <f t="shared" si="24"/>
        <v>32768</v>
      </c>
      <c r="C161" s="9"/>
      <c r="D161" s="10"/>
      <c r="E161" s="394">
        <v>0</v>
      </c>
      <c r="F161" s="8">
        <f t="shared" si="25"/>
        <v>0</v>
      </c>
      <c r="G161" s="152">
        <v>0</v>
      </c>
      <c r="H161" s="8">
        <f t="shared" si="26"/>
        <v>0</v>
      </c>
      <c r="J161" s="142">
        <v>0</v>
      </c>
      <c r="K161" s="141">
        <f>B161*J161</f>
        <v>0</v>
      </c>
      <c r="L161" s="430"/>
      <c r="M161" s="430"/>
      <c r="N161" s="430"/>
      <c r="O161" s="430"/>
    </row>
    <row r="162" spans="1:15" s="3" customFormat="1" ht="14.25" customHeight="1" x14ac:dyDescent="0.35">
      <c r="D162" s="11" t="s">
        <v>60</v>
      </c>
      <c r="E162" s="12">
        <f>SUM(F146:F161)</f>
        <v>15</v>
      </c>
      <c r="J162" s="143">
        <f>SUM(K146:K161)</f>
        <v>0</v>
      </c>
      <c r="K162" s="144"/>
      <c r="L162" s="430"/>
      <c r="M162" s="430"/>
      <c r="N162" s="430"/>
      <c r="O162" s="430"/>
    </row>
    <row r="163" spans="1:15" s="3" customFormat="1" ht="14.25" customHeight="1" x14ac:dyDescent="0.35">
      <c r="D163" s="11" t="s">
        <v>61</v>
      </c>
      <c r="G163" s="12">
        <f>SUM(H146:H161)</f>
        <v>0</v>
      </c>
      <c r="L163" s="430"/>
      <c r="M163" s="430"/>
      <c r="N163" s="430"/>
      <c r="O163" s="430"/>
    </row>
    <row r="164" spans="1:15" s="3" customFormat="1" ht="14.5" x14ac:dyDescent="0.35">
      <c r="L164" s="430"/>
      <c r="M164" s="430"/>
      <c r="N164" s="430"/>
      <c r="O164" s="430"/>
    </row>
    <row r="165" spans="1:15" s="69" customFormat="1" ht="13.5" x14ac:dyDescent="0.3">
      <c r="L165" s="428"/>
      <c r="M165" s="428"/>
      <c r="N165" s="428"/>
      <c r="O165" s="428"/>
    </row>
    <row r="166" spans="1:15" s="118" customFormat="1" x14ac:dyDescent="0.25">
      <c r="A166" s="122"/>
      <c r="B166" s="122"/>
      <c r="C166" s="122"/>
      <c r="D166" s="122"/>
      <c r="E166" s="122"/>
      <c r="F166" s="122"/>
      <c r="G166" s="122"/>
      <c r="H166" s="122"/>
      <c r="L166" s="429"/>
      <c r="M166" s="429"/>
      <c r="N166" s="429"/>
      <c r="O166" s="429"/>
    </row>
    <row r="167" spans="1:15" x14ac:dyDescent="0.25">
      <c r="L167" s="417"/>
      <c r="M167" s="417"/>
      <c r="N167" s="417"/>
      <c r="O167" s="417"/>
    </row>
    <row r="168" spans="1:15" x14ac:dyDescent="0.25">
      <c r="L168" s="417"/>
      <c r="M168" s="417"/>
      <c r="N168" s="417"/>
      <c r="O168" s="417"/>
    </row>
    <row r="169" spans="1:15" x14ac:dyDescent="0.25">
      <c r="L169" s="417"/>
      <c r="M169" s="417"/>
      <c r="N169" s="417"/>
      <c r="O169" s="417"/>
    </row>
    <row r="170" spans="1:15" x14ac:dyDescent="0.25">
      <c r="L170" s="417"/>
      <c r="M170" s="417"/>
      <c r="N170" s="417"/>
      <c r="O170" s="417"/>
    </row>
    <row r="171" spans="1:15" x14ac:dyDescent="0.25">
      <c r="L171" s="417"/>
      <c r="M171" s="417"/>
      <c r="N171" s="417"/>
      <c r="O171" s="417"/>
    </row>
    <row r="172" spans="1:15" x14ac:dyDescent="0.25">
      <c r="L172" s="417"/>
      <c r="M172" s="417"/>
      <c r="N172" s="417"/>
      <c r="O172" s="417"/>
    </row>
    <row r="173" spans="1:15" x14ac:dyDescent="0.25">
      <c r="L173" s="417"/>
      <c r="M173" s="417"/>
      <c r="N173" s="417"/>
      <c r="O173" s="417"/>
    </row>
    <row r="174" spans="1:15" x14ac:dyDescent="0.25">
      <c r="L174" s="417"/>
      <c r="M174" s="417"/>
      <c r="N174" s="417"/>
      <c r="O174" s="417"/>
    </row>
    <row r="175" spans="1:15" x14ac:dyDescent="0.25">
      <c r="L175" s="417"/>
      <c r="M175" s="417"/>
      <c r="N175" s="417"/>
      <c r="O175" s="417"/>
    </row>
    <row r="176" spans="1:15" x14ac:dyDescent="0.25">
      <c r="L176" s="417"/>
      <c r="M176" s="417"/>
      <c r="N176" s="417"/>
      <c r="O176" s="417"/>
    </row>
    <row r="177" spans="12:15" x14ac:dyDescent="0.25">
      <c r="L177" s="417"/>
      <c r="M177" s="417"/>
      <c r="N177" s="417"/>
      <c r="O177" s="417"/>
    </row>
    <row r="178" spans="12:15" x14ac:dyDescent="0.25">
      <c r="L178" s="417"/>
      <c r="M178" s="417"/>
      <c r="N178" s="417"/>
      <c r="O178" s="417"/>
    </row>
    <row r="179" spans="12:15" x14ac:dyDescent="0.25">
      <c r="L179" s="417"/>
      <c r="M179" s="417"/>
      <c r="N179" s="417"/>
      <c r="O179" s="417"/>
    </row>
    <row r="180" spans="12:15" x14ac:dyDescent="0.25">
      <c r="L180" s="417"/>
      <c r="M180" s="417"/>
      <c r="N180" s="417"/>
      <c r="O180" s="417"/>
    </row>
    <row r="181" spans="12:15" x14ac:dyDescent="0.25">
      <c r="L181" s="417"/>
      <c r="M181" s="417"/>
      <c r="N181" s="417"/>
      <c r="O181" s="417"/>
    </row>
    <row r="182" spans="12:15" x14ac:dyDescent="0.25">
      <c r="L182" s="417"/>
      <c r="M182" s="417"/>
      <c r="N182" s="417"/>
      <c r="O182" s="417"/>
    </row>
    <row r="183" spans="12:15" x14ac:dyDescent="0.25">
      <c r="L183" s="417"/>
      <c r="M183" s="417"/>
      <c r="N183" s="417"/>
      <c r="O183" s="417"/>
    </row>
    <row r="184" spans="12:15" x14ac:dyDescent="0.25">
      <c r="L184" s="417"/>
      <c r="M184" s="417"/>
      <c r="N184" s="417"/>
      <c r="O184" s="417"/>
    </row>
    <row r="185" spans="12:15" x14ac:dyDescent="0.25">
      <c r="L185" s="417"/>
      <c r="M185" s="417"/>
      <c r="N185" s="417"/>
      <c r="O185" s="417"/>
    </row>
    <row r="186" spans="12:15" x14ac:dyDescent="0.25">
      <c r="L186" s="417"/>
      <c r="M186" s="417"/>
      <c r="N186" s="417"/>
      <c r="O186" s="417"/>
    </row>
    <row r="187" spans="12:15" x14ac:dyDescent="0.25">
      <c r="L187" s="417"/>
      <c r="M187" s="417"/>
      <c r="N187" s="417"/>
      <c r="O187" s="417"/>
    </row>
    <row r="188" spans="12:15" x14ac:dyDescent="0.25">
      <c r="L188" s="417"/>
      <c r="M188" s="417"/>
      <c r="N188" s="417"/>
      <c r="O188" s="417"/>
    </row>
    <row r="189" spans="12:15" x14ac:dyDescent="0.25">
      <c r="L189" s="417"/>
      <c r="M189" s="417"/>
      <c r="N189" s="417"/>
      <c r="O189" s="417"/>
    </row>
    <row r="190" spans="12:15" x14ac:dyDescent="0.25">
      <c r="L190" s="417"/>
      <c r="M190" s="417"/>
      <c r="N190" s="417"/>
      <c r="O190" s="417"/>
    </row>
    <row r="191" spans="12:15" x14ac:dyDescent="0.25">
      <c r="L191" s="417"/>
      <c r="M191" s="417"/>
      <c r="N191" s="417"/>
      <c r="O191" s="417"/>
    </row>
    <row r="192" spans="12:15" x14ac:dyDescent="0.25">
      <c r="L192" s="417"/>
      <c r="M192" s="417"/>
      <c r="N192" s="417"/>
      <c r="O192" s="417"/>
    </row>
    <row r="193" spans="1:15" x14ac:dyDescent="0.25">
      <c r="L193" s="417"/>
      <c r="M193" s="417"/>
      <c r="N193" s="417"/>
      <c r="O193" s="417"/>
    </row>
    <row r="194" spans="1:15" x14ac:dyDescent="0.25">
      <c r="L194" s="417"/>
      <c r="M194" s="417"/>
      <c r="N194" s="417"/>
      <c r="O194" s="417"/>
    </row>
    <row r="195" spans="1:15" x14ac:dyDescent="0.25">
      <c r="L195" s="417"/>
      <c r="M195" s="417"/>
      <c r="N195" s="417"/>
      <c r="O195" s="417"/>
    </row>
    <row r="196" spans="1:15" x14ac:dyDescent="0.25">
      <c r="L196" s="417"/>
      <c r="M196" s="417"/>
      <c r="N196" s="417"/>
      <c r="O196" s="417"/>
    </row>
    <row r="197" spans="1:15" x14ac:dyDescent="0.25">
      <c r="L197" s="417"/>
      <c r="M197" s="417"/>
      <c r="N197" s="417"/>
      <c r="O197" s="417"/>
    </row>
    <row r="198" spans="1:15" x14ac:dyDescent="0.25">
      <c r="L198" s="417"/>
      <c r="M198" s="417"/>
      <c r="N198" s="417"/>
      <c r="O198" s="417"/>
    </row>
    <row r="199" spans="1:15" x14ac:dyDescent="0.25">
      <c r="L199" s="417"/>
      <c r="M199" s="417"/>
      <c r="N199" s="417"/>
      <c r="O199" s="417"/>
    </row>
    <row r="200" spans="1:15" x14ac:dyDescent="0.25">
      <c r="L200" s="417"/>
      <c r="M200" s="417"/>
      <c r="N200" s="417"/>
      <c r="O200" s="417"/>
    </row>
    <row r="201" spans="1:15" x14ac:dyDescent="0.25">
      <c r="A201" s="417"/>
      <c r="B201" s="417"/>
      <c r="C201" s="417"/>
      <c r="D201" s="417"/>
      <c r="E201" s="417"/>
      <c r="F201" s="417"/>
      <c r="G201" s="417"/>
      <c r="H201" s="417"/>
      <c r="I201" s="417"/>
      <c r="J201" s="417"/>
      <c r="K201" s="417"/>
      <c r="L201" s="417"/>
      <c r="M201" s="417"/>
      <c r="N201" s="417"/>
      <c r="O201" s="417"/>
    </row>
    <row r="202" spans="1:15" x14ac:dyDescent="0.25">
      <c r="A202" s="417"/>
      <c r="B202" s="417"/>
      <c r="C202" s="417"/>
      <c r="D202" s="417"/>
      <c r="E202" s="417"/>
      <c r="F202" s="417"/>
      <c r="G202" s="417"/>
      <c r="H202" s="417"/>
      <c r="I202" s="417"/>
      <c r="J202" s="417"/>
      <c r="K202" s="417"/>
      <c r="L202" s="417"/>
      <c r="M202" s="417"/>
      <c r="N202" s="417"/>
      <c r="O202" s="417"/>
    </row>
    <row r="203" spans="1:15" x14ac:dyDescent="0.25">
      <c r="A203" s="417"/>
      <c r="B203" s="417"/>
      <c r="C203" s="417"/>
      <c r="D203" s="417"/>
      <c r="E203" s="417"/>
      <c r="F203" s="417"/>
      <c r="G203" s="417"/>
      <c r="H203" s="417"/>
      <c r="I203" s="417"/>
      <c r="J203" s="417"/>
      <c r="K203" s="417"/>
      <c r="L203" s="417"/>
      <c r="M203" s="417"/>
      <c r="N203" s="417"/>
      <c r="O203" s="417"/>
    </row>
    <row r="204" spans="1:15" x14ac:dyDescent="0.25">
      <c r="A204" s="417"/>
      <c r="B204" s="417"/>
      <c r="C204" s="417"/>
      <c r="D204" s="417"/>
      <c r="E204" s="417"/>
      <c r="F204" s="417"/>
      <c r="G204" s="417"/>
      <c r="H204" s="417"/>
      <c r="I204" s="417"/>
      <c r="J204" s="417"/>
      <c r="K204" s="417"/>
      <c r="L204" s="417"/>
    </row>
    <row r="205" spans="1:15" x14ac:dyDescent="0.25">
      <c r="A205" s="417"/>
      <c r="B205" s="417"/>
      <c r="C205" s="417"/>
      <c r="D205" s="417"/>
      <c r="E205" s="417"/>
      <c r="F205" s="417"/>
      <c r="G205" s="417"/>
      <c r="H205" s="417"/>
      <c r="I205" s="417"/>
      <c r="J205" s="417"/>
      <c r="K205" s="417"/>
      <c r="L205" s="417"/>
    </row>
    <row r="206" spans="1:15" x14ac:dyDescent="0.25">
      <c r="A206" s="417"/>
      <c r="B206" s="417"/>
      <c r="C206" s="417"/>
      <c r="D206" s="417"/>
      <c r="E206" s="417"/>
      <c r="F206" s="417"/>
      <c r="G206" s="417"/>
      <c r="H206" s="417"/>
      <c r="I206" s="417"/>
      <c r="J206" s="417"/>
      <c r="K206" s="417"/>
      <c r="L206" s="417"/>
    </row>
    <row r="207" spans="1:15" x14ac:dyDescent="0.25">
      <c r="A207" s="417"/>
      <c r="B207" s="417"/>
      <c r="C207" s="417"/>
      <c r="D207" s="417"/>
      <c r="E207" s="417"/>
      <c r="F207" s="417"/>
      <c r="G207" s="417"/>
      <c r="H207" s="417"/>
      <c r="I207" s="417"/>
      <c r="J207" s="417"/>
      <c r="K207" s="417"/>
      <c r="L207" s="417"/>
    </row>
    <row r="208" spans="1:15" x14ac:dyDescent="0.25">
      <c r="A208" s="417"/>
      <c r="B208" s="417"/>
      <c r="C208" s="417"/>
      <c r="D208" s="417"/>
      <c r="E208" s="417"/>
      <c r="F208" s="417"/>
      <c r="G208" s="417"/>
      <c r="H208" s="417"/>
      <c r="I208" s="417"/>
      <c r="J208" s="417"/>
      <c r="K208" s="417"/>
      <c r="L208" s="417"/>
    </row>
    <row r="209" spans="1:12" x14ac:dyDescent="0.25">
      <c r="A209" s="417"/>
      <c r="B209" s="417"/>
      <c r="C209" s="417"/>
      <c r="D209" s="417"/>
      <c r="E209" s="417"/>
      <c r="F209" s="417"/>
      <c r="G209" s="417"/>
      <c r="H209" s="417"/>
      <c r="I209" s="417"/>
      <c r="J209" s="417"/>
      <c r="K209" s="417"/>
      <c r="L209" s="417"/>
    </row>
    <row r="210" spans="1:12" x14ac:dyDescent="0.25">
      <c r="A210" s="417"/>
      <c r="B210" s="417"/>
      <c r="C210" s="417"/>
      <c r="D210" s="417"/>
      <c r="E210" s="417"/>
      <c r="F210" s="417"/>
      <c r="G210" s="417"/>
      <c r="H210" s="417"/>
      <c r="I210" s="417"/>
      <c r="J210" s="417"/>
      <c r="K210" s="417"/>
      <c r="L210" s="417"/>
    </row>
    <row r="211" spans="1:12" x14ac:dyDescent="0.25">
      <c r="A211" s="417"/>
      <c r="B211" s="417"/>
      <c r="C211" s="417"/>
      <c r="D211" s="417"/>
      <c r="E211" s="417"/>
      <c r="F211" s="417"/>
      <c r="G211" s="417"/>
      <c r="H211" s="417"/>
      <c r="I211" s="417"/>
      <c r="J211" s="417"/>
      <c r="K211" s="417"/>
      <c r="L211" s="417"/>
    </row>
    <row r="212" spans="1:12" x14ac:dyDescent="0.25">
      <c r="A212" s="417"/>
      <c r="B212" s="417"/>
      <c r="C212" s="417"/>
      <c r="D212" s="417"/>
      <c r="E212" s="417"/>
      <c r="F212" s="417"/>
      <c r="G212" s="417"/>
      <c r="H212" s="417"/>
      <c r="I212" s="417"/>
      <c r="J212" s="417"/>
      <c r="K212" s="417"/>
      <c r="L212" s="417"/>
    </row>
    <row r="213" spans="1:12" x14ac:dyDescent="0.25">
      <c r="A213" s="417"/>
      <c r="B213" s="417"/>
      <c r="C213" s="417"/>
      <c r="D213" s="417"/>
      <c r="E213" s="417"/>
      <c r="F213" s="417"/>
      <c r="G213" s="417"/>
      <c r="H213" s="417"/>
      <c r="I213" s="417"/>
      <c r="J213" s="417"/>
      <c r="K213" s="417"/>
      <c r="L213" s="417"/>
    </row>
    <row r="214" spans="1:12" x14ac:dyDescent="0.25">
      <c r="A214" s="417"/>
      <c r="B214" s="417"/>
      <c r="C214" s="417"/>
      <c r="D214" s="417"/>
      <c r="E214" s="417"/>
      <c r="F214" s="417"/>
      <c r="G214" s="417"/>
      <c r="H214" s="417"/>
      <c r="I214" s="417"/>
      <c r="J214" s="417"/>
      <c r="K214" s="417"/>
      <c r="L214" s="417"/>
    </row>
    <row r="215" spans="1:12" x14ac:dyDescent="0.25">
      <c r="A215" s="417"/>
      <c r="B215" s="417"/>
      <c r="C215" s="417"/>
      <c r="D215" s="417"/>
      <c r="E215" s="417"/>
      <c r="F215" s="417"/>
      <c r="G215" s="417"/>
      <c r="H215" s="417"/>
      <c r="I215" s="417"/>
      <c r="J215" s="417"/>
      <c r="K215" s="417"/>
      <c r="L215" s="417"/>
    </row>
    <row r="216" spans="1:12" x14ac:dyDescent="0.25">
      <c r="A216" s="417"/>
      <c r="B216" s="417"/>
      <c r="C216" s="417"/>
      <c r="D216" s="417"/>
      <c r="E216" s="417"/>
      <c r="F216" s="417"/>
      <c r="G216" s="417"/>
      <c r="H216" s="417"/>
      <c r="I216" s="417"/>
      <c r="J216" s="417"/>
      <c r="K216" s="417"/>
      <c r="L216" s="417"/>
    </row>
    <row r="217" spans="1:12" x14ac:dyDescent="0.25">
      <c r="A217" s="417"/>
      <c r="B217" s="417"/>
      <c r="C217" s="417"/>
      <c r="D217" s="417"/>
      <c r="E217" s="417"/>
      <c r="F217" s="417"/>
      <c r="G217" s="417"/>
      <c r="H217" s="417"/>
      <c r="I217" s="417"/>
      <c r="J217" s="417"/>
      <c r="K217" s="417"/>
      <c r="L217" s="417"/>
    </row>
    <row r="218" spans="1:12" x14ac:dyDescent="0.25">
      <c r="A218" s="417"/>
      <c r="B218" s="417"/>
      <c r="C218" s="417"/>
      <c r="D218" s="417"/>
      <c r="E218" s="417"/>
      <c r="F218" s="417"/>
      <c r="G218" s="417"/>
      <c r="H218" s="417"/>
      <c r="I218" s="417"/>
      <c r="J218" s="417"/>
      <c r="K218" s="417"/>
      <c r="L218" s="417"/>
    </row>
    <row r="219" spans="1:12" x14ac:dyDescent="0.25">
      <c r="A219" s="417"/>
      <c r="B219" s="417"/>
      <c r="C219" s="417"/>
      <c r="D219" s="417"/>
      <c r="E219" s="417"/>
      <c r="F219" s="417"/>
      <c r="G219" s="417"/>
      <c r="H219" s="417"/>
      <c r="I219" s="417"/>
      <c r="J219" s="417"/>
      <c r="K219" s="417"/>
      <c r="L219" s="417"/>
    </row>
    <row r="220" spans="1:12" x14ac:dyDescent="0.25">
      <c r="A220" s="417"/>
      <c r="B220" s="417"/>
      <c r="C220" s="417"/>
      <c r="D220" s="417"/>
      <c r="E220" s="417"/>
      <c r="F220" s="417"/>
      <c r="G220" s="417"/>
      <c r="H220" s="417"/>
      <c r="I220" s="417"/>
      <c r="J220" s="417"/>
      <c r="K220" s="417"/>
      <c r="L220" s="417"/>
    </row>
    <row r="221" spans="1:12" x14ac:dyDescent="0.25">
      <c r="A221" s="417"/>
      <c r="B221" s="417"/>
      <c r="C221" s="417"/>
      <c r="D221" s="417"/>
      <c r="E221" s="417"/>
      <c r="F221" s="417"/>
      <c r="G221" s="417"/>
      <c r="H221" s="417"/>
      <c r="I221" s="417"/>
      <c r="J221" s="417"/>
      <c r="K221" s="417"/>
      <c r="L221" s="417"/>
    </row>
    <row r="222" spans="1:12" x14ac:dyDescent="0.25">
      <c r="A222" s="417"/>
      <c r="B222" s="417"/>
      <c r="C222" s="417"/>
      <c r="D222" s="417"/>
      <c r="E222" s="417"/>
      <c r="F222" s="417"/>
      <c r="G222" s="417"/>
      <c r="H222" s="417"/>
      <c r="I222" s="417"/>
      <c r="J222" s="417"/>
      <c r="K222" s="417"/>
      <c r="L222" s="417"/>
    </row>
    <row r="223" spans="1:12" x14ac:dyDescent="0.25">
      <c r="A223" s="417"/>
      <c r="B223" s="417"/>
      <c r="C223" s="417"/>
      <c r="D223" s="417"/>
      <c r="E223" s="417"/>
      <c r="F223" s="417"/>
      <c r="G223" s="417"/>
      <c r="H223" s="417"/>
      <c r="I223" s="417"/>
      <c r="J223" s="417"/>
      <c r="K223" s="417"/>
      <c r="L223" s="417"/>
    </row>
    <row r="224" spans="1:12" x14ac:dyDescent="0.25">
      <c r="A224" s="417"/>
      <c r="B224" s="417"/>
      <c r="C224" s="417"/>
      <c r="D224" s="417"/>
      <c r="E224" s="417"/>
      <c r="F224" s="417"/>
      <c r="G224" s="417"/>
      <c r="H224" s="417"/>
      <c r="I224" s="417"/>
      <c r="J224" s="417"/>
      <c r="K224" s="417"/>
      <c r="L224" s="417"/>
    </row>
    <row r="225" spans="1:12" x14ac:dyDescent="0.25">
      <c r="A225" s="417"/>
      <c r="B225" s="417"/>
      <c r="C225" s="417"/>
      <c r="D225" s="417"/>
      <c r="E225" s="417"/>
      <c r="F225" s="417"/>
      <c r="G225" s="417"/>
      <c r="H225" s="417"/>
      <c r="I225" s="417"/>
      <c r="J225" s="417"/>
      <c r="K225" s="417"/>
      <c r="L225" s="417"/>
    </row>
    <row r="226" spans="1:12" x14ac:dyDescent="0.25">
      <c r="A226" s="417"/>
      <c r="B226" s="417"/>
      <c r="C226" s="417"/>
      <c r="D226" s="417"/>
      <c r="E226" s="417"/>
      <c r="F226" s="417"/>
      <c r="G226" s="417"/>
      <c r="H226" s="417"/>
      <c r="I226" s="417"/>
      <c r="J226" s="417"/>
      <c r="K226" s="417"/>
      <c r="L226" s="417"/>
    </row>
    <row r="227" spans="1:12" x14ac:dyDescent="0.25">
      <c r="A227" s="417"/>
      <c r="B227" s="417"/>
      <c r="C227" s="417"/>
      <c r="D227" s="417"/>
      <c r="E227" s="417"/>
      <c r="F227" s="417"/>
      <c r="G227" s="417"/>
      <c r="H227" s="417"/>
      <c r="I227" s="417"/>
      <c r="J227" s="417"/>
      <c r="K227" s="417"/>
      <c r="L227" s="417"/>
    </row>
  </sheetData>
  <mergeCells count="4">
    <mergeCell ref="J1:K1"/>
    <mergeCell ref="A1:H1"/>
    <mergeCell ref="A60:D60"/>
    <mergeCell ref="A104:D104"/>
  </mergeCells>
  <phoneticPr fontId="122" type="noConversion"/>
  <conditionalFormatting sqref="I124">
    <cfRule type="cellIs" dxfId="1" priority="2" operator="equal">
      <formula>1</formula>
    </cfRule>
  </conditionalFormatting>
  <conditionalFormatting sqref="E85">
    <cfRule type="expression" dxfId="0" priority="1">
      <formula>$E$83&gt;$E$85</formula>
    </cfRule>
  </conditionalFormatting>
  <dataValidations count="2">
    <dataValidation type="list" allowBlank="1" showInputMessage="1" showErrorMessage="1" sqref="E5 E7:E20 E25:E40 E48:E55 E62:E77 E146:E161 E106:E121 E126:E141 E82:E84 E86:E97">
      <formula1>"0,1"</formula1>
    </dataValidation>
    <dataValidation type="list" allowBlank="1" showInputMessage="1" showErrorMessage="1" sqref="E85">
      <formula1>"0,1"</formula1>
    </dataValidation>
  </dataValidations>
  <pageMargins left="0.7" right="0.7" top="0.78740157499999996" bottom="0.78740157499999996"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tabColor rgb="FF92D050"/>
  </sheetPr>
  <dimension ref="A1:R747"/>
  <sheetViews>
    <sheetView zoomScale="70" zoomScaleNormal="70" workbookViewId="0">
      <pane ySplit="6" topLeftCell="A7" activePane="bottomLeft" state="frozen"/>
      <selection pane="bottomLeft" activeCell="N37" sqref="N37"/>
    </sheetView>
  </sheetViews>
  <sheetFormatPr defaultColWidth="11.453125" defaultRowHeight="13.5" x14ac:dyDescent="0.3"/>
  <cols>
    <col min="1" max="1" width="3" style="176" customWidth="1"/>
    <col min="2" max="2" width="12.7265625" style="176" customWidth="1"/>
    <col min="3" max="3" width="13.54296875" style="176" customWidth="1"/>
    <col min="4" max="4" width="13" style="180" customWidth="1"/>
    <col min="5" max="5" width="16" style="176" customWidth="1"/>
    <col min="6" max="8" width="25.7265625" style="176" customWidth="1"/>
    <col min="9" max="9" width="11.26953125" style="176" customWidth="1"/>
    <col min="10" max="10" width="10.7265625" style="176" customWidth="1"/>
    <col min="11" max="11" width="19.453125" style="176" customWidth="1"/>
    <col min="12" max="12" width="34" style="176" bestFit="1" customWidth="1"/>
    <col min="13" max="13" width="26.1796875" style="176" customWidth="1"/>
    <col min="14" max="14" width="11.453125" style="176"/>
    <col min="15" max="15" width="10.26953125" style="176" customWidth="1"/>
    <col min="16" max="16" width="11.453125" style="176"/>
    <col min="17" max="17" width="16.26953125" style="176" bestFit="1" customWidth="1"/>
    <col min="18" max="16384" width="11.453125" style="176"/>
  </cols>
  <sheetData>
    <row r="1" spans="1:12" ht="19.5" customHeight="1" x14ac:dyDescent="0.3">
      <c r="A1" s="294" t="s">
        <v>671</v>
      </c>
      <c r="B1" s="293"/>
      <c r="C1" s="293"/>
      <c r="D1" s="293"/>
      <c r="E1" s="293"/>
      <c r="F1" s="579" t="s">
        <v>515</v>
      </c>
      <c r="G1" s="579"/>
      <c r="H1" s="579"/>
      <c r="I1" s="579"/>
      <c r="J1" s="579"/>
      <c r="K1" s="439" t="s">
        <v>531</v>
      </c>
      <c r="L1" s="440"/>
    </row>
    <row r="2" spans="1:12" x14ac:dyDescent="0.3">
      <c r="A2" s="177"/>
      <c r="B2" s="177"/>
      <c r="C2" s="177"/>
      <c r="D2" s="231"/>
      <c r="F2" s="231"/>
      <c r="G2" s="231"/>
      <c r="H2" s="231"/>
      <c r="I2" s="231"/>
      <c r="J2" s="178"/>
      <c r="K2" s="441" t="s">
        <v>532</v>
      </c>
      <c r="L2" s="438">
        <f>6+COUNTA(B7:B999)</f>
        <v>168</v>
      </c>
    </row>
    <row r="3" spans="1:12" x14ac:dyDescent="0.3">
      <c r="A3" s="177"/>
      <c r="B3" s="177"/>
      <c r="C3" s="177"/>
      <c r="D3" s="281"/>
      <c r="F3" s="232"/>
      <c r="G3" s="232"/>
      <c r="H3" s="232"/>
      <c r="I3" s="232"/>
      <c r="J3" s="178"/>
      <c r="K3" s="348"/>
      <c r="L3" s="348"/>
    </row>
    <row r="4" spans="1:12" x14ac:dyDescent="0.3">
      <c r="A4" s="177"/>
      <c r="B4" s="581" t="s">
        <v>672</v>
      </c>
      <c r="C4" s="583"/>
      <c r="D4" s="282"/>
      <c r="F4" s="232"/>
      <c r="G4" s="232"/>
      <c r="H4" s="232"/>
      <c r="I4" s="232"/>
      <c r="J4" s="178"/>
      <c r="K4" s="348"/>
      <c r="L4" s="348"/>
    </row>
    <row r="5" spans="1:12" ht="14" thickBot="1" x14ac:dyDescent="0.35">
      <c r="J5" s="178"/>
      <c r="K5" s="348"/>
      <c r="L5" s="348"/>
    </row>
    <row r="6" spans="1:12" ht="41" thickBot="1" x14ac:dyDescent="0.35">
      <c r="B6" s="184" t="s">
        <v>674</v>
      </c>
      <c r="C6" s="182" t="s">
        <v>673</v>
      </c>
      <c r="D6" s="183" t="s">
        <v>675</v>
      </c>
      <c r="F6" s="597" t="s">
        <v>529</v>
      </c>
      <c r="G6" s="598"/>
      <c r="H6" s="617"/>
      <c r="I6" s="599"/>
      <c r="K6" s="618" t="s">
        <v>530</v>
      </c>
      <c r="L6" s="619"/>
    </row>
    <row r="7" spans="1:12" x14ac:dyDescent="0.3">
      <c r="B7" s="324">
        <v>0</v>
      </c>
      <c r="C7" s="247">
        <v>0</v>
      </c>
      <c r="D7" s="322">
        <f>(C8-C7)/(B8-B7)</f>
        <v>0.49</v>
      </c>
      <c r="E7" s="186"/>
      <c r="F7" s="620" t="s">
        <v>677</v>
      </c>
      <c r="G7" s="621"/>
      <c r="H7" s="622"/>
      <c r="I7" s="338">
        <f ca="1">LINEST(C7:INDIRECT("$C$"&amp;L2), B7:INDIRECT("$B$"&amp;L2))</f>
        <v>0.5070952516418703</v>
      </c>
      <c r="K7" s="348"/>
      <c r="L7" s="348"/>
    </row>
    <row r="8" spans="1:12" x14ac:dyDescent="0.3">
      <c r="B8" s="324">
        <v>0.5</v>
      </c>
      <c r="C8" s="247">
        <v>0.245</v>
      </c>
      <c r="D8" s="322">
        <f>(C8-C7)/(B8-B7)</f>
        <v>0.49</v>
      </c>
      <c r="E8" s="186"/>
      <c r="F8" s="623" t="s">
        <v>678</v>
      </c>
      <c r="G8" s="624"/>
      <c r="H8" s="625"/>
      <c r="I8" s="338">
        <f ca="1">1/$I$7</f>
        <v>1.97201609907055</v>
      </c>
      <c r="K8" s="348"/>
      <c r="L8" s="348"/>
    </row>
    <row r="9" spans="1:12" x14ac:dyDescent="0.3">
      <c r="B9" s="324">
        <v>1</v>
      </c>
      <c r="C9" s="247">
        <v>0.49</v>
      </c>
      <c r="D9" s="322">
        <f t="shared" ref="D9:D72" si="0">(C9-C8)/(B9-B8)</f>
        <v>0.49</v>
      </c>
      <c r="E9" s="186"/>
      <c r="I9" s="348"/>
      <c r="K9" s="442"/>
      <c r="L9" s="348"/>
    </row>
    <row r="10" spans="1:12" x14ac:dyDescent="0.3">
      <c r="B10" s="324">
        <v>1.5</v>
      </c>
      <c r="C10" s="247">
        <v>0.73499999999999999</v>
      </c>
      <c r="D10" s="322">
        <f t="shared" si="0"/>
        <v>0.49</v>
      </c>
      <c r="E10" s="186"/>
      <c r="K10" s="348"/>
      <c r="L10" s="443"/>
    </row>
    <row r="11" spans="1:12" x14ac:dyDescent="0.3">
      <c r="B11" s="324">
        <v>2</v>
      </c>
      <c r="C11" s="247">
        <v>0.98</v>
      </c>
      <c r="D11" s="322">
        <f t="shared" si="0"/>
        <v>0.49</v>
      </c>
      <c r="E11" s="186"/>
      <c r="F11" s="286"/>
      <c r="G11" s="286"/>
      <c r="H11" s="286"/>
      <c r="I11" s="205"/>
      <c r="K11" s="348"/>
      <c r="L11" s="348"/>
    </row>
    <row r="12" spans="1:12" x14ac:dyDescent="0.3">
      <c r="B12" s="324">
        <v>2.5</v>
      </c>
      <c r="C12" s="247">
        <v>1.2250000000000001</v>
      </c>
      <c r="D12" s="322">
        <f t="shared" si="0"/>
        <v>0.49000000000000021</v>
      </c>
      <c r="E12" s="186"/>
      <c r="K12" s="348"/>
      <c r="L12" s="348"/>
    </row>
    <row r="13" spans="1:12" x14ac:dyDescent="0.3">
      <c r="B13" s="324">
        <v>3</v>
      </c>
      <c r="C13" s="247">
        <v>1.4700000000000002</v>
      </c>
      <c r="D13" s="322">
        <f t="shared" si="0"/>
        <v>0.49000000000000021</v>
      </c>
      <c r="E13" s="186"/>
      <c r="F13" s="189"/>
      <c r="G13" s="189"/>
      <c r="H13" s="189"/>
      <c r="I13" s="189"/>
      <c r="J13" s="189"/>
      <c r="K13" s="348"/>
      <c r="L13" s="348"/>
    </row>
    <row r="14" spans="1:12" ht="14" thickBot="1" x14ac:dyDescent="0.35">
      <c r="B14" s="324">
        <v>3.5</v>
      </c>
      <c r="C14" s="247">
        <v>1.7150000000000003</v>
      </c>
      <c r="D14" s="322">
        <f t="shared" si="0"/>
        <v>0.49000000000000021</v>
      </c>
      <c r="E14" s="186"/>
      <c r="F14" s="190"/>
      <c r="G14" s="190"/>
      <c r="H14" s="190"/>
      <c r="I14" s="190"/>
      <c r="J14" s="190"/>
    </row>
    <row r="15" spans="1:12" ht="14" thickBot="1" x14ac:dyDescent="0.35">
      <c r="B15" s="324">
        <v>4</v>
      </c>
      <c r="C15" s="247">
        <v>1.9600000000000004</v>
      </c>
      <c r="D15" s="322">
        <f t="shared" si="0"/>
        <v>0.49000000000000021</v>
      </c>
      <c r="E15" s="186"/>
      <c r="F15" s="613" t="s">
        <v>676</v>
      </c>
      <c r="G15" s="614"/>
      <c r="H15" s="615"/>
      <c r="I15" s="191"/>
      <c r="J15" s="191"/>
    </row>
    <row r="16" spans="1:12" ht="12.75" customHeight="1" x14ac:dyDescent="0.3">
      <c r="B16" s="324">
        <v>4.5</v>
      </c>
      <c r="C16" s="247">
        <v>2.2050000000000005</v>
      </c>
      <c r="D16" s="322">
        <f t="shared" si="0"/>
        <v>0.49000000000000021</v>
      </c>
      <c r="E16" s="186"/>
      <c r="F16" s="195" t="s">
        <v>525</v>
      </c>
      <c r="G16" s="318" t="s">
        <v>679</v>
      </c>
      <c r="H16" s="196" t="s">
        <v>685</v>
      </c>
      <c r="I16" s="320"/>
      <c r="J16" s="321"/>
    </row>
    <row r="17" spans="2:13" x14ac:dyDescent="0.3">
      <c r="B17" s="324">
        <v>5</v>
      </c>
      <c r="C17" s="247">
        <v>2.4500000000000006</v>
      </c>
      <c r="D17" s="322">
        <f t="shared" si="0"/>
        <v>0.49000000000000021</v>
      </c>
      <c r="E17" s="186"/>
      <c r="F17" s="197">
        <v>0</v>
      </c>
      <c r="G17" s="316">
        <v>0</v>
      </c>
      <c r="H17" s="198">
        <v>0.49</v>
      </c>
      <c r="I17" s="199"/>
      <c r="J17" s="178"/>
    </row>
    <row r="18" spans="2:13" ht="12.75" customHeight="1" x14ac:dyDescent="0.3">
      <c r="B18" s="324">
        <v>5.5</v>
      </c>
      <c r="C18" s="247">
        <v>2.6950000000000007</v>
      </c>
      <c r="D18" s="322">
        <f t="shared" si="0"/>
        <v>0.49000000000000021</v>
      </c>
      <c r="E18" s="186"/>
      <c r="F18" s="200">
        <v>22.5</v>
      </c>
      <c r="G18" s="317">
        <v>11.025438674473387</v>
      </c>
      <c r="H18" s="201">
        <v>0.49024636365319907</v>
      </c>
      <c r="J18" s="178"/>
      <c r="M18" s="192"/>
    </row>
    <row r="19" spans="2:13" x14ac:dyDescent="0.3">
      <c r="B19" s="324">
        <v>6</v>
      </c>
      <c r="C19" s="247">
        <v>2.9400000000000008</v>
      </c>
      <c r="D19" s="322">
        <f t="shared" si="0"/>
        <v>0.49000000000000021</v>
      </c>
      <c r="E19" s="186"/>
      <c r="F19" s="200">
        <v>28.5</v>
      </c>
      <c r="G19" s="317">
        <v>13.974481665966962</v>
      </c>
      <c r="H19" s="201">
        <v>0.49278547075376267</v>
      </c>
      <c r="I19" s="178"/>
      <c r="J19" s="178"/>
      <c r="M19" s="193"/>
    </row>
    <row r="20" spans="2:13" x14ac:dyDescent="0.3">
      <c r="B20" s="324">
        <v>6.5</v>
      </c>
      <c r="C20" s="247">
        <v>3.1850000000000009</v>
      </c>
      <c r="D20" s="322">
        <f t="shared" si="0"/>
        <v>0.49000000000000021</v>
      </c>
      <c r="E20" s="186"/>
      <c r="F20" s="200">
        <v>35</v>
      </c>
      <c r="G20" s="317">
        <v>17.191500498195907</v>
      </c>
      <c r="H20" s="201">
        <v>0.49824459478948313</v>
      </c>
      <c r="I20" s="205"/>
      <c r="J20" s="244"/>
      <c r="M20" s="193"/>
    </row>
    <row r="21" spans="2:13" x14ac:dyDescent="0.3">
      <c r="B21" s="324">
        <v>7</v>
      </c>
      <c r="C21" s="247">
        <v>3.430000000000001</v>
      </c>
      <c r="D21" s="322">
        <f t="shared" si="0"/>
        <v>0.49000000000000021</v>
      </c>
      <c r="E21" s="194"/>
      <c r="F21" s="200">
        <v>42</v>
      </c>
      <c r="G21" s="317">
        <v>20.707806899346096</v>
      </c>
      <c r="H21" s="201">
        <v>0.50625248292327285</v>
      </c>
      <c r="I21" s="191"/>
      <c r="J21" s="191"/>
      <c r="M21" s="193"/>
    </row>
    <row r="22" spans="2:13" x14ac:dyDescent="0.3">
      <c r="B22" s="324">
        <v>7.5</v>
      </c>
      <c r="C22" s="247">
        <v>3.6750000000000012</v>
      </c>
      <c r="D22" s="322">
        <f t="shared" si="0"/>
        <v>0.49000000000000021</v>
      </c>
      <c r="E22" s="194"/>
      <c r="F22" s="200">
        <v>49</v>
      </c>
      <c r="G22" s="317">
        <v>24.284210901849612</v>
      </c>
      <c r="H22" s="201">
        <v>0.51497365415482932</v>
      </c>
      <c r="I22" s="199"/>
      <c r="J22" s="190"/>
      <c r="M22" s="193"/>
    </row>
    <row r="23" spans="2:13" x14ac:dyDescent="0.3">
      <c r="B23" s="324">
        <v>8</v>
      </c>
      <c r="C23" s="247">
        <v>3.9200000000000013</v>
      </c>
      <c r="D23" s="322">
        <f t="shared" si="0"/>
        <v>0.49000000000000021</v>
      </c>
      <c r="E23" s="194"/>
      <c r="F23" s="200">
        <v>56</v>
      </c>
      <c r="G23" s="317">
        <v>27.919818058107978</v>
      </c>
      <c r="H23" s="201">
        <v>0.52274816567272353</v>
      </c>
      <c r="I23" s="199"/>
      <c r="J23" s="190"/>
      <c r="M23" s="193"/>
    </row>
    <row r="24" spans="2:13" x14ac:dyDescent="0.3">
      <c r="B24" s="324">
        <v>8.5</v>
      </c>
      <c r="C24" s="247">
        <v>4.165</v>
      </c>
      <c r="D24" s="322">
        <f t="shared" si="0"/>
        <v>0.48999999999999755</v>
      </c>
      <c r="E24" s="194"/>
      <c r="F24" s="200">
        <v>62.5</v>
      </c>
      <c r="G24" s="317">
        <v>31.340850271070153</v>
      </c>
      <c r="H24" s="201">
        <v>0.52781983602744731</v>
      </c>
      <c r="I24" s="199"/>
      <c r="J24" s="190"/>
      <c r="M24" s="193"/>
    </row>
    <row r="25" spans="2:13" ht="14.25" customHeight="1" x14ac:dyDescent="0.3">
      <c r="B25" s="324">
        <v>9</v>
      </c>
      <c r="C25" s="247">
        <v>4.410000000000001</v>
      </c>
      <c r="D25" s="322">
        <f t="shared" si="0"/>
        <v>0.49000000000000199</v>
      </c>
      <c r="E25" s="194"/>
      <c r="F25" s="200">
        <v>68.5</v>
      </c>
      <c r="G25" s="317">
        <v>34.515454588852002</v>
      </c>
      <c r="H25" s="201">
        <v>0.52991115731013849</v>
      </c>
      <c r="I25" s="199"/>
      <c r="J25" s="190"/>
      <c r="M25" s="193"/>
    </row>
    <row r="26" spans="2:13" ht="14" thickBot="1" x14ac:dyDescent="0.35">
      <c r="B26" s="324">
        <v>9.5</v>
      </c>
      <c r="C26" s="247">
        <v>4.6550000000000011</v>
      </c>
      <c r="D26" s="322">
        <f t="shared" si="0"/>
        <v>0.49000000000000021</v>
      </c>
      <c r="E26" s="194"/>
      <c r="F26" s="202">
        <v>90.512129380053878</v>
      </c>
      <c r="G26" s="319">
        <v>46.181428571417833</v>
      </c>
      <c r="H26" s="203">
        <v>0.53000000000000136</v>
      </c>
      <c r="I26" s="199"/>
      <c r="J26" s="190"/>
      <c r="M26" s="193"/>
    </row>
    <row r="27" spans="2:13" ht="14" thickBot="1" x14ac:dyDescent="0.35">
      <c r="B27" s="324">
        <v>10</v>
      </c>
      <c r="C27" s="247">
        <v>4.9000000000000012</v>
      </c>
      <c r="D27" s="322">
        <f t="shared" si="0"/>
        <v>0.49000000000000021</v>
      </c>
      <c r="E27" s="194"/>
      <c r="F27" s="604" t="s">
        <v>528</v>
      </c>
      <c r="G27" s="616"/>
      <c r="H27" s="605"/>
      <c r="I27" s="199"/>
      <c r="J27" s="190"/>
      <c r="M27" s="193"/>
    </row>
    <row r="28" spans="2:13" x14ac:dyDescent="0.3">
      <c r="B28" s="324">
        <v>10.5</v>
      </c>
      <c r="C28" s="247">
        <v>5.1450000000000014</v>
      </c>
      <c r="D28" s="322">
        <f>(C28-C27)/(B28-B27)</f>
        <v>0.49000000000000021</v>
      </c>
      <c r="E28" s="194"/>
      <c r="F28" s="190"/>
      <c r="G28" s="190"/>
      <c r="H28" s="190"/>
      <c r="I28" s="199"/>
      <c r="J28" s="190"/>
      <c r="K28" s="190"/>
      <c r="L28" s="190"/>
      <c r="M28" s="193"/>
    </row>
    <row r="29" spans="2:13" ht="14" thickBot="1" x14ac:dyDescent="0.35">
      <c r="B29" s="324">
        <v>11</v>
      </c>
      <c r="C29" s="247">
        <v>5.3900000000000015</v>
      </c>
      <c r="D29" s="322">
        <f t="shared" si="0"/>
        <v>0.49000000000000021</v>
      </c>
      <c r="E29" s="194"/>
      <c r="I29" s="199"/>
      <c r="J29" s="190"/>
      <c r="K29" s="190"/>
      <c r="L29" s="190"/>
      <c r="M29" s="193"/>
    </row>
    <row r="30" spans="2:13" ht="13.5" customHeight="1" x14ac:dyDescent="0.3">
      <c r="B30" s="324">
        <v>11.5</v>
      </c>
      <c r="C30" s="247">
        <v>5.6350000000000016</v>
      </c>
      <c r="D30" s="322">
        <f t="shared" si="0"/>
        <v>0.49000000000000021</v>
      </c>
      <c r="E30" s="194"/>
      <c r="F30" s="591" t="s">
        <v>522</v>
      </c>
      <c r="G30" s="592"/>
      <c r="H30" s="592"/>
      <c r="I30" s="592"/>
      <c r="J30" s="592"/>
      <c r="K30" s="592"/>
      <c r="L30" s="593"/>
      <c r="M30" s="193"/>
    </row>
    <row r="31" spans="2:13" x14ac:dyDescent="0.3">
      <c r="B31" s="324">
        <v>12</v>
      </c>
      <c r="C31" s="247">
        <v>5.8800000000000017</v>
      </c>
      <c r="D31" s="322">
        <f t="shared" si="0"/>
        <v>0.49000000000000021</v>
      </c>
      <c r="E31" s="194"/>
      <c r="F31" s="210"/>
      <c r="G31" s="211"/>
      <c r="H31" s="211"/>
      <c r="I31" s="211"/>
      <c r="J31" s="211"/>
      <c r="K31" s="211"/>
      <c r="L31" s="212"/>
      <c r="M31" s="193"/>
    </row>
    <row r="32" spans="2:13" x14ac:dyDescent="0.3">
      <c r="B32" s="324">
        <v>12.5</v>
      </c>
      <c r="C32" s="247">
        <v>6.1250000000000018</v>
      </c>
      <c r="D32" s="322">
        <f t="shared" si="0"/>
        <v>0.49000000000000021</v>
      </c>
      <c r="E32" s="194"/>
      <c r="F32" s="277" t="s">
        <v>519</v>
      </c>
      <c r="G32" s="278"/>
      <c r="H32" s="278"/>
      <c r="I32" s="211"/>
      <c r="J32" s="211"/>
      <c r="K32" s="211"/>
      <c r="L32" s="212"/>
      <c r="M32" s="193"/>
    </row>
    <row r="33" spans="2:13" x14ac:dyDescent="0.3">
      <c r="B33" s="324">
        <v>13</v>
      </c>
      <c r="C33" s="247">
        <v>6.3700000000000019</v>
      </c>
      <c r="D33" s="322">
        <f t="shared" si="0"/>
        <v>0.49000000000000021</v>
      </c>
      <c r="E33" s="194"/>
      <c r="F33" s="210"/>
      <c r="G33" s="211"/>
      <c r="H33" s="211"/>
      <c r="I33" s="211"/>
      <c r="J33" s="211"/>
      <c r="K33" s="211"/>
      <c r="L33" s="212"/>
      <c r="M33" s="204"/>
    </row>
    <row r="34" spans="2:13" x14ac:dyDescent="0.3">
      <c r="B34" s="324">
        <v>13.5</v>
      </c>
      <c r="C34" s="247">
        <v>6.615000000000002</v>
      </c>
      <c r="D34" s="322">
        <f t="shared" si="0"/>
        <v>0.49000000000000021</v>
      </c>
      <c r="E34" s="194"/>
      <c r="F34" s="210"/>
      <c r="G34" s="211" t="s">
        <v>680</v>
      </c>
      <c r="H34" s="211"/>
      <c r="I34" s="214">
        <v>4.0000000000000001E-3</v>
      </c>
      <c r="J34" s="211"/>
      <c r="K34" s="237" t="s">
        <v>542</v>
      </c>
      <c r="L34" s="236"/>
      <c r="M34" s="204"/>
    </row>
    <row r="35" spans="2:13" x14ac:dyDescent="0.3">
      <c r="B35" s="324">
        <v>14</v>
      </c>
      <c r="C35" s="247">
        <v>6.8600000000000021</v>
      </c>
      <c r="D35" s="322">
        <f t="shared" si="0"/>
        <v>0.49000000000000021</v>
      </c>
      <c r="E35" s="186"/>
      <c r="F35" s="210"/>
      <c r="G35" s="211"/>
      <c r="H35" s="211"/>
      <c r="I35" s="211"/>
      <c r="J35" s="211"/>
      <c r="K35" s="237" t="s">
        <v>543</v>
      </c>
      <c r="L35" s="212"/>
      <c r="M35" s="279"/>
    </row>
    <row r="36" spans="2:13" x14ac:dyDescent="0.3">
      <c r="B36" s="324">
        <v>14.5</v>
      </c>
      <c r="C36" s="247">
        <v>7.1050000000000022</v>
      </c>
      <c r="D36" s="322">
        <f t="shared" si="0"/>
        <v>0.49000000000000021</v>
      </c>
      <c r="E36" s="186"/>
      <c r="F36" s="213"/>
      <c r="G36" s="211" t="s">
        <v>702</v>
      </c>
      <c r="H36" s="211"/>
      <c r="I36" s="214">
        <v>4.0000000000000002E-4</v>
      </c>
      <c r="J36" s="211"/>
      <c r="K36" s="328" t="s">
        <v>703</v>
      </c>
      <c r="L36" s="212"/>
      <c r="M36" s="208"/>
    </row>
    <row r="37" spans="2:13" x14ac:dyDescent="0.3">
      <c r="B37" s="324">
        <v>15</v>
      </c>
      <c r="C37" s="247">
        <v>7.3500000000000023</v>
      </c>
      <c r="D37" s="322">
        <f t="shared" si="0"/>
        <v>0.49000000000000021</v>
      </c>
      <c r="E37" s="186"/>
      <c r="F37" s="213"/>
      <c r="G37" s="211"/>
      <c r="H37" s="211"/>
      <c r="I37" s="211"/>
      <c r="J37" s="211"/>
      <c r="K37" s="211"/>
      <c r="L37" s="212"/>
    </row>
    <row r="38" spans="2:13" x14ac:dyDescent="0.3">
      <c r="B38" s="324">
        <v>15.5</v>
      </c>
      <c r="C38" s="247">
        <v>7.5950000000000024</v>
      </c>
      <c r="D38" s="322">
        <f t="shared" si="0"/>
        <v>0.49000000000000021</v>
      </c>
      <c r="E38" s="186"/>
      <c r="F38" s="277" t="s">
        <v>518</v>
      </c>
      <c r="G38" s="277"/>
      <c r="H38" s="278"/>
      <c r="I38" s="327"/>
      <c r="J38" s="211"/>
      <c r="K38" s="211"/>
      <c r="L38" s="212"/>
    </row>
    <row r="39" spans="2:13" x14ac:dyDescent="0.3">
      <c r="B39" s="324">
        <v>16</v>
      </c>
      <c r="C39" s="247">
        <v>7.8400000000000025</v>
      </c>
      <c r="D39" s="322">
        <f t="shared" si="0"/>
        <v>0.49000000000000021</v>
      </c>
      <c r="E39" s="186"/>
      <c r="F39" s="213"/>
      <c r="G39" s="211"/>
      <c r="H39" s="211"/>
      <c r="I39" s="211"/>
      <c r="J39" s="211"/>
      <c r="K39" s="211"/>
      <c r="L39" s="212"/>
    </row>
    <row r="40" spans="2:13" x14ac:dyDescent="0.3">
      <c r="B40" s="324">
        <v>16.5</v>
      </c>
      <c r="C40" s="247">
        <v>8.0850000000000026</v>
      </c>
      <c r="D40" s="322">
        <f t="shared" si="0"/>
        <v>0.49000000000000021</v>
      </c>
      <c r="E40" s="186"/>
      <c r="F40" s="213"/>
      <c r="G40" s="211" t="s">
        <v>681</v>
      </c>
      <c r="H40" s="211"/>
      <c r="I40" s="234">
        <v>10</v>
      </c>
      <c r="J40" s="211"/>
      <c r="K40" s="211"/>
      <c r="L40" s="212"/>
    </row>
    <row r="41" spans="2:13" x14ac:dyDescent="0.3">
      <c r="B41" s="324">
        <v>17</v>
      </c>
      <c r="C41" s="247">
        <v>8.3300000000000018</v>
      </c>
      <c r="D41" s="322">
        <f t="shared" si="0"/>
        <v>0.48999999999999844</v>
      </c>
      <c r="E41" s="186"/>
      <c r="F41" s="210"/>
      <c r="G41" s="211"/>
      <c r="H41" s="211"/>
      <c r="I41" s="211"/>
      <c r="J41" s="211"/>
      <c r="K41" s="211"/>
      <c r="L41" s="212"/>
      <c r="M41" s="191"/>
    </row>
    <row r="42" spans="2:13" x14ac:dyDescent="0.3">
      <c r="B42" s="324">
        <v>17.5</v>
      </c>
      <c r="C42" s="247">
        <v>8.5750000000000011</v>
      </c>
      <c r="D42" s="322">
        <f t="shared" si="0"/>
        <v>0.48999999999999844</v>
      </c>
      <c r="E42" s="186"/>
      <c r="F42" s="210"/>
      <c r="G42" s="215"/>
      <c r="H42" s="215"/>
      <c r="I42" s="215"/>
      <c r="J42" s="211"/>
      <c r="K42" s="211"/>
      <c r="L42" s="212"/>
      <c r="M42" s="191"/>
    </row>
    <row r="43" spans="2:13" x14ac:dyDescent="0.3">
      <c r="B43" s="324">
        <v>18</v>
      </c>
      <c r="C43" s="247">
        <v>8.82</v>
      </c>
      <c r="D43" s="322">
        <f t="shared" si="0"/>
        <v>0.48999999999999844</v>
      </c>
      <c r="E43" s="186"/>
      <c r="F43" s="210"/>
      <c r="G43" s="215"/>
      <c r="H43" s="215"/>
      <c r="I43" s="215"/>
      <c r="J43" s="211"/>
      <c r="K43" s="211"/>
      <c r="L43" s="212"/>
    </row>
    <row r="44" spans="2:13" ht="12.75" customHeight="1" x14ac:dyDescent="0.3">
      <c r="B44" s="324">
        <v>18.5</v>
      </c>
      <c r="C44" s="247">
        <v>9.0649999999999995</v>
      </c>
      <c r="D44" s="322">
        <f t="shared" si="0"/>
        <v>0.48999999999999844</v>
      </c>
      <c r="E44" s="186"/>
      <c r="F44" s="210"/>
      <c r="G44" s="215"/>
      <c r="H44" s="215"/>
      <c r="I44" s="215"/>
      <c r="J44" s="211"/>
      <c r="K44" s="211"/>
      <c r="L44" s="212"/>
    </row>
    <row r="45" spans="2:13" x14ac:dyDescent="0.3">
      <c r="B45" s="324">
        <v>19</v>
      </c>
      <c r="C45" s="247">
        <v>9.3099999999999987</v>
      </c>
      <c r="D45" s="322">
        <f t="shared" si="0"/>
        <v>0.48999999999999844</v>
      </c>
      <c r="E45" s="186"/>
      <c r="F45" s="210"/>
      <c r="G45" s="215"/>
      <c r="H45" s="215"/>
      <c r="I45" s="215"/>
      <c r="J45" s="211"/>
      <c r="K45" s="211"/>
      <c r="L45" s="212"/>
    </row>
    <row r="46" spans="2:13" ht="14" thickBot="1" x14ac:dyDescent="0.35">
      <c r="B46" s="324">
        <v>19.5</v>
      </c>
      <c r="C46" s="247">
        <v>9.5549999999999979</v>
      </c>
      <c r="D46" s="322">
        <f t="shared" si="0"/>
        <v>0.48999999999999844</v>
      </c>
      <c r="E46" s="186"/>
      <c r="F46" s="216"/>
      <c r="G46" s="217"/>
      <c r="H46" s="217"/>
      <c r="I46" s="217"/>
      <c r="J46" s="217"/>
      <c r="K46" s="217"/>
      <c r="L46" s="218"/>
    </row>
    <row r="47" spans="2:13" x14ac:dyDescent="0.3">
      <c r="B47" s="324">
        <v>20</v>
      </c>
      <c r="C47" s="247">
        <v>9.7999999999999972</v>
      </c>
      <c r="D47" s="322">
        <f t="shared" si="0"/>
        <v>0.48999999999999844</v>
      </c>
      <c r="E47" s="186"/>
    </row>
    <row r="48" spans="2:13" x14ac:dyDescent="0.3">
      <c r="B48" s="324">
        <v>20.5</v>
      </c>
      <c r="C48" s="247">
        <v>10.045004948667208</v>
      </c>
      <c r="D48" s="322">
        <f t="shared" si="0"/>
        <v>0.49000989733442069</v>
      </c>
      <c r="E48" s="186"/>
    </row>
    <row r="49" spans="2:12" ht="14" thickBot="1" x14ac:dyDescent="0.35">
      <c r="B49" s="324">
        <v>21</v>
      </c>
      <c r="C49" s="247">
        <v>10.290024709318077</v>
      </c>
      <c r="D49" s="322">
        <f t="shared" si="0"/>
        <v>0.490039521301739</v>
      </c>
      <c r="E49" s="186"/>
    </row>
    <row r="50" spans="2:12" x14ac:dyDescent="0.3">
      <c r="B50" s="324">
        <v>21.5</v>
      </c>
      <c r="C50" s="247">
        <v>10.535069130663009</v>
      </c>
      <c r="D50" s="322">
        <f t="shared" si="0"/>
        <v>0.49008884268986463</v>
      </c>
      <c r="E50" s="186"/>
      <c r="F50" s="220" t="s">
        <v>516</v>
      </c>
      <c r="G50" s="221" t="s">
        <v>517</v>
      </c>
      <c r="H50" s="221"/>
      <c r="I50" s="222"/>
      <c r="J50" s="205"/>
    </row>
    <row r="51" spans="2:12" x14ac:dyDescent="0.3">
      <c r="B51" s="324">
        <v>22</v>
      </c>
      <c r="C51" s="247">
        <v>10.780148037076716</v>
      </c>
      <c r="D51" s="322">
        <f t="shared" si="0"/>
        <v>0.49015781282741244</v>
      </c>
      <c r="E51" s="186"/>
      <c r="F51" s="223"/>
      <c r="G51" s="205"/>
      <c r="H51" s="205"/>
      <c r="I51" s="205"/>
      <c r="J51" s="205"/>
    </row>
    <row r="52" spans="2:12" x14ac:dyDescent="0.3">
      <c r="B52" s="324">
        <v>22.5</v>
      </c>
      <c r="C52" s="247">
        <v>11.025271218903315</v>
      </c>
      <c r="D52" s="322">
        <f t="shared" si="0"/>
        <v>0.49024636365319907</v>
      </c>
      <c r="E52" s="186"/>
      <c r="F52" s="346" t="s">
        <v>682</v>
      </c>
      <c r="G52" s="347"/>
      <c r="H52" s="347"/>
      <c r="I52" s="347"/>
      <c r="J52" s="347"/>
      <c r="K52" s="348"/>
      <c r="L52" s="348"/>
    </row>
    <row r="53" spans="2:12" x14ac:dyDescent="0.3">
      <c r="B53" s="324">
        <v>23</v>
      </c>
      <c r="C53" s="247">
        <v>11.270448422795017</v>
      </c>
      <c r="D53" s="322">
        <f t="shared" si="0"/>
        <v>0.49035440778340345</v>
      </c>
      <c r="E53" s="186"/>
      <c r="F53" s="349" t="s">
        <v>512</v>
      </c>
      <c r="G53" s="602" t="str">
        <f>Txt2Kon_4($F$17)&amp;Txt2Kon_4($F$18)&amp;Txt2Kon_4($F$19)&amp;Txt2Kon_4($F$20)&amp;Txt2Kon_4($F$21)&amp;Txt2Kon_4($F$22)&amp;Txt2Kon_4($F$23)&amp;Txt2Kon_4($F$24)&amp;Txt2Kon_4($F$25)&amp;Txt2Kon_4($F$26)</f>
        <v xml:space="preserve">0.0000     22.5000     28.5000     35.0000     42.0000     49.0000     56.0000     62.5000     68.5000     90.5121     </v>
      </c>
      <c r="H53" s="602"/>
      <c r="I53" s="602"/>
      <c r="J53" s="602"/>
      <c r="K53" s="602"/>
      <c r="L53" s="602"/>
    </row>
    <row r="54" spans="2:12" x14ac:dyDescent="0.3">
      <c r="B54" s="324">
        <v>23.5</v>
      </c>
      <c r="C54" s="247">
        <v>11.515689342093919</v>
      </c>
      <c r="D54" s="322">
        <f t="shared" si="0"/>
        <v>0.49048183859780536</v>
      </c>
      <c r="E54" s="186"/>
      <c r="F54" s="350"/>
      <c r="G54" s="348"/>
      <c r="H54" s="348"/>
      <c r="I54" s="348"/>
      <c r="J54" s="348"/>
      <c r="K54" s="348"/>
      <c r="L54" s="348"/>
    </row>
    <row r="55" spans="2:12" x14ac:dyDescent="0.3">
      <c r="B55" s="324">
        <v>24</v>
      </c>
      <c r="C55" s="247">
        <v>11.761003607266412</v>
      </c>
      <c r="D55" s="322">
        <f t="shared" si="0"/>
        <v>0.49062853034498488</v>
      </c>
      <c r="E55" s="186"/>
      <c r="F55" s="351" t="s">
        <v>683</v>
      </c>
      <c r="G55" s="348"/>
      <c r="H55" s="348"/>
      <c r="I55" s="348"/>
      <c r="J55" s="348"/>
      <c r="K55" s="348"/>
      <c r="L55" s="348"/>
    </row>
    <row r="56" spans="2:12" x14ac:dyDescent="0.3">
      <c r="B56" s="324">
        <v>24.5</v>
      </c>
      <c r="C56" s="247">
        <v>12.006400776399634</v>
      </c>
      <c r="D56" s="322">
        <f t="shared" si="0"/>
        <v>0.49079433826644348</v>
      </c>
      <c r="E56" s="186"/>
      <c r="F56" s="349" t="s">
        <v>512</v>
      </c>
      <c r="G56" s="602" t="str">
        <f>Txt2Kon_4($G$17)&amp;Txt2Kon_4($G$18)&amp;Txt2Kon_4($G$19)&amp;Txt2Kon_4($G$20)&amp;Txt2Kon_4($G$21)&amp;Txt2Kon_4($G$22)&amp;Txt2Kon_4($G$23)&amp;Txt2Kon_4($G$24)&amp;Txt2Kon_4($G$25)&amp;Txt2Kon_4($G$26)</f>
        <v xml:space="preserve">0.0000     11.0254     13.9745     17.1915     20.7078     24.2842     27.9198     31.3409     34.5155     46.1814     </v>
      </c>
      <c r="H56" s="602"/>
      <c r="I56" s="602"/>
      <c r="J56" s="602"/>
      <c r="K56" s="602"/>
      <c r="L56" s="602"/>
    </row>
    <row r="57" spans="2:12" x14ac:dyDescent="0.3">
      <c r="B57" s="324">
        <v>25</v>
      </c>
      <c r="C57" s="247">
        <v>12.251890325769349</v>
      </c>
      <c r="D57" s="322">
        <f t="shared" si="0"/>
        <v>0.49097909873943024</v>
      </c>
      <c r="E57" s="186"/>
      <c r="F57" s="350"/>
      <c r="G57" s="352"/>
      <c r="H57" s="352"/>
      <c r="I57" s="348"/>
      <c r="J57" s="348"/>
      <c r="K57" s="348"/>
      <c r="L57" s="348"/>
    </row>
    <row r="58" spans="2:12" x14ac:dyDescent="0.3">
      <c r="B58" s="324">
        <v>25.5</v>
      </c>
      <c r="C58" s="247">
        <v>12.497481640488559</v>
      </c>
      <c r="D58" s="322">
        <f t="shared" si="0"/>
        <v>0.49118262943841984</v>
      </c>
      <c r="E58" s="186"/>
      <c r="F58" s="351" t="s">
        <v>684</v>
      </c>
      <c r="G58" s="352"/>
      <c r="H58" s="352"/>
      <c r="I58" s="352"/>
      <c r="J58" s="347"/>
      <c r="K58" s="348"/>
      <c r="L58" s="348"/>
    </row>
    <row r="59" spans="2:12" x14ac:dyDescent="0.3">
      <c r="B59" s="324">
        <v>26</v>
      </c>
      <c r="C59" s="247">
        <v>12.743184005246071</v>
      </c>
      <c r="D59" s="322">
        <f t="shared" si="0"/>
        <v>0.49140472951502545</v>
      </c>
      <c r="E59" s="186"/>
      <c r="F59" s="349" t="s">
        <v>512</v>
      </c>
      <c r="G59" s="602" t="str">
        <f>Txt2Kon_4($H$17)&amp;Txt2Kon_4($H$18)&amp;Txt2Kon_4($H$19)&amp;Txt2Kon_4($H$20)&amp;Txt2Kon_4($H$21)&amp;Txt2Kon_4($H$22)&amp;Txt2Kon_4($H$23)&amp;Txt2Kon_4($H$24)&amp;Txt2Kon_4($H$25)&amp;Txt2Kon_4($H$26)</f>
        <v xml:space="preserve">0.4900     0.4902     0.4928     0.4982     0.5063     0.5150     0.5227     0.5278     0.5299     0.5300     </v>
      </c>
      <c r="H59" s="602"/>
      <c r="I59" s="602"/>
      <c r="J59" s="602"/>
      <c r="K59" s="602"/>
      <c r="L59" s="602"/>
    </row>
    <row r="60" spans="2:12" x14ac:dyDescent="0.3">
      <c r="B60" s="324">
        <v>26.5</v>
      </c>
      <c r="C60" s="247">
        <v>12.989006595144183</v>
      </c>
      <c r="D60" s="322">
        <f t="shared" si="0"/>
        <v>0.49164517979622246</v>
      </c>
      <c r="E60" s="186"/>
      <c r="F60" s="224"/>
    </row>
    <row r="61" spans="2:12" x14ac:dyDescent="0.3">
      <c r="B61" s="324">
        <v>27</v>
      </c>
      <c r="C61" s="247">
        <v>13.234958466644484</v>
      </c>
      <c r="D61" s="322">
        <f t="shared" si="0"/>
        <v>0.49190374300060213</v>
      </c>
      <c r="E61" s="186"/>
      <c r="F61" s="207"/>
    </row>
    <row r="62" spans="2:12" x14ac:dyDescent="0.3">
      <c r="B62" s="324">
        <v>27.5</v>
      </c>
      <c r="C62" s="247">
        <v>13.481048548630758</v>
      </c>
      <c r="D62" s="322">
        <f t="shared" si="0"/>
        <v>0.49218016397254871</v>
      </c>
      <c r="E62" s="186"/>
    </row>
    <row r="63" spans="2:12" x14ac:dyDescent="0.3">
      <c r="B63" s="324">
        <v>28</v>
      </c>
      <c r="C63" s="247">
        <v>13.727285633597772</v>
      </c>
      <c r="D63" s="322">
        <f t="shared" si="0"/>
        <v>0.49247416993402737</v>
      </c>
      <c r="E63" s="186"/>
    </row>
    <row r="64" spans="2:12" x14ac:dyDescent="0.3">
      <c r="B64" s="324">
        <v>28.5</v>
      </c>
      <c r="C64" s="247">
        <v>13.973678368974653</v>
      </c>
      <c r="D64" s="322">
        <f t="shared" si="0"/>
        <v>0.49278547075376267</v>
      </c>
      <c r="E64" s="186"/>
    </row>
    <row r="65" spans="2:13" x14ac:dyDescent="0.3">
      <c r="B65" s="324">
        <v>29</v>
      </c>
      <c r="C65" s="247">
        <v>14.220235248591427</v>
      </c>
      <c r="D65" s="322">
        <f t="shared" si="0"/>
        <v>0.49311375923354817</v>
      </c>
      <c r="E65" s="186"/>
    </row>
    <row r="66" spans="2:13" x14ac:dyDescent="0.3">
      <c r="B66" s="324">
        <v>29.5</v>
      </c>
      <c r="C66" s="247">
        <v>14.466964604297125</v>
      </c>
      <c r="D66" s="322">
        <f t="shared" si="0"/>
        <v>0.49345871141139597</v>
      </c>
      <c r="E66" s="186"/>
      <c r="F66" s="207"/>
      <c r="G66" s="225"/>
      <c r="H66" s="225"/>
      <c r="I66" s="225"/>
      <c r="J66" s="205"/>
    </row>
    <row r="67" spans="2:13" x14ac:dyDescent="0.3">
      <c r="B67" s="324">
        <v>30</v>
      </c>
      <c r="C67" s="247">
        <v>14.713874597737743</v>
      </c>
      <c r="D67" s="322">
        <f t="shared" si="0"/>
        <v>0.49381998688123474</v>
      </c>
      <c r="E67" s="186"/>
      <c r="F67" s="207"/>
    </row>
    <row r="68" spans="2:13" x14ac:dyDescent="0.3">
      <c r="B68" s="324">
        <v>30.5</v>
      </c>
      <c r="C68" s="247">
        <v>14.96097321230215</v>
      </c>
      <c r="D68" s="322">
        <f t="shared" si="0"/>
        <v>0.49419722912881525</v>
      </c>
      <c r="E68" s="186"/>
      <c r="F68" s="287"/>
      <c r="G68" s="226"/>
      <c r="H68" s="226"/>
      <c r="I68" s="226"/>
      <c r="J68" s="226"/>
      <c r="K68" s="226"/>
      <c r="L68" s="191"/>
      <c r="M68" s="191"/>
    </row>
    <row r="69" spans="2:13" x14ac:dyDescent="0.3">
      <c r="B69" s="324">
        <v>31</v>
      </c>
      <c r="C69" s="247">
        <v>15.208268245243923</v>
      </c>
      <c r="D69" s="322">
        <f t="shared" si="0"/>
        <v>0.49459006588354626</v>
      </c>
      <c r="E69" s="186"/>
      <c r="F69" s="287"/>
      <c r="G69" s="226"/>
      <c r="H69" s="226"/>
      <c r="I69" s="226"/>
      <c r="J69" s="226"/>
      <c r="K69" s="226"/>
      <c r="L69" s="191"/>
      <c r="M69" s="191"/>
    </row>
    <row r="70" spans="2:13" x14ac:dyDescent="0.3">
      <c r="B70" s="324">
        <v>31.5</v>
      </c>
      <c r="C70" s="247">
        <v>15.455767299986846</v>
      </c>
      <c r="D70" s="322">
        <f t="shared" si="0"/>
        <v>0.49499810948584511</v>
      </c>
      <c r="E70" s="186"/>
      <c r="F70" s="284"/>
      <c r="G70" s="284"/>
      <c r="H70" s="284"/>
      <c r="I70" s="226"/>
      <c r="J70" s="226"/>
      <c r="K70" s="226"/>
      <c r="L70" s="191"/>
      <c r="M70" s="191"/>
    </row>
    <row r="71" spans="2:13" x14ac:dyDescent="0.3">
      <c r="B71" s="324">
        <v>32</v>
      </c>
      <c r="C71" s="247">
        <v>15.703477778621689</v>
      </c>
      <c r="D71" s="322">
        <f t="shared" si="0"/>
        <v>0.49542095726968682</v>
      </c>
      <c r="E71" s="186"/>
      <c r="F71" s="283"/>
      <c r="G71" s="283"/>
      <c r="H71" s="283"/>
      <c r="I71" s="226"/>
      <c r="J71" s="226"/>
      <c r="K71" s="226"/>
      <c r="L71" s="191"/>
      <c r="M71" s="191"/>
    </row>
    <row r="72" spans="2:13" x14ac:dyDescent="0.3">
      <c r="B72" s="324">
        <v>32.5</v>
      </c>
      <c r="C72" s="247">
        <v>15.951406874601675</v>
      </c>
      <c r="D72" s="322">
        <f t="shared" si="0"/>
        <v>0.49585819195997161</v>
      </c>
      <c r="E72" s="186"/>
      <c r="F72" s="204"/>
      <c r="G72" s="204"/>
      <c r="H72" s="204"/>
      <c r="I72" s="226"/>
      <c r="J72" s="226"/>
      <c r="K72" s="226"/>
      <c r="L72" s="191"/>
      <c r="M72" s="191"/>
    </row>
    <row r="73" spans="2:13" x14ac:dyDescent="0.3">
      <c r="B73" s="324">
        <v>33</v>
      </c>
      <c r="C73" s="247">
        <v>16.199561565643826</v>
      </c>
      <c r="D73" s="322">
        <f t="shared" ref="D73:D136" si="1">(C73-C72)/(B73-B72)</f>
        <v>0.49630938208430209</v>
      </c>
      <c r="E73" s="186"/>
      <c r="F73" s="287"/>
      <c r="G73" s="287"/>
      <c r="H73" s="287"/>
      <c r="I73" s="226"/>
      <c r="J73" s="226"/>
      <c r="K73" s="226"/>
      <c r="L73" s="191"/>
      <c r="M73" s="191"/>
    </row>
    <row r="74" spans="2:13" x14ac:dyDescent="0.3">
      <c r="B74" s="324">
        <v>33.5</v>
      </c>
      <c r="C74" s="247">
        <v>16.447948606843202</v>
      </c>
      <c r="D74" s="322">
        <f t="shared" si="1"/>
        <v>0.4967740823987512</v>
      </c>
      <c r="E74" s="186"/>
      <c r="F74" s="287"/>
      <c r="G74" s="287"/>
      <c r="H74" s="287"/>
      <c r="I74" s="226"/>
      <c r="J74" s="226"/>
      <c r="K74" s="226"/>
      <c r="L74" s="191"/>
      <c r="M74" s="191"/>
    </row>
    <row r="75" spans="2:13" x14ac:dyDescent="0.3">
      <c r="B75" s="324">
        <v>34</v>
      </c>
      <c r="C75" s="247">
        <v>16.696574524006838</v>
      </c>
      <c r="D75" s="322">
        <f t="shared" si="1"/>
        <v>0.49725183432727249</v>
      </c>
      <c r="E75" s="186"/>
      <c r="F75" s="287"/>
      <c r="G75" s="287"/>
      <c r="H75" s="287"/>
      <c r="I75" s="226"/>
      <c r="J75" s="226"/>
      <c r="K75" s="226"/>
      <c r="L75" s="191"/>
      <c r="M75" s="191"/>
    </row>
    <row r="76" spans="2:13" x14ac:dyDescent="0.3">
      <c r="B76" s="324">
        <v>34.5</v>
      </c>
      <c r="C76" s="247">
        <v>16.945445607213934</v>
      </c>
      <c r="D76" s="322">
        <f t="shared" si="1"/>
        <v>0.49774216641419144</v>
      </c>
      <c r="E76" s="186"/>
      <c r="F76" s="287"/>
      <c r="G76" s="287"/>
      <c r="H76" s="287"/>
      <c r="I76" s="226"/>
      <c r="J76" s="226"/>
      <c r="K76" s="226"/>
      <c r="L76" s="191"/>
      <c r="M76" s="191"/>
    </row>
    <row r="77" spans="2:13" x14ac:dyDescent="0.3">
      <c r="B77" s="324">
        <v>35</v>
      </c>
      <c r="C77" s="247">
        <v>17.194567904608675</v>
      </c>
      <c r="D77" s="322">
        <f t="shared" si="1"/>
        <v>0.49824459478948313</v>
      </c>
      <c r="E77" s="186"/>
      <c r="F77" s="287"/>
      <c r="G77" s="287"/>
      <c r="H77" s="287"/>
      <c r="I77" s="226"/>
      <c r="J77" s="226"/>
      <c r="K77" s="226"/>
      <c r="L77" s="191"/>
      <c r="M77" s="191"/>
    </row>
    <row r="78" spans="2:13" x14ac:dyDescent="0.3">
      <c r="B78" s="324">
        <v>35.5</v>
      </c>
      <c r="C78" s="247">
        <v>17.443947216431795</v>
      </c>
      <c r="D78" s="322">
        <f t="shared" si="1"/>
        <v>0.49875862364623913</v>
      </c>
      <c r="E78" s="186"/>
      <c r="F78" s="287"/>
      <c r="G78" s="287"/>
      <c r="H78" s="287"/>
      <c r="I78" s="226"/>
      <c r="J78" s="226"/>
      <c r="K78" s="226"/>
      <c r="L78" s="191"/>
      <c r="M78" s="191"/>
    </row>
    <row r="79" spans="2:13" x14ac:dyDescent="0.3">
      <c r="B79" s="324">
        <v>36</v>
      </c>
      <c r="C79" s="247">
        <v>17.693589089296776</v>
      </c>
      <c r="D79" s="322">
        <f t="shared" si="1"/>
        <v>0.49928374572996148</v>
      </c>
      <c r="E79" s="186"/>
      <c r="F79" s="287"/>
      <c r="G79" s="287"/>
      <c r="H79" s="287"/>
      <c r="I79" s="191"/>
      <c r="J79" s="191"/>
      <c r="K79" s="191"/>
      <c r="L79" s="191"/>
      <c r="M79" s="191"/>
    </row>
    <row r="80" spans="2:13" x14ac:dyDescent="0.3">
      <c r="B80" s="324">
        <v>36.5</v>
      </c>
      <c r="C80" s="247">
        <v>17.943498810716328</v>
      </c>
      <c r="D80" s="322">
        <f t="shared" si="1"/>
        <v>0.49981944283910451</v>
      </c>
      <c r="E80" s="186"/>
      <c r="F80" s="287"/>
      <c r="G80" s="287"/>
      <c r="H80" s="287"/>
      <c r="I80" s="191"/>
      <c r="J80" s="191"/>
      <c r="K80" s="191"/>
      <c r="L80" s="191"/>
      <c r="M80" s="191"/>
    </row>
    <row r="81" spans="2:13" x14ac:dyDescent="0.3">
      <c r="B81" s="324">
        <v>37</v>
      </c>
      <c r="C81" s="247">
        <v>18.193681403884575</v>
      </c>
      <c r="D81" s="322">
        <f t="shared" si="1"/>
        <v>0.50036518633649507</v>
      </c>
      <c r="E81" s="186"/>
      <c r="F81" s="287"/>
      <c r="G81" s="287"/>
      <c r="H81" s="287"/>
      <c r="I81" s="191"/>
      <c r="J81" s="191"/>
      <c r="K81" s="191"/>
      <c r="L81" s="191"/>
      <c r="M81" s="191"/>
    </row>
    <row r="82" spans="2:13" x14ac:dyDescent="0.3">
      <c r="B82" s="324">
        <v>37.5</v>
      </c>
      <c r="C82" s="247">
        <v>18.444141622720046</v>
      </c>
      <c r="D82" s="322">
        <f t="shared" si="1"/>
        <v>0.50092043767094196</v>
      </c>
      <c r="E82" s="186"/>
      <c r="F82" s="287"/>
      <c r="G82" s="287"/>
      <c r="H82" s="287"/>
      <c r="I82" s="191"/>
      <c r="J82" s="191"/>
      <c r="K82" s="191"/>
      <c r="L82" s="191"/>
      <c r="M82" s="191"/>
    </row>
    <row r="83" spans="2:13" x14ac:dyDescent="0.3">
      <c r="B83" s="324">
        <v>38</v>
      </c>
      <c r="C83" s="247">
        <v>18.694883947174418</v>
      </c>
      <c r="D83" s="322">
        <f t="shared" si="1"/>
        <v>0.50148464890874322</v>
      </c>
      <c r="E83" s="186"/>
      <c r="F83" s="287"/>
      <c r="G83" s="287"/>
      <c r="H83" s="287"/>
      <c r="I83" s="191"/>
      <c r="J83" s="191"/>
      <c r="K83" s="191"/>
      <c r="L83" s="191"/>
      <c r="M83" s="191"/>
    </row>
    <row r="84" spans="2:13" x14ac:dyDescent="0.3">
      <c r="B84" s="324">
        <v>38.5</v>
      </c>
      <c r="C84" s="247">
        <v>18.945912578811598</v>
      </c>
      <c r="D84" s="322">
        <f t="shared" si="1"/>
        <v>0.5020572632743594</v>
      </c>
      <c r="E84" s="186"/>
      <c r="F84" s="287"/>
      <c r="G84" s="287"/>
      <c r="H84" s="287"/>
      <c r="I84" s="191"/>
      <c r="J84" s="191"/>
      <c r="K84" s="191"/>
      <c r="L84" s="191"/>
      <c r="M84" s="191"/>
    </row>
    <row r="85" spans="2:13" x14ac:dyDescent="0.3">
      <c r="B85" s="324">
        <v>39</v>
      </c>
      <c r="C85" s="247">
        <v>19.197231436661532</v>
      </c>
      <c r="D85" s="322">
        <f t="shared" si="1"/>
        <v>0.50263771569986915</v>
      </c>
      <c r="E85" s="186"/>
      <c r="F85" s="285"/>
      <c r="G85" s="285"/>
      <c r="H85" s="285"/>
      <c r="I85" s="191"/>
      <c r="J85" s="191"/>
      <c r="K85" s="191"/>
      <c r="L85" s="191"/>
      <c r="M85" s="191"/>
    </row>
    <row r="86" spans="2:13" x14ac:dyDescent="0.3">
      <c r="B86" s="324">
        <v>39.5</v>
      </c>
      <c r="C86" s="247">
        <v>19.448844153352834</v>
      </c>
      <c r="D86" s="322">
        <f t="shared" si="1"/>
        <v>0.50322543338260317</v>
      </c>
      <c r="E86" s="186"/>
      <c r="F86" s="191"/>
      <c r="G86" s="288"/>
      <c r="H86" s="288"/>
      <c r="I86" s="191"/>
      <c r="J86" s="191"/>
      <c r="K86" s="191"/>
      <c r="L86" s="191"/>
      <c r="M86" s="191"/>
    </row>
    <row r="87" spans="2:13" x14ac:dyDescent="0.3">
      <c r="B87" s="324">
        <v>40</v>
      </c>
      <c r="C87" s="247">
        <v>19.700754071528017</v>
      </c>
      <c r="D87" s="322">
        <f t="shared" si="1"/>
        <v>0.50381983635036676</v>
      </c>
      <c r="E87" s="186"/>
      <c r="F87" s="191"/>
      <c r="G87" s="288"/>
      <c r="H87" s="288"/>
      <c r="I87" s="191"/>
      <c r="J87" s="191"/>
      <c r="K87" s="191"/>
      <c r="L87" s="191"/>
      <c r="M87" s="191"/>
    </row>
    <row r="88" spans="2:13" x14ac:dyDescent="0.3">
      <c r="B88" s="324">
        <v>40.5</v>
      </c>
      <c r="C88" s="247">
        <v>19.952964240544912</v>
      </c>
      <c r="D88" s="322">
        <f t="shared" si="1"/>
        <v>0.50442033803378905</v>
      </c>
      <c r="E88" s="186"/>
      <c r="F88" s="287"/>
      <c r="G88" s="191"/>
      <c r="H88" s="191"/>
      <c r="I88" s="191"/>
      <c r="J88" s="191"/>
      <c r="K88" s="191"/>
      <c r="L88" s="191"/>
      <c r="M88" s="191"/>
    </row>
    <row r="89" spans="2:13" x14ac:dyDescent="0.3">
      <c r="B89" s="324">
        <v>41</v>
      </c>
      <c r="C89" s="247">
        <v>20.205477413467499</v>
      </c>
      <c r="D89" s="322">
        <f t="shared" si="1"/>
        <v>0.50502634584517381</v>
      </c>
      <c r="E89" s="186"/>
      <c r="F89" s="191"/>
      <c r="G89" s="191"/>
      <c r="H89" s="191"/>
      <c r="I89" s="191"/>
      <c r="J89" s="191"/>
      <c r="K89" s="191"/>
      <c r="L89" s="191"/>
      <c r="M89" s="191"/>
    </row>
    <row r="90" spans="2:13" x14ac:dyDescent="0.3">
      <c r="B90" s="324">
        <v>41.5</v>
      </c>
      <c r="C90" s="247">
        <v>20.458296044349112</v>
      </c>
      <c r="D90" s="322">
        <f t="shared" si="1"/>
        <v>0.50563726176322632</v>
      </c>
      <c r="E90" s="186"/>
      <c r="F90" s="191"/>
      <c r="G90" s="191"/>
      <c r="H90" s="191"/>
      <c r="I90" s="191"/>
      <c r="J90" s="191"/>
      <c r="K90" s="191"/>
      <c r="L90" s="191"/>
      <c r="M90" s="191"/>
    </row>
    <row r="91" spans="2:13" x14ac:dyDescent="0.3">
      <c r="B91" s="324">
        <v>42</v>
      </c>
      <c r="C91" s="247">
        <v>20.711422285810748</v>
      </c>
      <c r="D91" s="322">
        <f t="shared" si="1"/>
        <v>0.50625248292327285</v>
      </c>
      <c r="E91" s="186"/>
      <c r="F91" s="289"/>
      <c r="G91" s="290"/>
      <c r="H91" s="290"/>
      <c r="I91" s="191"/>
      <c r="J91" s="191"/>
      <c r="K91" s="191"/>
      <c r="L91" s="191"/>
      <c r="M91" s="191"/>
    </row>
    <row r="92" spans="2:13" x14ac:dyDescent="0.3">
      <c r="B92" s="324">
        <v>42.5</v>
      </c>
      <c r="C92" s="247">
        <v>20.964857986916797</v>
      </c>
      <c r="D92" s="322">
        <f t="shared" si="1"/>
        <v>0.50687140221209859</v>
      </c>
      <c r="E92" s="186"/>
      <c r="F92" s="287"/>
      <c r="G92" s="191"/>
      <c r="H92" s="191"/>
      <c r="I92" s="191"/>
      <c r="J92" s="191"/>
      <c r="K92" s="191"/>
      <c r="L92" s="191"/>
      <c r="M92" s="191"/>
    </row>
    <row r="93" spans="2:13" x14ac:dyDescent="0.3">
      <c r="B93" s="324">
        <v>43</v>
      </c>
      <c r="C93" s="247">
        <v>21.218604691350357</v>
      </c>
      <c r="D93" s="322">
        <f t="shared" si="1"/>
        <v>0.50749340886711991</v>
      </c>
      <c r="E93" s="186"/>
      <c r="F93" s="291"/>
      <c r="G93" s="226"/>
      <c r="H93" s="226"/>
      <c r="I93" s="226"/>
      <c r="J93" s="191"/>
      <c r="K93" s="191"/>
      <c r="L93" s="191"/>
      <c r="M93" s="191"/>
    </row>
    <row r="94" spans="2:13" x14ac:dyDescent="0.3">
      <c r="B94" s="324">
        <v>43.5</v>
      </c>
      <c r="C94" s="247">
        <v>21.472663635889894</v>
      </c>
      <c r="D94" s="322">
        <f t="shared" si="1"/>
        <v>0.50811788907907385</v>
      </c>
      <c r="E94" s="186"/>
      <c r="F94" s="287"/>
      <c r="G94" s="292"/>
      <c r="H94" s="292"/>
      <c r="I94" s="292"/>
      <c r="J94" s="292"/>
      <c r="K94" s="292"/>
      <c r="L94" s="292"/>
      <c r="M94" s="292"/>
    </row>
    <row r="95" spans="2:13" x14ac:dyDescent="0.3">
      <c r="B95" s="324">
        <v>44</v>
      </c>
      <c r="C95" s="247">
        <v>21.727035749188754</v>
      </c>
      <c r="D95" s="322">
        <f t="shared" si="1"/>
        <v>0.50874422659772023</v>
      </c>
      <c r="E95" s="186"/>
      <c r="F95" s="287"/>
      <c r="G95" s="292"/>
      <c r="H95" s="292"/>
      <c r="I95" s="292"/>
      <c r="J95" s="292"/>
      <c r="K95" s="292"/>
      <c r="L95" s="292"/>
      <c r="M95" s="292"/>
    </row>
    <row r="96" spans="2:13" x14ac:dyDescent="0.3">
      <c r="B96" s="324">
        <v>44.5</v>
      </c>
      <c r="C96" s="247">
        <v>21.981721650858759</v>
      </c>
      <c r="D96" s="322">
        <f t="shared" si="1"/>
        <v>0.50937180334000942</v>
      </c>
      <c r="E96" s="186"/>
      <c r="F96" s="287"/>
      <c r="G96" s="191"/>
      <c r="H96" s="191"/>
      <c r="I96" s="191"/>
      <c r="J96" s="191"/>
      <c r="K96" s="191"/>
      <c r="L96" s="191"/>
      <c r="M96" s="191"/>
    </row>
    <row r="97" spans="2:18" x14ac:dyDescent="0.3">
      <c r="B97" s="324">
        <v>45</v>
      </c>
      <c r="C97" s="247">
        <v>22.236721650858758</v>
      </c>
      <c r="D97" s="322">
        <f t="shared" si="1"/>
        <v>0.50999999999999801</v>
      </c>
      <c r="E97" s="186"/>
      <c r="F97" s="291"/>
      <c r="G97" s="226"/>
      <c r="H97" s="226"/>
      <c r="I97" s="226"/>
      <c r="J97" s="191"/>
      <c r="K97" s="191"/>
      <c r="L97" s="191"/>
      <c r="M97" s="191"/>
    </row>
    <row r="98" spans="2:18" x14ac:dyDescent="0.3">
      <c r="B98" s="324">
        <v>45.5</v>
      </c>
      <c r="C98" s="247">
        <v>22.492035749188751</v>
      </c>
      <c r="D98" s="322">
        <f t="shared" si="1"/>
        <v>0.5106281966599866</v>
      </c>
      <c r="E98" s="186"/>
      <c r="F98" s="287"/>
      <c r="G98" s="292"/>
      <c r="H98" s="292"/>
      <c r="I98" s="292"/>
      <c r="J98" s="292"/>
      <c r="K98" s="292"/>
      <c r="L98" s="292"/>
      <c r="M98" s="292"/>
    </row>
    <row r="99" spans="2:18" x14ac:dyDescent="0.3">
      <c r="B99" s="324">
        <v>46</v>
      </c>
      <c r="C99" s="247">
        <v>22.747663635889893</v>
      </c>
      <c r="D99" s="322">
        <f t="shared" si="1"/>
        <v>0.5112557734022829</v>
      </c>
      <c r="E99" s="186"/>
      <c r="F99" s="287"/>
      <c r="G99" s="292"/>
      <c r="H99" s="292"/>
      <c r="I99" s="292"/>
      <c r="J99" s="292"/>
      <c r="K99" s="292"/>
      <c r="L99" s="292"/>
      <c r="M99" s="292"/>
    </row>
    <row r="100" spans="2:18" x14ac:dyDescent="0.3">
      <c r="B100" s="324">
        <v>46.5</v>
      </c>
      <c r="C100" s="247">
        <v>23.003604691350358</v>
      </c>
      <c r="D100" s="322">
        <f t="shared" si="1"/>
        <v>0.51188211092092928</v>
      </c>
      <c r="E100" s="186"/>
      <c r="F100" s="287"/>
      <c r="G100" s="191"/>
      <c r="H100" s="191"/>
      <c r="I100" s="191"/>
      <c r="J100" s="191"/>
      <c r="K100" s="191"/>
      <c r="L100" s="191"/>
      <c r="M100" s="191"/>
    </row>
    <row r="101" spans="2:18" x14ac:dyDescent="0.3">
      <c r="B101" s="324">
        <v>47</v>
      </c>
      <c r="C101" s="247">
        <v>23.259857986916796</v>
      </c>
      <c r="D101" s="322">
        <f t="shared" si="1"/>
        <v>0.51250659113287611</v>
      </c>
      <c r="E101" s="186"/>
      <c r="F101" s="287"/>
      <c r="G101" s="191"/>
      <c r="H101" s="191"/>
      <c r="I101" s="191"/>
      <c r="J101" s="191"/>
      <c r="K101" s="191"/>
      <c r="L101" s="191"/>
      <c r="M101" s="191"/>
    </row>
    <row r="102" spans="2:18" s="229" customFormat="1" x14ac:dyDescent="0.3">
      <c r="B102" s="324">
        <v>47.5</v>
      </c>
      <c r="C102" s="247">
        <v>23.516422285810744</v>
      </c>
      <c r="D102" s="322">
        <f t="shared" si="1"/>
        <v>0.51312859778789743</v>
      </c>
      <c r="E102" s="227"/>
      <c r="F102" s="287"/>
      <c r="G102" s="191"/>
      <c r="H102" s="191"/>
      <c r="I102" s="191"/>
      <c r="J102" s="191"/>
      <c r="K102" s="191"/>
      <c r="L102" s="191"/>
      <c r="M102" s="191"/>
      <c r="N102" s="176"/>
      <c r="O102" s="176"/>
      <c r="P102" s="176"/>
      <c r="Q102" s="176"/>
      <c r="R102" s="176"/>
    </row>
    <row r="103" spans="2:18" x14ac:dyDescent="0.3">
      <c r="B103" s="324">
        <v>48</v>
      </c>
      <c r="C103" s="247">
        <v>23.773296044349109</v>
      </c>
      <c r="D103" s="322">
        <f t="shared" si="1"/>
        <v>0.51374751707673028</v>
      </c>
      <c r="E103" s="186"/>
      <c r="F103" s="207"/>
    </row>
    <row r="104" spans="2:18" x14ac:dyDescent="0.3">
      <c r="B104" s="324">
        <v>48.5</v>
      </c>
      <c r="C104" s="247">
        <v>24.030477413467494</v>
      </c>
      <c r="D104" s="322">
        <f t="shared" si="1"/>
        <v>0.5143627382367697</v>
      </c>
      <c r="E104" s="186"/>
      <c r="F104" s="207"/>
    </row>
    <row r="105" spans="2:18" x14ac:dyDescent="0.3">
      <c r="B105" s="324">
        <v>49</v>
      </c>
      <c r="C105" s="247">
        <v>24.287964240544909</v>
      </c>
      <c r="D105" s="322">
        <f t="shared" si="1"/>
        <v>0.51497365415482932</v>
      </c>
      <c r="E105" s="186"/>
      <c r="F105" s="207"/>
    </row>
    <row r="106" spans="2:18" x14ac:dyDescent="0.3">
      <c r="B106" s="324">
        <v>49.5</v>
      </c>
      <c r="C106" s="247">
        <v>24.545754071528012</v>
      </c>
      <c r="D106" s="322">
        <f t="shared" si="1"/>
        <v>0.51557966196620697</v>
      </c>
      <c r="E106" s="186"/>
      <c r="F106" s="207"/>
    </row>
    <row r="107" spans="2:18" x14ac:dyDescent="0.3">
      <c r="B107" s="324">
        <v>50</v>
      </c>
      <c r="C107" s="247">
        <v>24.803844153352831</v>
      </c>
      <c r="D107" s="322">
        <f t="shared" si="1"/>
        <v>0.51618016364963637</v>
      </c>
      <c r="E107" s="186"/>
      <c r="F107" s="207"/>
    </row>
    <row r="108" spans="2:18" x14ac:dyDescent="0.3">
      <c r="B108" s="324">
        <v>50.5</v>
      </c>
      <c r="C108" s="247">
        <v>25.062231436661527</v>
      </c>
      <c r="D108" s="322">
        <f t="shared" si="1"/>
        <v>0.51677456661739285</v>
      </c>
      <c r="E108" s="186"/>
      <c r="F108" s="207"/>
    </row>
    <row r="109" spans="2:18" ht="12.75" customHeight="1" x14ac:dyDescent="0.3">
      <c r="B109" s="324">
        <v>51</v>
      </c>
      <c r="C109" s="247">
        <v>25.320912578811591</v>
      </c>
      <c r="D109" s="322">
        <f t="shared" si="1"/>
        <v>0.51736228430012687</v>
      </c>
      <c r="E109" s="186"/>
      <c r="F109" s="207"/>
    </row>
    <row r="110" spans="2:18" ht="12.75" customHeight="1" x14ac:dyDescent="0.3">
      <c r="B110" s="324">
        <v>51.5</v>
      </c>
      <c r="C110" s="247">
        <v>25.579883947174412</v>
      </c>
      <c r="D110" s="322">
        <f t="shared" si="1"/>
        <v>0.51794273672564373</v>
      </c>
      <c r="E110" s="186"/>
      <c r="F110" s="207"/>
    </row>
    <row r="111" spans="2:18" ht="12.75" customHeight="1" x14ac:dyDescent="0.3">
      <c r="B111" s="324">
        <v>52</v>
      </c>
      <c r="C111" s="247">
        <v>25.839141622720039</v>
      </c>
      <c r="D111" s="322">
        <f t="shared" si="1"/>
        <v>0.5185153510912528</v>
      </c>
      <c r="E111" s="186"/>
      <c r="F111" s="207"/>
    </row>
    <row r="112" spans="2:18" ht="12.75" customHeight="1" x14ac:dyDescent="0.3">
      <c r="B112" s="324">
        <v>52.5</v>
      </c>
      <c r="C112" s="247">
        <v>26.098681403884566</v>
      </c>
      <c r="D112" s="322">
        <f t="shared" si="1"/>
        <v>0.51907956232905406</v>
      </c>
      <c r="E112" s="186"/>
      <c r="F112" s="207"/>
    </row>
    <row r="113" spans="2:6" ht="12.75" customHeight="1" x14ac:dyDescent="0.3">
      <c r="B113" s="324">
        <v>53</v>
      </c>
      <c r="C113" s="247">
        <v>26.35849881071632</v>
      </c>
      <c r="D113" s="322">
        <f t="shared" si="1"/>
        <v>0.51963481366350806</v>
      </c>
      <c r="E113" s="186"/>
      <c r="F113" s="207"/>
    </row>
    <row r="114" spans="2:6" ht="12.75" customHeight="1" x14ac:dyDescent="0.3">
      <c r="B114" s="324">
        <v>53.5</v>
      </c>
      <c r="C114" s="247">
        <v>26.618589089296766</v>
      </c>
      <c r="D114" s="322">
        <f t="shared" si="1"/>
        <v>0.52018055716089151</v>
      </c>
      <c r="E114" s="186"/>
      <c r="F114" s="207"/>
    </row>
    <row r="115" spans="2:6" ht="12.75" customHeight="1" x14ac:dyDescent="0.3">
      <c r="B115" s="324">
        <v>54</v>
      </c>
      <c r="C115" s="247">
        <v>26.878947216431786</v>
      </c>
      <c r="D115" s="322">
        <f t="shared" si="1"/>
        <v>0.52071625427004165</v>
      </c>
      <c r="E115" s="186"/>
      <c r="F115" s="207"/>
    </row>
    <row r="116" spans="2:6" ht="12.75" customHeight="1" x14ac:dyDescent="0.3">
      <c r="B116" s="324">
        <v>54.5</v>
      </c>
      <c r="C116" s="247">
        <v>27.139567904608668</v>
      </c>
      <c r="D116" s="322">
        <f t="shared" si="1"/>
        <v>0.521241376353764</v>
      </c>
      <c r="E116" s="186"/>
      <c r="F116" s="207"/>
    </row>
    <row r="117" spans="2:6" ht="12.75" customHeight="1" x14ac:dyDescent="0.3">
      <c r="B117" s="324">
        <v>55</v>
      </c>
      <c r="C117" s="247">
        <v>27.400445607213925</v>
      </c>
      <c r="D117" s="322">
        <f t="shared" si="1"/>
        <v>0.52175540521051289</v>
      </c>
      <c r="E117" s="186"/>
      <c r="F117" s="207"/>
    </row>
    <row r="118" spans="2:6" ht="12.75" customHeight="1" x14ac:dyDescent="0.3">
      <c r="B118" s="324">
        <v>55.5</v>
      </c>
      <c r="C118" s="247">
        <v>27.661574524006827</v>
      </c>
      <c r="D118" s="322">
        <f t="shared" si="1"/>
        <v>0.52225783358580458</v>
      </c>
      <c r="E118" s="186"/>
      <c r="F118" s="207"/>
    </row>
    <row r="119" spans="2:6" ht="12.75" customHeight="1" x14ac:dyDescent="0.3">
      <c r="B119" s="324">
        <v>56</v>
      </c>
      <c r="C119" s="247">
        <v>27.922948606843189</v>
      </c>
      <c r="D119" s="322">
        <f t="shared" si="1"/>
        <v>0.52274816567272353</v>
      </c>
      <c r="E119" s="186"/>
      <c r="F119" s="207"/>
    </row>
    <row r="120" spans="2:6" ht="12.75" customHeight="1" x14ac:dyDescent="0.3">
      <c r="B120" s="324">
        <v>56.5</v>
      </c>
      <c r="C120" s="247">
        <v>28.184561565643811</v>
      </c>
      <c r="D120" s="322">
        <f t="shared" si="1"/>
        <v>0.52322591760124482</v>
      </c>
      <c r="E120" s="186"/>
      <c r="F120" s="207"/>
    </row>
    <row r="121" spans="2:6" ht="12.75" customHeight="1" x14ac:dyDescent="0.3">
      <c r="B121" s="324">
        <v>57</v>
      </c>
      <c r="C121" s="247">
        <v>28.44640687460166</v>
      </c>
      <c r="D121" s="322">
        <f t="shared" si="1"/>
        <v>0.52369061791569749</v>
      </c>
      <c r="E121" s="186"/>
      <c r="F121" s="207"/>
    </row>
    <row r="122" spans="2:6" ht="12.75" customHeight="1" x14ac:dyDescent="0.3">
      <c r="B122" s="324">
        <v>57.5</v>
      </c>
      <c r="C122" s="247">
        <v>28.708477778621674</v>
      </c>
      <c r="D122" s="322">
        <f t="shared" si="1"/>
        <v>0.52414180804002797</v>
      </c>
      <c r="E122" s="186"/>
      <c r="F122" s="207"/>
    </row>
    <row r="123" spans="2:6" x14ac:dyDescent="0.3">
      <c r="B123" s="324">
        <v>58</v>
      </c>
      <c r="C123" s="247">
        <v>28.970767299986832</v>
      </c>
      <c r="D123" s="322">
        <f t="shared" si="1"/>
        <v>0.5245790427303163</v>
      </c>
      <c r="E123" s="186"/>
      <c r="F123" s="207"/>
    </row>
    <row r="124" spans="2:6" x14ac:dyDescent="0.3">
      <c r="B124" s="324">
        <v>58.5</v>
      </c>
      <c r="C124" s="247">
        <v>29.233268245243909</v>
      </c>
      <c r="D124" s="322">
        <f t="shared" si="1"/>
        <v>0.52500189051415447</v>
      </c>
      <c r="E124" s="186"/>
      <c r="F124" s="207"/>
    </row>
    <row r="125" spans="2:6" x14ac:dyDescent="0.3">
      <c r="B125" s="324">
        <v>59</v>
      </c>
      <c r="C125" s="247">
        <v>29.495973212302136</v>
      </c>
      <c r="D125" s="322">
        <f t="shared" si="1"/>
        <v>0.52540993411645331</v>
      </c>
      <c r="E125" s="186"/>
      <c r="F125" s="207"/>
    </row>
    <row r="126" spans="2:6" x14ac:dyDescent="0.3">
      <c r="B126" s="324">
        <v>59.5</v>
      </c>
      <c r="C126" s="247">
        <v>29.75887459773773</v>
      </c>
      <c r="D126" s="322">
        <f t="shared" si="1"/>
        <v>0.52580277087118787</v>
      </c>
      <c r="E126" s="186"/>
      <c r="F126" s="207"/>
    </row>
    <row r="127" spans="2:6" x14ac:dyDescent="0.3">
      <c r="B127" s="324">
        <v>60</v>
      </c>
      <c r="C127" s="247">
        <v>30.021964604297114</v>
      </c>
      <c r="D127" s="322">
        <f t="shared" si="1"/>
        <v>0.52618001311876839</v>
      </c>
      <c r="E127" s="186"/>
      <c r="F127" s="207"/>
    </row>
    <row r="128" spans="2:6" x14ac:dyDescent="0.3">
      <c r="B128" s="324">
        <v>60.5</v>
      </c>
      <c r="C128" s="247">
        <v>30.285235248591416</v>
      </c>
      <c r="D128" s="322">
        <f t="shared" si="1"/>
        <v>0.52654128858860361</v>
      </c>
      <c r="E128" s="186"/>
      <c r="F128" s="207"/>
    </row>
    <row r="129" spans="2:6" x14ac:dyDescent="0.3">
      <c r="B129" s="324">
        <v>61</v>
      </c>
      <c r="C129" s="247">
        <v>30.548678368974642</v>
      </c>
      <c r="D129" s="322">
        <f t="shared" si="1"/>
        <v>0.52688624076645141</v>
      </c>
      <c r="E129" s="186"/>
      <c r="F129" s="207"/>
    </row>
    <row r="130" spans="2:6" x14ac:dyDescent="0.3">
      <c r="B130" s="324">
        <v>61.5</v>
      </c>
      <c r="C130" s="247">
        <v>30.81228563359776</v>
      </c>
      <c r="D130" s="322">
        <f t="shared" si="1"/>
        <v>0.52721452924623691</v>
      </c>
      <c r="E130" s="186"/>
      <c r="F130" s="207"/>
    </row>
    <row r="131" spans="2:6" x14ac:dyDescent="0.3">
      <c r="B131" s="324">
        <v>62</v>
      </c>
      <c r="C131" s="247">
        <v>31.076048548630745</v>
      </c>
      <c r="D131" s="322">
        <f t="shared" si="1"/>
        <v>0.52752583006596865</v>
      </c>
      <c r="E131" s="186"/>
      <c r="F131" s="207"/>
    </row>
    <row r="132" spans="2:6" x14ac:dyDescent="0.3">
      <c r="B132" s="324">
        <v>62.5</v>
      </c>
      <c r="C132" s="247">
        <v>31.339958466644468</v>
      </c>
      <c r="D132" s="322">
        <f t="shared" si="1"/>
        <v>0.52781983602744731</v>
      </c>
      <c r="E132" s="186"/>
      <c r="F132" s="207"/>
    </row>
    <row r="133" spans="2:6" x14ac:dyDescent="0.3">
      <c r="B133" s="324">
        <v>63</v>
      </c>
      <c r="C133" s="247">
        <v>31.604006595144167</v>
      </c>
      <c r="D133" s="322">
        <f t="shared" si="1"/>
        <v>0.52809625699939744</v>
      </c>
      <c r="E133" s="186"/>
      <c r="F133" s="207"/>
    </row>
    <row r="134" spans="2:6" x14ac:dyDescent="0.3">
      <c r="B134" s="324">
        <v>63.5</v>
      </c>
      <c r="C134" s="247">
        <v>31.868184005246057</v>
      </c>
      <c r="D134" s="322">
        <f t="shared" si="1"/>
        <v>0.52835482020378066</v>
      </c>
      <c r="E134" s="186"/>
      <c r="F134" s="207"/>
    </row>
    <row r="135" spans="2:6" x14ac:dyDescent="0.3">
      <c r="B135" s="324">
        <v>64</v>
      </c>
      <c r="C135" s="247">
        <v>32.132481640488542</v>
      </c>
      <c r="D135" s="322">
        <f t="shared" si="1"/>
        <v>0.52859527048497057</v>
      </c>
      <c r="E135" s="186"/>
      <c r="F135" s="207"/>
    </row>
    <row r="136" spans="2:6" x14ac:dyDescent="0.3">
      <c r="B136" s="324">
        <v>64.5</v>
      </c>
      <c r="C136" s="247">
        <v>32.396890325769334</v>
      </c>
      <c r="D136" s="322">
        <f t="shared" si="1"/>
        <v>0.52881737056158329</v>
      </c>
      <c r="E136" s="186"/>
      <c r="F136" s="207"/>
    </row>
    <row r="137" spans="2:6" x14ac:dyDescent="0.3">
      <c r="B137" s="324">
        <v>65</v>
      </c>
      <c r="C137" s="247">
        <v>32.661400776399617</v>
      </c>
      <c r="D137" s="322">
        <f t="shared" ref="D137:D167" si="2">(C137-C136)/(B137-B136)</f>
        <v>0.52902090126056578</v>
      </c>
      <c r="E137" s="186"/>
      <c r="F137" s="207"/>
    </row>
    <row r="138" spans="2:6" x14ac:dyDescent="0.3">
      <c r="B138" s="324">
        <v>65.5</v>
      </c>
      <c r="C138" s="247">
        <v>32.926003607266395</v>
      </c>
      <c r="D138" s="322">
        <f t="shared" si="2"/>
        <v>0.5292056617335561</v>
      </c>
      <c r="E138" s="186"/>
      <c r="F138" s="207"/>
    </row>
    <row r="139" spans="2:6" x14ac:dyDescent="0.3">
      <c r="B139" s="324">
        <v>66</v>
      </c>
      <c r="C139" s="247">
        <v>33.190689342093904</v>
      </c>
      <c r="D139" s="322">
        <f t="shared" si="2"/>
        <v>0.52937146965501825</v>
      </c>
      <c r="E139" s="186"/>
      <c r="F139" s="207"/>
    </row>
    <row r="140" spans="2:6" x14ac:dyDescent="0.3">
      <c r="B140" s="324">
        <v>66.5</v>
      </c>
      <c r="C140" s="247">
        <v>33.455448422795001</v>
      </c>
      <c r="D140" s="322">
        <f t="shared" si="2"/>
        <v>0.52951816140219421</v>
      </c>
      <c r="E140" s="186"/>
      <c r="F140" s="207"/>
    </row>
    <row r="141" spans="2:6" x14ac:dyDescent="0.3">
      <c r="B141" s="324">
        <v>67</v>
      </c>
      <c r="C141" s="247">
        <v>33.720271218903299</v>
      </c>
      <c r="D141" s="322">
        <f t="shared" si="2"/>
        <v>0.52964559221659613</v>
      </c>
      <c r="E141" s="186"/>
      <c r="F141" s="207"/>
    </row>
    <row r="142" spans="2:6" x14ac:dyDescent="0.3">
      <c r="B142" s="324">
        <v>67.5</v>
      </c>
      <c r="C142" s="247">
        <v>33.985148037076698</v>
      </c>
      <c r="D142" s="322">
        <f t="shared" si="2"/>
        <v>0.52975363634679695</v>
      </c>
      <c r="E142" s="186"/>
      <c r="F142" s="207"/>
    </row>
    <row r="143" spans="2:6" x14ac:dyDescent="0.3">
      <c r="B143" s="324">
        <v>68</v>
      </c>
      <c r="C143" s="247">
        <v>34.250069130662993</v>
      </c>
      <c r="D143" s="322">
        <f t="shared" si="2"/>
        <v>0.52984218717259068</v>
      </c>
      <c r="E143" s="186"/>
      <c r="F143" s="207"/>
    </row>
    <row r="144" spans="2:6" x14ac:dyDescent="0.3">
      <c r="B144" s="324">
        <v>68.5</v>
      </c>
      <c r="C144" s="247">
        <v>34.515024709318062</v>
      </c>
      <c r="D144" s="322">
        <f t="shared" si="2"/>
        <v>0.52991115731013849</v>
      </c>
      <c r="E144" s="186"/>
      <c r="F144" s="207"/>
    </row>
    <row r="145" spans="2:6" x14ac:dyDescent="0.3">
      <c r="B145" s="324">
        <v>69</v>
      </c>
      <c r="C145" s="247">
        <v>34.780004948667191</v>
      </c>
      <c r="D145" s="322">
        <f t="shared" si="2"/>
        <v>0.52996047869825702</v>
      </c>
      <c r="E145" s="186"/>
      <c r="F145" s="207"/>
    </row>
    <row r="146" spans="2:6" x14ac:dyDescent="0.3">
      <c r="B146" s="324">
        <v>69.5</v>
      </c>
      <c r="C146" s="247">
        <v>35.04499999999998</v>
      </c>
      <c r="D146" s="322">
        <f t="shared" si="2"/>
        <v>0.52999010266557889</v>
      </c>
      <c r="E146" s="186"/>
      <c r="F146" s="207"/>
    </row>
    <row r="147" spans="2:6" x14ac:dyDescent="0.3">
      <c r="B147" s="324">
        <v>70</v>
      </c>
      <c r="C147" s="247">
        <v>35.309999999989252</v>
      </c>
      <c r="D147" s="322">
        <f>(C147-C146)/(B147-B146)</f>
        <v>0.52999999997854275</v>
      </c>
      <c r="E147" s="186"/>
      <c r="F147" s="207"/>
    </row>
    <row r="148" spans="2:6" x14ac:dyDescent="0.3">
      <c r="B148" s="324">
        <v>70.5</v>
      </c>
      <c r="C148" s="247">
        <v>35.574999999989252</v>
      </c>
      <c r="D148" s="322">
        <f t="shared" si="2"/>
        <v>0.53000000000000114</v>
      </c>
      <c r="E148" s="186"/>
      <c r="F148" s="207"/>
    </row>
    <row r="149" spans="2:6" x14ac:dyDescent="0.3">
      <c r="B149" s="324">
        <v>71</v>
      </c>
      <c r="C149" s="247">
        <v>35.839999999989253</v>
      </c>
      <c r="D149" s="322">
        <f t="shared" si="2"/>
        <v>0.53000000000000114</v>
      </c>
      <c r="E149" s="186"/>
      <c r="F149" s="207"/>
    </row>
    <row r="150" spans="2:6" x14ac:dyDescent="0.3">
      <c r="B150" s="324">
        <v>71.5</v>
      </c>
      <c r="C150" s="247">
        <v>36.104999999989253</v>
      </c>
      <c r="D150" s="322">
        <f t="shared" si="2"/>
        <v>0.53000000000000114</v>
      </c>
      <c r="E150" s="186"/>
      <c r="F150" s="207"/>
    </row>
    <row r="151" spans="2:6" x14ac:dyDescent="0.3">
      <c r="B151" s="324">
        <v>72</v>
      </c>
      <c r="C151" s="247">
        <v>36.369999999989254</v>
      </c>
      <c r="D151" s="322">
        <f t="shared" si="2"/>
        <v>0.53000000000000114</v>
      </c>
      <c r="E151" s="186"/>
      <c r="F151" s="207"/>
    </row>
    <row r="152" spans="2:6" x14ac:dyDescent="0.3">
      <c r="B152" s="324">
        <v>72.5</v>
      </c>
      <c r="C152" s="247">
        <v>36.634999999989255</v>
      </c>
      <c r="D152" s="322">
        <f t="shared" si="2"/>
        <v>0.53000000000000114</v>
      </c>
      <c r="E152" s="186"/>
      <c r="F152" s="207"/>
    </row>
    <row r="153" spans="2:6" x14ac:dyDescent="0.3">
      <c r="B153" s="324">
        <v>73</v>
      </c>
      <c r="C153" s="247">
        <v>36.899999999989255</v>
      </c>
      <c r="D153" s="322">
        <f t="shared" si="2"/>
        <v>0.53000000000000114</v>
      </c>
      <c r="E153" s="186"/>
      <c r="F153" s="207"/>
    </row>
    <row r="154" spans="2:6" x14ac:dyDescent="0.3">
      <c r="B154" s="324">
        <v>73.5</v>
      </c>
      <c r="C154" s="247">
        <v>37.164999999989298</v>
      </c>
      <c r="D154" s="322">
        <f t="shared" si="2"/>
        <v>0.5300000000000864</v>
      </c>
      <c r="E154" s="186"/>
      <c r="F154" s="207"/>
    </row>
    <row r="155" spans="2:6" x14ac:dyDescent="0.3">
      <c r="B155" s="324">
        <v>74</v>
      </c>
      <c r="C155" s="247">
        <v>37.429999999989256</v>
      </c>
      <c r="D155" s="322">
        <f t="shared" si="2"/>
        <v>0.52999999999991587</v>
      </c>
      <c r="E155" s="186"/>
      <c r="F155" s="207"/>
    </row>
    <row r="156" spans="2:6" x14ac:dyDescent="0.3">
      <c r="B156" s="324">
        <v>74.5</v>
      </c>
      <c r="C156" s="247">
        <v>37.694999999989257</v>
      </c>
      <c r="D156" s="322">
        <f t="shared" si="2"/>
        <v>0.53000000000000114</v>
      </c>
      <c r="E156" s="186"/>
      <c r="F156" s="207"/>
    </row>
    <row r="157" spans="2:6" x14ac:dyDescent="0.3">
      <c r="B157" s="324">
        <v>75</v>
      </c>
      <c r="C157" s="247">
        <v>37.959999999989257</v>
      </c>
      <c r="D157" s="322">
        <f t="shared" si="2"/>
        <v>0.53000000000000114</v>
      </c>
      <c r="E157" s="186"/>
      <c r="F157" s="207"/>
    </row>
    <row r="158" spans="2:6" x14ac:dyDescent="0.3">
      <c r="B158" s="324">
        <v>75.5</v>
      </c>
      <c r="C158" s="247">
        <v>38.224999999989258</v>
      </c>
      <c r="D158" s="322">
        <f t="shared" si="2"/>
        <v>0.53000000000000114</v>
      </c>
      <c r="E158" s="186"/>
      <c r="F158" s="207"/>
    </row>
    <row r="159" spans="2:6" x14ac:dyDescent="0.3">
      <c r="B159" s="324">
        <v>76</v>
      </c>
      <c r="C159" s="247">
        <v>38.489999999989259</v>
      </c>
      <c r="D159" s="322">
        <f t="shared" si="2"/>
        <v>0.53000000000000114</v>
      </c>
      <c r="E159" s="186"/>
      <c r="F159" s="207"/>
    </row>
    <row r="160" spans="2:6" x14ac:dyDescent="0.3">
      <c r="B160" s="324">
        <v>76.5</v>
      </c>
      <c r="C160" s="247">
        <v>38.754999999989259</v>
      </c>
      <c r="D160" s="322">
        <f t="shared" si="2"/>
        <v>0.53000000000000114</v>
      </c>
      <c r="E160" s="186"/>
      <c r="F160" s="207"/>
    </row>
    <row r="161" spans="2:6" x14ac:dyDescent="0.3">
      <c r="B161" s="324">
        <v>77</v>
      </c>
      <c r="C161" s="247">
        <v>39.01999999998926</v>
      </c>
      <c r="D161" s="322">
        <f t="shared" si="2"/>
        <v>0.53000000000000114</v>
      </c>
      <c r="E161" s="186"/>
      <c r="F161" s="207"/>
    </row>
    <row r="162" spans="2:6" x14ac:dyDescent="0.3">
      <c r="B162" s="324">
        <v>77.5</v>
      </c>
      <c r="C162" s="247">
        <v>39.28499999998926</v>
      </c>
      <c r="D162" s="322">
        <f t="shared" si="2"/>
        <v>0.53000000000000114</v>
      </c>
      <c r="E162" s="186"/>
      <c r="F162" s="207"/>
    </row>
    <row r="163" spans="2:6" x14ac:dyDescent="0.3">
      <c r="B163" s="324">
        <v>78</v>
      </c>
      <c r="C163" s="247">
        <v>39.549999999989261</v>
      </c>
      <c r="D163" s="322">
        <f t="shared" si="2"/>
        <v>0.53000000000000114</v>
      </c>
      <c r="E163" s="186"/>
      <c r="F163" s="207"/>
    </row>
    <row r="164" spans="2:6" x14ac:dyDescent="0.3">
      <c r="B164" s="324">
        <v>78.5</v>
      </c>
      <c r="C164" s="247">
        <v>39.814999999989261</v>
      </c>
      <c r="D164" s="322">
        <f t="shared" si="2"/>
        <v>0.53000000000000114</v>
      </c>
      <c r="E164" s="186"/>
      <c r="F164" s="207"/>
    </row>
    <row r="165" spans="2:6" x14ac:dyDescent="0.3">
      <c r="B165" s="324">
        <v>79</v>
      </c>
      <c r="C165" s="247">
        <v>40.079999999989262</v>
      </c>
      <c r="D165" s="322">
        <f t="shared" si="2"/>
        <v>0.53000000000000114</v>
      </c>
      <c r="E165" s="186"/>
      <c r="F165" s="207"/>
    </row>
    <row r="166" spans="2:6" x14ac:dyDescent="0.3">
      <c r="B166" s="324">
        <v>79.5</v>
      </c>
      <c r="C166" s="247">
        <v>40.344999999989263</v>
      </c>
      <c r="D166" s="322">
        <f t="shared" si="2"/>
        <v>0.53000000000000114</v>
      </c>
      <c r="E166" s="186"/>
      <c r="F166" s="207"/>
    </row>
    <row r="167" spans="2:6" x14ac:dyDescent="0.3">
      <c r="B167" s="324">
        <v>80</v>
      </c>
      <c r="C167" s="247">
        <v>40.609999999989263</v>
      </c>
      <c r="D167" s="322">
        <f t="shared" si="2"/>
        <v>0.53000000000000114</v>
      </c>
      <c r="E167" s="323"/>
      <c r="F167" s="207"/>
    </row>
    <row r="168" spans="2:6" x14ac:dyDescent="0.3">
      <c r="B168" s="325">
        <v>90.512129380053878</v>
      </c>
      <c r="C168" s="254">
        <v>46.181428571417833</v>
      </c>
      <c r="D168" s="326">
        <f>(C168-C167)/(B168-B167)</f>
        <v>0.53000000000000136</v>
      </c>
      <c r="E168" s="323"/>
      <c r="F168" s="207"/>
    </row>
    <row r="169" spans="2:6" x14ac:dyDescent="0.3">
      <c r="B169" s="229"/>
      <c r="C169" s="228"/>
      <c r="D169" s="191"/>
    </row>
    <row r="170" spans="2:6" x14ac:dyDescent="0.3">
      <c r="B170" s="229"/>
      <c r="C170" s="228"/>
      <c r="D170" s="191"/>
    </row>
    <row r="171" spans="2:6" x14ac:dyDescent="0.3">
      <c r="B171" s="229"/>
      <c r="C171" s="228"/>
      <c r="D171" s="191"/>
    </row>
    <row r="172" spans="2:6" x14ac:dyDescent="0.3">
      <c r="B172" s="229"/>
      <c r="C172" s="228"/>
      <c r="D172" s="191"/>
    </row>
    <row r="173" spans="2:6" x14ac:dyDescent="0.3">
      <c r="B173" s="229"/>
      <c r="C173" s="228"/>
      <c r="D173" s="191"/>
    </row>
    <row r="174" spans="2:6" x14ac:dyDescent="0.3">
      <c r="B174" s="229"/>
      <c r="C174" s="228"/>
      <c r="D174" s="191"/>
    </row>
    <row r="175" spans="2:6" x14ac:dyDescent="0.3">
      <c r="B175" s="229"/>
      <c r="C175" s="228"/>
      <c r="D175" s="191"/>
    </row>
    <row r="176" spans="2:6" x14ac:dyDescent="0.3">
      <c r="B176" s="229"/>
      <c r="C176" s="228"/>
      <c r="D176" s="191"/>
    </row>
    <row r="177" spans="2:4" x14ac:dyDescent="0.3">
      <c r="B177" s="229"/>
      <c r="C177" s="229"/>
      <c r="D177" s="191"/>
    </row>
    <row r="178" spans="2:4" x14ac:dyDescent="0.3">
      <c r="B178" s="229"/>
      <c r="C178" s="229"/>
      <c r="D178" s="191"/>
    </row>
    <row r="179" spans="2:4" x14ac:dyDescent="0.3">
      <c r="B179" s="229"/>
      <c r="C179" s="229"/>
      <c r="D179" s="191"/>
    </row>
    <row r="180" spans="2:4" x14ac:dyDescent="0.3">
      <c r="B180" s="229"/>
      <c r="C180" s="229"/>
      <c r="D180" s="191"/>
    </row>
    <row r="181" spans="2:4" x14ac:dyDescent="0.3">
      <c r="B181" s="229"/>
      <c r="C181" s="229"/>
      <c r="D181" s="191"/>
    </row>
    <row r="182" spans="2:4" x14ac:dyDescent="0.3">
      <c r="B182" s="229"/>
      <c r="C182" s="229"/>
      <c r="D182" s="191"/>
    </row>
    <row r="183" spans="2:4" x14ac:dyDescent="0.3">
      <c r="B183" s="229"/>
      <c r="C183" s="229"/>
      <c r="D183" s="191"/>
    </row>
    <row r="184" spans="2:4" x14ac:dyDescent="0.3">
      <c r="B184" s="229"/>
      <c r="C184" s="229"/>
      <c r="D184" s="191"/>
    </row>
    <row r="185" spans="2:4" x14ac:dyDescent="0.3">
      <c r="B185" s="229"/>
      <c r="C185" s="229"/>
      <c r="D185" s="191"/>
    </row>
    <row r="186" spans="2:4" x14ac:dyDescent="0.3">
      <c r="B186" s="229"/>
      <c r="C186" s="229"/>
      <c r="D186" s="191"/>
    </row>
    <row r="187" spans="2:4" x14ac:dyDescent="0.3">
      <c r="B187" s="229"/>
      <c r="C187" s="229"/>
      <c r="D187" s="191"/>
    </row>
    <row r="188" spans="2:4" x14ac:dyDescent="0.3">
      <c r="B188" s="229"/>
      <c r="C188" s="229"/>
      <c r="D188" s="191"/>
    </row>
    <row r="189" spans="2:4" x14ac:dyDescent="0.3">
      <c r="B189" s="229"/>
      <c r="C189" s="229"/>
      <c r="D189" s="191"/>
    </row>
    <row r="190" spans="2:4" x14ac:dyDescent="0.3">
      <c r="B190" s="229"/>
      <c r="C190" s="229"/>
      <c r="D190" s="191"/>
    </row>
    <row r="191" spans="2:4" x14ac:dyDescent="0.3">
      <c r="B191" s="229"/>
      <c r="C191" s="229"/>
      <c r="D191" s="191"/>
    </row>
    <row r="192" spans="2:4" x14ac:dyDescent="0.3">
      <c r="B192" s="229"/>
      <c r="C192" s="229"/>
      <c r="D192" s="191"/>
    </row>
    <row r="193" spans="2:4" x14ac:dyDescent="0.3">
      <c r="B193" s="229"/>
      <c r="C193" s="229"/>
      <c r="D193" s="191"/>
    </row>
    <row r="194" spans="2:4" x14ac:dyDescent="0.3">
      <c r="B194" s="229"/>
      <c r="C194" s="229"/>
      <c r="D194" s="191"/>
    </row>
    <row r="195" spans="2:4" x14ac:dyDescent="0.3">
      <c r="B195" s="229"/>
      <c r="C195" s="229"/>
      <c r="D195" s="191"/>
    </row>
    <row r="196" spans="2:4" x14ac:dyDescent="0.3">
      <c r="B196" s="229"/>
      <c r="C196" s="229"/>
      <c r="D196" s="191"/>
    </row>
    <row r="197" spans="2:4" x14ac:dyDescent="0.3">
      <c r="B197" s="229"/>
      <c r="C197" s="229"/>
      <c r="D197" s="191"/>
    </row>
    <row r="198" spans="2:4" x14ac:dyDescent="0.3">
      <c r="B198" s="229"/>
      <c r="C198" s="229"/>
      <c r="D198" s="191"/>
    </row>
    <row r="199" spans="2:4" x14ac:dyDescent="0.3">
      <c r="B199" s="229"/>
      <c r="C199" s="229"/>
      <c r="D199" s="191"/>
    </row>
    <row r="200" spans="2:4" x14ac:dyDescent="0.3">
      <c r="B200" s="229"/>
      <c r="C200" s="229"/>
      <c r="D200" s="191"/>
    </row>
    <row r="201" spans="2:4" x14ac:dyDescent="0.3">
      <c r="B201" s="229"/>
      <c r="C201" s="229"/>
      <c r="D201" s="191"/>
    </row>
    <row r="202" spans="2:4" x14ac:dyDescent="0.3">
      <c r="B202" s="229"/>
      <c r="C202" s="229"/>
      <c r="D202" s="191"/>
    </row>
    <row r="203" spans="2:4" x14ac:dyDescent="0.3">
      <c r="B203" s="229"/>
      <c r="C203" s="229"/>
      <c r="D203" s="191"/>
    </row>
    <row r="204" spans="2:4" x14ac:dyDescent="0.3">
      <c r="B204" s="229"/>
      <c r="C204" s="229"/>
      <c r="D204" s="191"/>
    </row>
    <row r="205" spans="2:4" x14ac:dyDescent="0.3">
      <c r="B205" s="229"/>
      <c r="C205" s="229"/>
      <c r="D205" s="191"/>
    </row>
    <row r="206" spans="2:4" x14ac:dyDescent="0.3">
      <c r="B206" s="229"/>
      <c r="C206" s="229"/>
      <c r="D206" s="191"/>
    </row>
    <row r="207" spans="2:4" x14ac:dyDescent="0.3">
      <c r="B207" s="229"/>
      <c r="C207" s="229"/>
      <c r="D207" s="191"/>
    </row>
    <row r="208" spans="2:4" x14ac:dyDescent="0.3">
      <c r="B208" s="229"/>
      <c r="C208" s="229"/>
      <c r="D208" s="191"/>
    </row>
    <row r="209" spans="2:4" x14ac:dyDescent="0.3">
      <c r="B209" s="229"/>
      <c r="C209" s="229"/>
      <c r="D209" s="191"/>
    </row>
    <row r="210" spans="2:4" x14ac:dyDescent="0.3">
      <c r="B210" s="229"/>
      <c r="C210" s="229"/>
      <c r="D210" s="191"/>
    </row>
    <row r="211" spans="2:4" x14ac:dyDescent="0.3">
      <c r="B211" s="229"/>
      <c r="C211" s="229"/>
      <c r="D211" s="191"/>
    </row>
    <row r="212" spans="2:4" x14ac:dyDescent="0.3">
      <c r="B212" s="229"/>
      <c r="C212" s="229"/>
      <c r="D212" s="191"/>
    </row>
    <row r="213" spans="2:4" x14ac:dyDescent="0.3">
      <c r="B213" s="229"/>
      <c r="C213" s="229"/>
      <c r="D213" s="191"/>
    </row>
    <row r="214" spans="2:4" x14ac:dyDescent="0.3">
      <c r="B214" s="229"/>
      <c r="C214" s="229"/>
      <c r="D214" s="191"/>
    </row>
    <row r="215" spans="2:4" x14ac:dyDescent="0.3">
      <c r="B215" s="229"/>
      <c r="C215" s="229"/>
      <c r="D215" s="191"/>
    </row>
    <row r="216" spans="2:4" x14ac:dyDescent="0.3">
      <c r="B216" s="229"/>
      <c r="C216" s="229"/>
      <c r="D216" s="191"/>
    </row>
    <row r="217" spans="2:4" x14ac:dyDescent="0.3">
      <c r="B217" s="229"/>
      <c r="C217" s="229"/>
      <c r="D217" s="191"/>
    </row>
    <row r="218" spans="2:4" x14ac:dyDescent="0.3">
      <c r="B218" s="229"/>
      <c r="C218" s="229"/>
      <c r="D218" s="191"/>
    </row>
    <row r="219" spans="2:4" x14ac:dyDescent="0.3">
      <c r="B219" s="229"/>
      <c r="C219" s="229"/>
      <c r="D219" s="191"/>
    </row>
    <row r="220" spans="2:4" x14ac:dyDescent="0.3">
      <c r="B220" s="229"/>
      <c r="C220" s="229"/>
      <c r="D220" s="191"/>
    </row>
    <row r="221" spans="2:4" x14ac:dyDescent="0.3">
      <c r="B221" s="229"/>
      <c r="C221" s="229"/>
      <c r="D221" s="191"/>
    </row>
    <row r="222" spans="2:4" x14ac:dyDescent="0.3">
      <c r="B222" s="229"/>
      <c r="C222" s="229"/>
      <c r="D222" s="191"/>
    </row>
    <row r="223" spans="2:4" x14ac:dyDescent="0.3">
      <c r="B223" s="229"/>
      <c r="C223" s="229"/>
      <c r="D223" s="191"/>
    </row>
    <row r="224" spans="2:4" x14ac:dyDescent="0.3">
      <c r="B224" s="229"/>
      <c r="C224" s="229"/>
      <c r="D224" s="191"/>
    </row>
    <row r="225" spans="2:4" x14ac:dyDescent="0.3">
      <c r="B225" s="229"/>
      <c r="C225" s="229"/>
      <c r="D225" s="191"/>
    </row>
    <row r="226" spans="2:4" x14ac:dyDescent="0.3">
      <c r="B226" s="229"/>
      <c r="C226" s="229"/>
      <c r="D226" s="191"/>
    </row>
    <row r="227" spans="2:4" x14ac:dyDescent="0.3">
      <c r="B227" s="229"/>
      <c r="C227" s="229"/>
      <c r="D227" s="191"/>
    </row>
    <row r="228" spans="2:4" x14ac:dyDescent="0.3">
      <c r="B228" s="229"/>
      <c r="C228" s="229"/>
      <c r="D228" s="191"/>
    </row>
    <row r="229" spans="2:4" x14ac:dyDescent="0.3">
      <c r="B229" s="229"/>
      <c r="C229" s="229"/>
      <c r="D229" s="191"/>
    </row>
    <row r="230" spans="2:4" x14ac:dyDescent="0.3">
      <c r="B230" s="229"/>
      <c r="C230" s="229"/>
      <c r="D230" s="191"/>
    </row>
    <row r="231" spans="2:4" x14ac:dyDescent="0.3">
      <c r="B231" s="229"/>
      <c r="C231" s="229"/>
      <c r="D231" s="191"/>
    </row>
    <row r="232" spans="2:4" x14ac:dyDescent="0.3">
      <c r="B232" s="229"/>
      <c r="C232" s="229"/>
      <c r="D232" s="191"/>
    </row>
    <row r="233" spans="2:4" x14ac:dyDescent="0.3">
      <c r="B233" s="229"/>
      <c r="C233" s="229"/>
      <c r="D233" s="191"/>
    </row>
    <row r="234" spans="2:4" x14ac:dyDescent="0.3">
      <c r="B234" s="229"/>
      <c r="C234" s="229"/>
      <c r="D234" s="191"/>
    </row>
    <row r="235" spans="2:4" x14ac:dyDescent="0.3">
      <c r="B235" s="229"/>
      <c r="C235" s="229"/>
      <c r="D235" s="191"/>
    </row>
    <row r="236" spans="2:4" x14ac:dyDescent="0.3">
      <c r="B236" s="229"/>
      <c r="C236" s="229"/>
      <c r="D236" s="191"/>
    </row>
    <row r="237" spans="2:4" x14ac:dyDescent="0.3">
      <c r="B237" s="229"/>
      <c r="C237" s="229"/>
      <c r="D237" s="191"/>
    </row>
    <row r="238" spans="2:4" x14ac:dyDescent="0.3">
      <c r="B238" s="229"/>
      <c r="C238" s="229"/>
      <c r="D238" s="191"/>
    </row>
    <row r="239" spans="2:4" x14ac:dyDescent="0.3">
      <c r="B239" s="229"/>
      <c r="C239" s="229"/>
      <c r="D239" s="191"/>
    </row>
    <row r="240" spans="2:4" x14ac:dyDescent="0.3">
      <c r="B240" s="229"/>
      <c r="C240" s="229"/>
      <c r="D240" s="191"/>
    </row>
    <row r="241" spans="2:4" x14ac:dyDescent="0.3">
      <c r="B241" s="229"/>
      <c r="C241" s="229"/>
      <c r="D241" s="191"/>
    </row>
    <row r="242" spans="2:4" x14ac:dyDescent="0.3">
      <c r="B242" s="229"/>
      <c r="C242" s="229"/>
      <c r="D242" s="191"/>
    </row>
    <row r="243" spans="2:4" x14ac:dyDescent="0.3">
      <c r="B243" s="229"/>
      <c r="C243" s="229"/>
      <c r="D243" s="191"/>
    </row>
    <row r="244" spans="2:4" x14ac:dyDescent="0.3">
      <c r="B244" s="229"/>
      <c r="C244" s="229"/>
      <c r="D244" s="191"/>
    </row>
    <row r="245" spans="2:4" x14ac:dyDescent="0.3">
      <c r="B245" s="229"/>
      <c r="C245" s="229"/>
      <c r="D245" s="191"/>
    </row>
    <row r="246" spans="2:4" x14ac:dyDescent="0.3">
      <c r="B246" s="229"/>
      <c r="C246" s="229"/>
      <c r="D246" s="191"/>
    </row>
    <row r="247" spans="2:4" x14ac:dyDescent="0.3">
      <c r="B247" s="229"/>
      <c r="C247" s="229"/>
      <c r="D247" s="191"/>
    </row>
    <row r="248" spans="2:4" x14ac:dyDescent="0.3">
      <c r="B248" s="229"/>
      <c r="C248" s="229"/>
      <c r="D248" s="191"/>
    </row>
    <row r="249" spans="2:4" x14ac:dyDescent="0.3">
      <c r="B249" s="229"/>
      <c r="C249" s="229"/>
      <c r="D249" s="191"/>
    </row>
    <row r="250" spans="2:4" x14ac:dyDescent="0.3">
      <c r="B250" s="229"/>
      <c r="C250" s="229"/>
      <c r="D250" s="191"/>
    </row>
    <row r="251" spans="2:4" x14ac:dyDescent="0.3">
      <c r="B251" s="229"/>
      <c r="C251" s="229"/>
      <c r="D251" s="191"/>
    </row>
    <row r="252" spans="2:4" x14ac:dyDescent="0.3">
      <c r="B252" s="229"/>
      <c r="C252" s="229"/>
      <c r="D252" s="191"/>
    </row>
    <row r="253" spans="2:4" x14ac:dyDescent="0.3">
      <c r="B253" s="229"/>
      <c r="C253" s="229"/>
      <c r="D253" s="191"/>
    </row>
    <row r="254" spans="2:4" x14ac:dyDescent="0.3">
      <c r="B254" s="229"/>
      <c r="C254" s="229"/>
      <c r="D254" s="191"/>
    </row>
    <row r="255" spans="2:4" x14ac:dyDescent="0.3">
      <c r="B255" s="229"/>
      <c r="C255" s="229"/>
      <c r="D255" s="191"/>
    </row>
    <row r="256" spans="2:4" x14ac:dyDescent="0.3">
      <c r="B256" s="229"/>
      <c r="C256" s="229"/>
      <c r="D256" s="191"/>
    </row>
    <row r="257" spans="2:4" x14ac:dyDescent="0.3">
      <c r="B257" s="229"/>
      <c r="C257" s="229"/>
      <c r="D257" s="191"/>
    </row>
    <row r="258" spans="2:4" x14ac:dyDescent="0.3">
      <c r="B258" s="229"/>
      <c r="C258" s="229"/>
      <c r="D258" s="191"/>
    </row>
    <row r="259" spans="2:4" x14ac:dyDescent="0.3">
      <c r="B259" s="229"/>
      <c r="C259" s="229"/>
      <c r="D259" s="191"/>
    </row>
    <row r="260" spans="2:4" x14ac:dyDescent="0.3">
      <c r="B260" s="229"/>
      <c r="C260" s="229"/>
      <c r="D260" s="191"/>
    </row>
    <row r="261" spans="2:4" x14ac:dyDescent="0.3">
      <c r="B261" s="229"/>
      <c r="C261" s="229"/>
      <c r="D261" s="191"/>
    </row>
    <row r="262" spans="2:4" x14ac:dyDescent="0.3">
      <c r="B262" s="229"/>
      <c r="C262" s="229"/>
      <c r="D262" s="191"/>
    </row>
    <row r="263" spans="2:4" x14ac:dyDescent="0.3">
      <c r="B263" s="229"/>
      <c r="C263" s="229"/>
      <c r="D263" s="191"/>
    </row>
    <row r="264" spans="2:4" x14ac:dyDescent="0.3">
      <c r="B264" s="229"/>
      <c r="C264" s="229"/>
      <c r="D264" s="191"/>
    </row>
    <row r="265" spans="2:4" x14ac:dyDescent="0.3">
      <c r="B265" s="229"/>
      <c r="C265" s="229"/>
      <c r="D265" s="191"/>
    </row>
    <row r="266" spans="2:4" x14ac:dyDescent="0.3">
      <c r="B266" s="229"/>
      <c r="C266" s="229"/>
      <c r="D266" s="191"/>
    </row>
    <row r="267" spans="2:4" x14ac:dyDescent="0.3">
      <c r="B267" s="229"/>
      <c r="C267" s="229"/>
      <c r="D267" s="191"/>
    </row>
    <row r="268" spans="2:4" x14ac:dyDescent="0.3">
      <c r="B268" s="229"/>
      <c r="C268" s="229"/>
      <c r="D268" s="191"/>
    </row>
    <row r="269" spans="2:4" x14ac:dyDescent="0.3">
      <c r="B269" s="229"/>
      <c r="C269" s="229"/>
      <c r="D269" s="191"/>
    </row>
    <row r="270" spans="2:4" x14ac:dyDescent="0.3">
      <c r="B270" s="229"/>
      <c r="C270" s="229"/>
      <c r="D270" s="191"/>
    </row>
    <row r="271" spans="2:4" x14ac:dyDescent="0.3">
      <c r="B271" s="229"/>
      <c r="C271" s="229"/>
      <c r="D271" s="191"/>
    </row>
    <row r="272" spans="2:4" x14ac:dyDescent="0.3">
      <c r="B272" s="229"/>
      <c r="C272" s="229"/>
      <c r="D272" s="191"/>
    </row>
    <row r="273" spans="2:4" x14ac:dyDescent="0.3">
      <c r="B273" s="229"/>
      <c r="C273" s="229"/>
      <c r="D273" s="191"/>
    </row>
    <row r="274" spans="2:4" x14ac:dyDescent="0.3">
      <c r="B274" s="229"/>
      <c r="C274" s="229"/>
      <c r="D274" s="191"/>
    </row>
    <row r="275" spans="2:4" x14ac:dyDescent="0.3">
      <c r="B275" s="229"/>
      <c r="C275" s="229"/>
      <c r="D275" s="191"/>
    </row>
    <row r="276" spans="2:4" x14ac:dyDescent="0.3">
      <c r="B276" s="229"/>
      <c r="C276" s="229"/>
      <c r="D276" s="191"/>
    </row>
    <row r="277" spans="2:4" x14ac:dyDescent="0.3">
      <c r="B277" s="229"/>
      <c r="C277" s="229"/>
      <c r="D277" s="191"/>
    </row>
    <row r="278" spans="2:4" x14ac:dyDescent="0.3">
      <c r="B278" s="229"/>
      <c r="C278" s="229"/>
      <c r="D278" s="191"/>
    </row>
    <row r="279" spans="2:4" x14ac:dyDescent="0.3">
      <c r="B279" s="229"/>
      <c r="C279" s="229"/>
      <c r="D279" s="191"/>
    </row>
    <row r="280" spans="2:4" x14ac:dyDescent="0.3">
      <c r="B280" s="229"/>
      <c r="C280" s="229"/>
      <c r="D280" s="191"/>
    </row>
    <row r="281" spans="2:4" x14ac:dyDescent="0.3">
      <c r="B281" s="229"/>
      <c r="C281" s="229"/>
      <c r="D281" s="191"/>
    </row>
    <row r="282" spans="2:4" x14ac:dyDescent="0.3">
      <c r="B282" s="229"/>
      <c r="C282" s="229"/>
      <c r="D282" s="191"/>
    </row>
    <row r="283" spans="2:4" x14ac:dyDescent="0.3">
      <c r="B283" s="229"/>
      <c r="C283" s="229"/>
      <c r="D283" s="191"/>
    </row>
    <row r="284" spans="2:4" x14ac:dyDescent="0.3">
      <c r="B284" s="229"/>
      <c r="C284" s="229"/>
      <c r="D284" s="191"/>
    </row>
    <row r="285" spans="2:4" x14ac:dyDescent="0.3">
      <c r="B285" s="229"/>
      <c r="C285" s="229"/>
      <c r="D285" s="191"/>
    </row>
    <row r="286" spans="2:4" x14ac:dyDescent="0.3">
      <c r="B286" s="229"/>
      <c r="C286" s="229"/>
      <c r="D286" s="191"/>
    </row>
    <row r="287" spans="2:4" x14ac:dyDescent="0.3">
      <c r="B287" s="229"/>
      <c r="C287" s="229"/>
      <c r="D287" s="191"/>
    </row>
    <row r="288" spans="2:4" x14ac:dyDescent="0.3">
      <c r="B288" s="229"/>
      <c r="C288" s="229"/>
      <c r="D288" s="191"/>
    </row>
    <row r="289" spans="2:4" x14ac:dyDescent="0.3">
      <c r="B289" s="229"/>
      <c r="C289" s="229"/>
      <c r="D289" s="191"/>
    </row>
    <row r="290" spans="2:4" x14ac:dyDescent="0.3">
      <c r="B290" s="229"/>
      <c r="C290" s="229"/>
      <c r="D290" s="191"/>
    </row>
    <row r="291" spans="2:4" x14ac:dyDescent="0.3">
      <c r="B291" s="229"/>
      <c r="C291" s="229"/>
      <c r="D291" s="191"/>
    </row>
    <row r="292" spans="2:4" x14ac:dyDescent="0.3">
      <c r="B292" s="229"/>
      <c r="C292" s="229"/>
      <c r="D292" s="191"/>
    </row>
    <row r="293" spans="2:4" x14ac:dyDescent="0.3">
      <c r="B293" s="229"/>
      <c r="C293" s="229"/>
      <c r="D293" s="191"/>
    </row>
    <row r="294" spans="2:4" x14ac:dyDescent="0.3">
      <c r="B294" s="229"/>
      <c r="C294" s="229"/>
      <c r="D294" s="191"/>
    </row>
    <row r="295" spans="2:4" x14ac:dyDescent="0.3">
      <c r="B295" s="229"/>
      <c r="C295" s="229"/>
      <c r="D295" s="191"/>
    </row>
    <row r="296" spans="2:4" x14ac:dyDescent="0.3">
      <c r="B296" s="229"/>
      <c r="C296" s="229"/>
      <c r="D296" s="191"/>
    </row>
    <row r="297" spans="2:4" x14ac:dyDescent="0.3">
      <c r="B297" s="229"/>
      <c r="C297" s="229"/>
      <c r="D297" s="191"/>
    </row>
    <row r="298" spans="2:4" x14ac:dyDescent="0.3">
      <c r="B298" s="229"/>
      <c r="C298" s="229"/>
      <c r="D298" s="191"/>
    </row>
    <row r="299" spans="2:4" x14ac:dyDescent="0.3">
      <c r="B299" s="229"/>
      <c r="C299" s="229"/>
      <c r="D299" s="191"/>
    </row>
    <row r="300" spans="2:4" x14ac:dyDescent="0.3">
      <c r="B300" s="229"/>
      <c r="C300" s="229"/>
      <c r="D300" s="191"/>
    </row>
    <row r="301" spans="2:4" x14ac:dyDescent="0.3">
      <c r="B301" s="229"/>
      <c r="C301" s="229"/>
      <c r="D301" s="191"/>
    </row>
    <row r="302" spans="2:4" x14ac:dyDescent="0.3">
      <c r="B302" s="229"/>
      <c r="C302" s="229"/>
      <c r="D302" s="191"/>
    </row>
    <row r="303" spans="2:4" x14ac:dyDescent="0.3">
      <c r="B303" s="229"/>
      <c r="C303" s="229"/>
      <c r="D303" s="191"/>
    </row>
    <row r="304" spans="2:4" x14ac:dyDescent="0.3">
      <c r="B304" s="229"/>
      <c r="C304" s="229"/>
      <c r="D304" s="191"/>
    </row>
    <row r="305" spans="2:4" x14ac:dyDescent="0.3">
      <c r="B305" s="229"/>
      <c r="C305" s="229"/>
      <c r="D305" s="191"/>
    </row>
    <row r="306" spans="2:4" x14ac:dyDescent="0.3">
      <c r="B306" s="229"/>
      <c r="C306" s="229"/>
      <c r="D306" s="191"/>
    </row>
    <row r="307" spans="2:4" x14ac:dyDescent="0.3">
      <c r="B307" s="229"/>
      <c r="C307" s="229"/>
      <c r="D307" s="191"/>
    </row>
    <row r="308" spans="2:4" x14ac:dyDescent="0.3">
      <c r="B308" s="229"/>
      <c r="C308" s="229"/>
      <c r="D308" s="191"/>
    </row>
    <row r="309" spans="2:4" x14ac:dyDescent="0.3">
      <c r="B309" s="229"/>
      <c r="C309" s="229"/>
      <c r="D309" s="191"/>
    </row>
    <row r="310" spans="2:4" x14ac:dyDescent="0.3">
      <c r="B310" s="229"/>
      <c r="C310" s="229"/>
      <c r="D310" s="191"/>
    </row>
    <row r="311" spans="2:4" x14ac:dyDescent="0.3">
      <c r="B311" s="229"/>
      <c r="C311" s="229"/>
      <c r="D311" s="191"/>
    </row>
    <row r="312" spans="2:4" x14ac:dyDescent="0.3">
      <c r="B312" s="229"/>
      <c r="C312" s="229"/>
      <c r="D312" s="191"/>
    </row>
    <row r="313" spans="2:4" x14ac:dyDescent="0.3">
      <c r="B313" s="229"/>
      <c r="C313" s="229"/>
      <c r="D313" s="191"/>
    </row>
    <row r="314" spans="2:4" x14ac:dyDescent="0.3">
      <c r="B314" s="229"/>
      <c r="C314" s="229"/>
      <c r="D314" s="191"/>
    </row>
    <row r="315" spans="2:4" x14ac:dyDescent="0.3">
      <c r="B315" s="229"/>
      <c r="C315" s="229"/>
      <c r="D315" s="191"/>
    </row>
    <row r="316" spans="2:4" x14ac:dyDescent="0.3">
      <c r="B316" s="229"/>
      <c r="C316" s="229"/>
      <c r="D316" s="191"/>
    </row>
    <row r="317" spans="2:4" x14ac:dyDescent="0.3">
      <c r="B317" s="229"/>
      <c r="C317" s="229"/>
      <c r="D317" s="191"/>
    </row>
    <row r="318" spans="2:4" x14ac:dyDescent="0.3">
      <c r="B318" s="229"/>
      <c r="C318" s="229"/>
      <c r="D318" s="191"/>
    </row>
    <row r="319" spans="2:4" x14ac:dyDescent="0.3">
      <c r="B319" s="229"/>
      <c r="C319" s="229"/>
      <c r="D319" s="191"/>
    </row>
    <row r="320" spans="2:4" x14ac:dyDescent="0.3">
      <c r="B320" s="229"/>
      <c r="C320" s="229"/>
      <c r="D320" s="191"/>
    </row>
    <row r="321" spans="2:4" x14ac:dyDescent="0.3">
      <c r="B321" s="229"/>
      <c r="C321" s="229"/>
      <c r="D321" s="191"/>
    </row>
    <row r="322" spans="2:4" x14ac:dyDescent="0.3">
      <c r="B322" s="229"/>
      <c r="C322" s="229"/>
      <c r="D322" s="191"/>
    </row>
    <row r="323" spans="2:4" x14ac:dyDescent="0.3">
      <c r="B323" s="229"/>
      <c r="C323" s="229"/>
      <c r="D323" s="191"/>
    </row>
    <row r="324" spans="2:4" x14ac:dyDescent="0.3">
      <c r="B324" s="229"/>
      <c r="C324" s="229"/>
      <c r="D324" s="191"/>
    </row>
    <row r="325" spans="2:4" x14ac:dyDescent="0.3">
      <c r="B325" s="229"/>
      <c r="C325" s="229"/>
      <c r="D325" s="191"/>
    </row>
    <row r="326" spans="2:4" x14ac:dyDescent="0.3">
      <c r="B326" s="229"/>
      <c r="C326" s="229"/>
      <c r="D326" s="191"/>
    </row>
    <row r="327" spans="2:4" x14ac:dyDescent="0.3">
      <c r="B327" s="229"/>
      <c r="C327" s="229"/>
      <c r="D327" s="191"/>
    </row>
    <row r="328" spans="2:4" x14ac:dyDescent="0.3">
      <c r="B328" s="229"/>
      <c r="C328" s="229"/>
      <c r="D328" s="191"/>
    </row>
    <row r="329" spans="2:4" x14ac:dyDescent="0.3">
      <c r="B329" s="229"/>
      <c r="C329" s="229"/>
      <c r="D329" s="191"/>
    </row>
    <row r="330" spans="2:4" x14ac:dyDescent="0.3">
      <c r="B330" s="229"/>
      <c r="C330" s="229"/>
      <c r="D330" s="191"/>
    </row>
    <row r="331" spans="2:4" x14ac:dyDescent="0.3">
      <c r="B331" s="229"/>
      <c r="C331" s="229"/>
      <c r="D331" s="191"/>
    </row>
    <row r="332" spans="2:4" x14ac:dyDescent="0.3">
      <c r="B332" s="229"/>
      <c r="C332" s="229"/>
      <c r="D332" s="191"/>
    </row>
    <row r="333" spans="2:4" x14ac:dyDescent="0.3">
      <c r="B333" s="229"/>
      <c r="C333" s="229"/>
      <c r="D333" s="191"/>
    </row>
    <row r="334" spans="2:4" x14ac:dyDescent="0.3">
      <c r="B334" s="229"/>
      <c r="C334" s="229"/>
      <c r="D334" s="191"/>
    </row>
    <row r="335" spans="2:4" x14ac:dyDescent="0.3">
      <c r="B335" s="229"/>
      <c r="C335" s="229"/>
      <c r="D335" s="191"/>
    </row>
    <row r="336" spans="2:4" x14ac:dyDescent="0.3">
      <c r="B336" s="229"/>
      <c r="C336" s="229"/>
      <c r="D336" s="251"/>
    </row>
    <row r="337" spans="2:4" x14ac:dyDescent="0.3">
      <c r="B337" s="229"/>
      <c r="C337" s="229"/>
      <c r="D337" s="251"/>
    </row>
    <row r="338" spans="2:4" x14ac:dyDescent="0.3">
      <c r="B338" s="229"/>
      <c r="C338" s="229"/>
      <c r="D338" s="251"/>
    </row>
    <row r="339" spans="2:4" x14ac:dyDescent="0.3">
      <c r="B339" s="229"/>
      <c r="C339" s="229"/>
      <c r="D339" s="251"/>
    </row>
    <row r="340" spans="2:4" x14ac:dyDescent="0.3">
      <c r="B340" s="229"/>
      <c r="C340" s="229"/>
      <c r="D340" s="251"/>
    </row>
    <row r="341" spans="2:4" x14ac:dyDescent="0.3">
      <c r="B341" s="229"/>
      <c r="C341" s="229"/>
      <c r="D341" s="251"/>
    </row>
    <row r="342" spans="2:4" x14ac:dyDescent="0.3">
      <c r="B342" s="229"/>
      <c r="C342" s="229"/>
      <c r="D342" s="251"/>
    </row>
    <row r="343" spans="2:4" x14ac:dyDescent="0.3">
      <c r="B343" s="229"/>
      <c r="C343" s="229"/>
      <c r="D343" s="251"/>
    </row>
    <row r="344" spans="2:4" x14ac:dyDescent="0.3">
      <c r="B344" s="229"/>
      <c r="C344" s="229"/>
      <c r="D344" s="251"/>
    </row>
    <row r="345" spans="2:4" x14ac:dyDescent="0.3">
      <c r="B345" s="229"/>
      <c r="C345" s="229"/>
      <c r="D345" s="251"/>
    </row>
    <row r="346" spans="2:4" x14ac:dyDescent="0.3">
      <c r="B346" s="229"/>
      <c r="C346" s="229"/>
      <c r="D346" s="251"/>
    </row>
    <row r="347" spans="2:4" x14ac:dyDescent="0.3">
      <c r="B347" s="229"/>
      <c r="C347" s="229"/>
      <c r="D347" s="251"/>
    </row>
    <row r="348" spans="2:4" x14ac:dyDescent="0.3">
      <c r="B348" s="229"/>
      <c r="C348" s="229"/>
      <c r="D348" s="251"/>
    </row>
    <row r="349" spans="2:4" x14ac:dyDescent="0.3">
      <c r="B349" s="229"/>
      <c r="C349" s="229"/>
      <c r="D349" s="251"/>
    </row>
    <row r="350" spans="2:4" x14ac:dyDescent="0.3">
      <c r="B350" s="229"/>
      <c r="C350" s="229"/>
      <c r="D350" s="251"/>
    </row>
    <row r="351" spans="2:4" x14ac:dyDescent="0.3">
      <c r="B351" s="229"/>
      <c r="C351" s="229"/>
      <c r="D351" s="251"/>
    </row>
    <row r="352" spans="2:4" x14ac:dyDescent="0.3">
      <c r="B352" s="229"/>
      <c r="C352" s="229"/>
      <c r="D352" s="251"/>
    </row>
    <row r="353" spans="2:4" x14ac:dyDescent="0.3">
      <c r="B353" s="229"/>
      <c r="C353" s="229"/>
      <c r="D353" s="251"/>
    </row>
    <row r="354" spans="2:4" x14ac:dyDescent="0.3">
      <c r="B354" s="229"/>
      <c r="C354" s="229"/>
      <c r="D354" s="251"/>
    </row>
    <row r="355" spans="2:4" x14ac:dyDescent="0.3">
      <c r="B355" s="229"/>
      <c r="C355" s="229"/>
      <c r="D355" s="251"/>
    </row>
    <row r="356" spans="2:4" x14ac:dyDescent="0.3">
      <c r="B356" s="229"/>
      <c r="C356" s="229"/>
      <c r="D356" s="251"/>
    </row>
    <row r="357" spans="2:4" x14ac:dyDescent="0.3">
      <c r="B357" s="229"/>
      <c r="C357" s="229"/>
      <c r="D357" s="251"/>
    </row>
    <row r="358" spans="2:4" x14ac:dyDescent="0.3">
      <c r="B358" s="229"/>
      <c r="C358" s="229"/>
      <c r="D358" s="251"/>
    </row>
    <row r="359" spans="2:4" x14ac:dyDescent="0.3">
      <c r="B359" s="229"/>
      <c r="C359" s="229"/>
      <c r="D359" s="251"/>
    </row>
    <row r="360" spans="2:4" x14ac:dyDescent="0.3">
      <c r="B360" s="229"/>
      <c r="C360" s="229"/>
      <c r="D360" s="251"/>
    </row>
    <row r="361" spans="2:4" x14ac:dyDescent="0.3">
      <c r="B361" s="229"/>
      <c r="C361" s="229"/>
      <c r="D361" s="251"/>
    </row>
    <row r="362" spans="2:4" x14ac:dyDescent="0.3">
      <c r="B362" s="229"/>
      <c r="C362" s="229"/>
      <c r="D362" s="251"/>
    </row>
    <row r="363" spans="2:4" x14ac:dyDescent="0.3">
      <c r="B363" s="229"/>
      <c r="C363" s="229"/>
      <c r="D363" s="251"/>
    </row>
    <row r="364" spans="2:4" x14ac:dyDescent="0.3">
      <c r="B364" s="229"/>
      <c r="C364" s="229"/>
      <c r="D364" s="251"/>
    </row>
    <row r="365" spans="2:4" x14ac:dyDescent="0.3">
      <c r="B365" s="229"/>
      <c r="C365" s="229"/>
      <c r="D365" s="251"/>
    </row>
    <row r="366" spans="2:4" x14ac:dyDescent="0.3">
      <c r="B366" s="229"/>
      <c r="C366" s="229"/>
      <c r="D366" s="251"/>
    </row>
    <row r="367" spans="2:4" x14ac:dyDescent="0.3">
      <c r="B367" s="229"/>
      <c r="C367" s="229"/>
      <c r="D367" s="251"/>
    </row>
    <row r="368" spans="2:4" x14ac:dyDescent="0.3">
      <c r="B368" s="229"/>
      <c r="C368" s="229"/>
      <c r="D368" s="251"/>
    </row>
    <row r="369" spans="2:4" x14ac:dyDescent="0.3">
      <c r="B369" s="229"/>
      <c r="C369" s="229"/>
      <c r="D369" s="251"/>
    </row>
    <row r="370" spans="2:4" x14ac:dyDescent="0.3">
      <c r="B370" s="229"/>
      <c r="C370" s="229"/>
      <c r="D370" s="251"/>
    </row>
    <row r="371" spans="2:4" x14ac:dyDescent="0.3">
      <c r="B371" s="229"/>
      <c r="C371" s="229"/>
      <c r="D371" s="251"/>
    </row>
    <row r="372" spans="2:4" x14ac:dyDescent="0.3">
      <c r="B372" s="229"/>
      <c r="C372" s="229"/>
      <c r="D372" s="251"/>
    </row>
    <row r="373" spans="2:4" x14ac:dyDescent="0.3">
      <c r="B373" s="229"/>
      <c r="C373" s="229"/>
      <c r="D373" s="251"/>
    </row>
    <row r="374" spans="2:4" x14ac:dyDescent="0.3">
      <c r="B374" s="229"/>
      <c r="C374" s="229"/>
      <c r="D374" s="251"/>
    </row>
    <row r="375" spans="2:4" x14ac:dyDescent="0.3">
      <c r="B375" s="229"/>
      <c r="C375" s="229"/>
      <c r="D375" s="251"/>
    </row>
    <row r="376" spans="2:4" x14ac:dyDescent="0.3">
      <c r="B376" s="229"/>
      <c r="C376" s="229"/>
      <c r="D376" s="251"/>
    </row>
    <row r="377" spans="2:4" x14ac:dyDescent="0.3">
      <c r="B377" s="229"/>
      <c r="C377" s="229"/>
      <c r="D377" s="251"/>
    </row>
    <row r="378" spans="2:4" x14ac:dyDescent="0.3">
      <c r="B378" s="229"/>
      <c r="C378" s="229"/>
      <c r="D378" s="251"/>
    </row>
    <row r="379" spans="2:4" x14ac:dyDescent="0.3">
      <c r="B379" s="229"/>
      <c r="C379" s="229"/>
      <c r="D379" s="251"/>
    </row>
    <row r="380" spans="2:4" x14ac:dyDescent="0.3">
      <c r="B380" s="229"/>
      <c r="C380" s="229"/>
      <c r="D380" s="251"/>
    </row>
    <row r="381" spans="2:4" x14ac:dyDescent="0.3">
      <c r="B381" s="229"/>
      <c r="C381" s="229"/>
      <c r="D381" s="251"/>
    </row>
    <row r="382" spans="2:4" x14ac:dyDescent="0.3">
      <c r="B382" s="229"/>
      <c r="C382" s="229"/>
      <c r="D382" s="251"/>
    </row>
    <row r="383" spans="2:4" x14ac:dyDescent="0.3">
      <c r="B383" s="229"/>
      <c r="C383" s="229"/>
      <c r="D383" s="251"/>
    </row>
    <row r="384" spans="2:4" x14ac:dyDescent="0.3">
      <c r="B384" s="229"/>
      <c r="C384" s="229"/>
      <c r="D384" s="251"/>
    </row>
    <row r="385" spans="2:4" x14ac:dyDescent="0.3">
      <c r="B385" s="229"/>
      <c r="C385" s="229"/>
      <c r="D385" s="251"/>
    </row>
    <row r="386" spans="2:4" x14ac:dyDescent="0.3">
      <c r="B386" s="229"/>
      <c r="C386" s="229"/>
      <c r="D386" s="251"/>
    </row>
    <row r="387" spans="2:4" x14ac:dyDescent="0.3">
      <c r="B387" s="229"/>
      <c r="C387" s="229"/>
      <c r="D387" s="251"/>
    </row>
    <row r="388" spans="2:4" x14ac:dyDescent="0.3">
      <c r="B388" s="229"/>
      <c r="C388" s="229"/>
      <c r="D388" s="251"/>
    </row>
    <row r="389" spans="2:4" x14ac:dyDescent="0.3">
      <c r="B389" s="229"/>
      <c r="C389" s="229"/>
      <c r="D389" s="251"/>
    </row>
    <row r="390" spans="2:4" x14ac:dyDescent="0.3">
      <c r="B390" s="229"/>
      <c r="C390" s="229"/>
      <c r="D390" s="251"/>
    </row>
    <row r="391" spans="2:4" x14ac:dyDescent="0.3">
      <c r="B391" s="229"/>
      <c r="C391" s="229"/>
      <c r="D391" s="251"/>
    </row>
    <row r="392" spans="2:4" x14ac:dyDescent="0.3">
      <c r="B392" s="229"/>
      <c r="C392" s="229"/>
      <c r="D392" s="251"/>
    </row>
    <row r="393" spans="2:4" x14ac:dyDescent="0.3">
      <c r="B393" s="229"/>
      <c r="C393" s="229"/>
      <c r="D393" s="251"/>
    </row>
    <row r="394" spans="2:4" x14ac:dyDescent="0.3">
      <c r="B394" s="229"/>
      <c r="C394" s="229"/>
      <c r="D394" s="251"/>
    </row>
    <row r="395" spans="2:4" x14ac:dyDescent="0.3">
      <c r="B395" s="229"/>
      <c r="C395" s="229"/>
      <c r="D395" s="251"/>
    </row>
    <row r="396" spans="2:4" x14ac:dyDescent="0.3">
      <c r="B396" s="229"/>
      <c r="C396" s="229"/>
      <c r="D396" s="251"/>
    </row>
    <row r="397" spans="2:4" x14ac:dyDescent="0.3">
      <c r="B397" s="229"/>
      <c r="C397" s="229"/>
      <c r="D397" s="251"/>
    </row>
    <row r="398" spans="2:4" x14ac:dyDescent="0.3">
      <c r="B398" s="229"/>
      <c r="C398" s="229"/>
      <c r="D398" s="251"/>
    </row>
    <row r="399" spans="2:4" x14ac:dyDescent="0.3">
      <c r="B399" s="229"/>
      <c r="C399" s="229"/>
      <c r="D399" s="251"/>
    </row>
    <row r="400" spans="2:4" x14ac:dyDescent="0.3">
      <c r="B400" s="229"/>
      <c r="C400" s="229"/>
      <c r="D400" s="251"/>
    </row>
    <row r="401" spans="2:4" x14ac:dyDescent="0.3">
      <c r="B401" s="229"/>
      <c r="C401" s="229"/>
      <c r="D401" s="251"/>
    </row>
    <row r="402" spans="2:4" x14ac:dyDescent="0.3">
      <c r="B402" s="229"/>
      <c r="C402" s="229"/>
      <c r="D402" s="251"/>
    </row>
    <row r="403" spans="2:4" x14ac:dyDescent="0.3">
      <c r="B403" s="229"/>
      <c r="C403" s="229"/>
      <c r="D403" s="251"/>
    </row>
    <row r="404" spans="2:4" x14ac:dyDescent="0.3">
      <c r="B404" s="229"/>
      <c r="C404" s="229"/>
      <c r="D404" s="251"/>
    </row>
    <row r="405" spans="2:4" x14ac:dyDescent="0.3">
      <c r="B405" s="229"/>
      <c r="C405" s="229"/>
      <c r="D405" s="251"/>
    </row>
    <row r="406" spans="2:4" x14ac:dyDescent="0.3">
      <c r="B406" s="229"/>
      <c r="C406" s="229"/>
      <c r="D406" s="251"/>
    </row>
    <row r="407" spans="2:4" x14ac:dyDescent="0.3">
      <c r="B407" s="229"/>
      <c r="C407" s="229"/>
      <c r="D407" s="251"/>
    </row>
    <row r="408" spans="2:4" x14ac:dyDescent="0.3">
      <c r="B408" s="229"/>
      <c r="C408" s="229"/>
      <c r="D408" s="251"/>
    </row>
    <row r="409" spans="2:4" x14ac:dyDescent="0.3">
      <c r="B409" s="229"/>
      <c r="C409" s="229"/>
      <c r="D409" s="251"/>
    </row>
    <row r="410" spans="2:4" x14ac:dyDescent="0.3">
      <c r="B410" s="229"/>
      <c r="C410" s="229"/>
      <c r="D410" s="251"/>
    </row>
    <row r="411" spans="2:4" x14ac:dyDescent="0.3">
      <c r="B411" s="229"/>
      <c r="C411" s="229"/>
      <c r="D411" s="251"/>
    </row>
    <row r="412" spans="2:4" x14ac:dyDescent="0.3">
      <c r="B412" s="229"/>
      <c r="C412" s="229"/>
      <c r="D412" s="251"/>
    </row>
    <row r="413" spans="2:4" x14ac:dyDescent="0.3">
      <c r="B413" s="229"/>
      <c r="C413" s="229"/>
      <c r="D413" s="251"/>
    </row>
    <row r="414" spans="2:4" x14ac:dyDescent="0.3">
      <c r="B414" s="229"/>
      <c r="C414" s="229"/>
      <c r="D414" s="251"/>
    </row>
    <row r="415" spans="2:4" x14ac:dyDescent="0.3">
      <c r="B415" s="229"/>
      <c r="C415" s="229"/>
      <c r="D415" s="251"/>
    </row>
    <row r="416" spans="2:4" x14ac:dyDescent="0.3">
      <c r="B416" s="229"/>
      <c r="C416" s="229"/>
      <c r="D416" s="251"/>
    </row>
    <row r="417" spans="2:4" x14ac:dyDescent="0.3">
      <c r="B417" s="229"/>
      <c r="C417" s="229"/>
      <c r="D417" s="251"/>
    </row>
    <row r="418" spans="2:4" x14ac:dyDescent="0.3">
      <c r="B418" s="229"/>
      <c r="C418" s="229"/>
      <c r="D418" s="251"/>
    </row>
    <row r="419" spans="2:4" x14ac:dyDescent="0.3">
      <c r="B419" s="229"/>
      <c r="C419" s="229"/>
      <c r="D419" s="251"/>
    </row>
    <row r="420" spans="2:4" x14ac:dyDescent="0.3">
      <c r="B420" s="229"/>
      <c r="C420" s="229"/>
      <c r="D420" s="251"/>
    </row>
    <row r="421" spans="2:4" x14ac:dyDescent="0.3">
      <c r="B421" s="229"/>
      <c r="C421" s="229"/>
      <c r="D421" s="251"/>
    </row>
    <row r="422" spans="2:4" x14ac:dyDescent="0.3">
      <c r="B422" s="229"/>
      <c r="C422" s="229"/>
      <c r="D422" s="251"/>
    </row>
    <row r="423" spans="2:4" x14ac:dyDescent="0.3">
      <c r="B423" s="229"/>
      <c r="C423" s="229"/>
      <c r="D423" s="251"/>
    </row>
    <row r="424" spans="2:4" x14ac:dyDescent="0.3">
      <c r="B424" s="229"/>
      <c r="C424" s="229"/>
      <c r="D424" s="251"/>
    </row>
    <row r="425" spans="2:4" x14ac:dyDescent="0.3">
      <c r="B425" s="229"/>
      <c r="C425" s="229"/>
      <c r="D425" s="251"/>
    </row>
    <row r="426" spans="2:4" x14ac:dyDescent="0.3">
      <c r="B426" s="229"/>
      <c r="C426" s="229"/>
      <c r="D426" s="251"/>
    </row>
    <row r="427" spans="2:4" x14ac:dyDescent="0.3">
      <c r="B427" s="229"/>
      <c r="C427" s="229"/>
      <c r="D427" s="251"/>
    </row>
    <row r="428" spans="2:4" x14ac:dyDescent="0.3">
      <c r="B428" s="229"/>
      <c r="C428" s="229"/>
      <c r="D428" s="251"/>
    </row>
    <row r="429" spans="2:4" x14ac:dyDescent="0.3">
      <c r="B429" s="229"/>
      <c r="C429" s="229"/>
      <c r="D429" s="251"/>
    </row>
    <row r="430" spans="2:4" x14ac:dyDescent="0.3">
      <c r="B430" s="229"/>
      <c r="C430" s="229"/>
      <c r="D430" s="251"/>
    </row>
    <row r="431" spans="2:4" x14ac:dyDescent="0.3">
      <c r="B431" s="229"/>
      <c r="C431" s="229"/>
      <c r="D431" s="251"/>
    </row>
    <row r="432" spans="2:4" x14ac:dyDescent="0.3">
      <c r="B432" s="229"/>
      <c r="C432" s="229"/>
      <c r="D432" s="251"/>
    </row>
    <row r="433" spans="2:4" x14ac:dyDescent="0.3">
      <c r="B433" s="229"/>
      <c r="C433" s="229"/>
      <c r="D433" s="251"/>
    </row>
    <row r="434" spans="2:4" x14ac:dyDescent="0.3">
      <c r="B434" s="229"/>
      <c r="C434" s="229"/>
      <c r="D434" s="251"/>
    </row>
    <row r="435" spans="2:4" x14ac:dyDescent="0.3">
      <c r="B435" s="229"/>
      <c r="C435" s="229"/>
      <c r="D435" s="251"/>
    </row>
    <row r="436" spans="2:4" x14ac:dyDescent="0.3">
      <c r="B436" s="229"/>
      <c r="C436" s="229"/>
      <c r="D436" s="251"/>
    </row>
    <row r="437" spans="2:4" x14ac:dyDescent="0.3">
      <c r="B437" s="229"/>
      <c r="C437" s="229"/>
      <c r="D437" s="251"/>
    </row>
    <row r="438" spans="2:4" x14ac:dyDescent="0.3">
      <c r="B438" s="229"/>
      <c r="C438" s="229"/>
      <c r="D438" s="251"/>
    </row>
    <row r="439" spans="2:4" x14ac:dyDescent="0.3">
      <c r="B439" s="229"/>
      <c r="C439" s="229"/>
      <c r="D439" s="251"/>
    </row>
    <row r="440" spans="2:4" x14ac:dyDescent="0.3">
      <c r="B440" s="229"/>
      <c r="C440" s="229"/>
      <c r="D440" s="251"/>
    </row>
    <row r="441" spans="2:4" x14ac:dyDescent="0.3">
      <c r="B441" s="229"/>
      <c r="C441" s="229"/>
      <c r="D441" s="251"/>
    </row>
    <row r="442" spans="2:4" x14ac:dyDescent="0.3">
      <c r="B442" s="229"/>
      <c r="C442" s="229"/>
      <c r="D442" s="251"/>
    </row>
    <row r="443" spans="2:4" x14ac:dyDescent="0.3">
      <c r="B443" s="229"/>
      <c r="C443" s="229"/>
      <c r="D443" s="251"/>
    </row>
    <row r="444" spans="2:4" x14ac:dyDescent="0.3">
      <c r="B444" s="229"/>
      <c r="C444" s="229"/>
      <c r="D444" s="251"/>
    </row>
    <row r="445" spans="2:4" x14ac:dyDescent="0.3">
      <c r="B445" s="229"/>
      <c r="C445" s="229"/>
      <c r="D445" s="251"/>
    </row>
    <row r="446" spans="2:4" x14ac:dyDescent="0.3">
      <c r="B446" s="229"/>
      <c r="C446" s="229"/>
      <c r="D446" s="251"/>
    </row>
    <row r="447" spans="2:4" x14ac:dyDescent="0.3">
      <c r="B447" s="229"/>
      <c r="C447" s="229"/>
      <c r="D447" s="251"/>
    </row>
    <row r="448" spans="2:4" x14ac:dyDescent="0.3">
      <c r="B448" s="229"/>
      <c r="C448" s="229"/>
      <c r="D448" s="251"/>
    </row>
    <row r="449" spans="2:4" x14ac:dyDescent="0.3">
      <c r="B449" s="229"/>
      <c r="C449" s="229"/>
      <c r="D449" s="251"/>
    </row>
    <row r="450" spans="2:4" x14ac:dyDescent="0.3">
      <c r="B450" s="229"/>
      <c r="C450" s="229"/>
      <c r="D450" s="251"/>
    </row>
    <row r="451" spans="2:4" x14ac:dyDescent="0.3">
      <c r="B451" s="229"/>
      <c r="C451" s="229"/>
      <c r="D451" s="251"/>
    </row>
    <row r="452" spans="2:4" x14ac:dyDescent="0.3">
      <c r="B452" s="229"/>
      <c r="C452" s="229"/>
      <c r="D452" s="251"/>
    </row>
    <row r="453" spans="2:4" x14ac:dyDescent="0.3">
      <c r="B453" s="229"/>
      <c r="C453" s="229"/>
      <c r="D453" s="251"/>
    </row>
    <row r="454" spans="2:4" x14ac:dyDescent="0.3">
      <c r="B454" s="229"/>
      <c r="C454" s="229"/>
      <c r="D454" s="251"/>
    </row>
    <row r="455" spans="2:4" x14ac:dyDescent="0.3">
      <c r="B455" s="229"/>
      <c r="C455" s="229"/>
      <c r="D455" s="251"/>
    </row>
    <row r="456" spans="2:4" x14ac:dyDescent="0.3">
      <c r="B456" s="229"/>
      <c r="C456" s="229"/>
      <c r="D456" s="251"/>
    </row>
    <row r="457" spans="2:4" x14ac:dyDescent="0.3">
      <c r="B457" s="229"/>
      <c r="C457" s="229"/>
      <c r="D457" s="251"/>
    </row>
    <row r="458" spans="2:4" x14ac:dyDescent="0.3">
      <c r="B458" s="229"/>
      <c r="C458" s="229"/>
      <c r="D458" s="251"/>
    </row>
    <row r="459" spans="2:4" x14ac:dyDescent="0.3">
      <c r="B459" s="229"/>
      <c r="C459" s="229"/>
      <c r="D459" s="251"/>
    </row>
    <row r="460" spans="2:4" x14ac:dyDescent="0.3">
      <c r="B460" s="229"/>
      <c r="C460" s="229"/>
      <c r="D460" s="251"/>
    </row>
    <row r="461" spans="2:4" x14ac:dyDescent="0.3">
      <c r="B461" s="229"/>
      <c r="C461" s="229"/>
      <c r="D461" s="251"/>
    </row>
    <row r="462" spans="2:4" x14ac:dyDescent="0.3">
      <c r="B462" s="229"/>
      <c r="C462" s="229"/>
      <c r="D462" s="251"/>
    </row>
    <row r="463" spans="2:4" x14ac:dyDescent="0.3">
      <c r="B463" s="229"/>
      <c r="C463" s="229"/>
      <c r="D463" s="251"/>
    </row>
    <row r="464" spans="2:4" x14ac:dyDescent="0.3">
      <c r="B464" s="229"/>
      <c r="C464" s="229"/>
      <c r="D464" s="251"/>
    </row>
    <row r="465" spans="2:4" x14ac:dyDescent="0.3">
      <c r="B465" s="229"/>
      <c r="C465" s="229"/>
      <c r="D465" s="251"/>
    </row>
    <row r="466" spans="2:4" x14ac:dyDescent="0.3">
      <c r="B466" s="229"/>
      <c r="C466" s="229"/>
      <c r="D466" s="251"/>
    </row>
    <row r="467" spans="2:4" x14ac:dyDescent="0.3">
      <c r="B467" s="229"/>
      <c r="C467" s="229"/>
      <c r="D467" s="251"/>
    </row>
    <row r="468" spans="2:4" x14ac:dyDescent="0.3">
      <c r="B468" s="229"/>
      <c r="C468" s="229"/>
      <c r="D468" s="251"/>
    </row>
    <row r="469" spans="2:4" x14ac:dyDescent="0.3">
      <c r="B469" s="229"/>
      <c r="C469" s="229"/>
      <c r="D469" s="251"/>
    </row>
    <row r="470" spans="2:4" x14ac:dyDescent="0.3">
      <c r="B470" s="229"/>
      <c r="C470" s="229"/>
      <c r="D470" s="251"/>
    </row>
    <row r="471" spans="2:4" x14ac:dyDescent="0.3">
      <c r="B471" s="229"/>
      <c r="C471" s="229"/>
      <c r="D471" s="251"/>
    </row>
    <row r="472" spans="2:4" x14ac:dyDescent="0.3">
      <c r="B472" s="229"/>
      <c r="C472" s="229"/>
      <c r="D472" s="251"/>
    </row>
    <row r="473" spans="2:4" x14ac:dyDescent="0.3">
      <c r="B473" s="229"/>
      <c r="C473" s="229"/>
      <c r="D473" s="251"/>
    </row>
    <row r="474" spans="2:4" x14ac:dyDescent="0.3">
      <c r="B474" s="229"/>
      <c r="C474" s="229"/>
      <c r="D474" s="251"/>
    </row>
    <row r="475" spans="2:4" x14ac:dyDescent="0.3">
      <c r="B475" s="229"/>
      <c r="C475" s="229"/>
      <c r="D475" s="251"/>
    </row>
    <row r="476" spans="2:4" x14ac:dyDescent="0.3">
      <c r="B476" s="229"/>
      <c r="C476" s="229"/>
      <c r="D476" s="251"/>
    </row>
    <row r="477" spans="2:4" x14ac:dyDescent="0.3">
      <c r="B477" s="229"/>
      <c r="C477" s="229"/>
      <c r="D477" s="251"/>
    </row>
    <row r="478" spans="2:4" x14ac:dyDescent="0.3">
      <c r="B478" s="229"/>
      <c r="C478" s="229"/>
      <c r="D478" s="251"/>
    </row>
    <row r="479" spans="2:4" x14ac:dyDescent="0.3">
      <c r="B479" s="229"/>
      <c r="C479" s="229"/>
      <c r="D479" s="251"/>
    </row>
    <row r="480" spans="2:4" x14ac:dyDescent="0.3">
      <c r="B480" s="229"/>
      <c r="C480" s="229"/>
      <c r="D480" s="251"/>
    </row>
    <row r="481" spans="2:4" x14ac:dyDescent="0.3">
      <c r="B481" s="229"/>
      <c r="C481" s="229"/>
      <c r="D481" s="251"/>
    </row>
    <row r="482" spans="2:4" x14ac:dyDescent="0.3">
      <c r="B482" s="229"/>
      <c r="C482" s="229"/>
      <c r="D482" s="251"/>
    </row>
    <row r="483" spans="2:4" x14ac:dyDescent="0.3">
      <c r="B483" s="229"/>
      <c r="C483" s="229"/>
      <c r="D483" s="251"/>
    </row>
    <row r="484" spans="2:4" x14ac:dyDescent="0.3">
      <c r="B484" s="229"/>
      <c r="C484" s="229"/>
      <c r="D484" s="251"/>
    </row>
    <row r="485" spans="2:4" x14ac:dyDescent="0.3">
      <c r="B485" s="229"/>
      <c r="C485" s="229"/>
      <c r="D485" s="251"/>
    </row>
    <row r="486" spans="2:4" x14ac:dyDescent="0.3">
      <c r="B486" s="229"/>
      <c r="C486" s="229"/>
      <c r="D486" s="251"/>
    </row>
    <row r="487" spans="2:4" x14ac:dyDescent="0.3">
      <c r="B487" s="229"/>
      <c r="C487" s="229"/>
      <c r="D487" s="251"/>
    </row>
    <row r="488" spans="2:4" x14ac:dyDescent="0.3">
      <c r="B488" s="229"/>
      <c r="C488" s="229"/>
      <c r="D488" s="251"/>
    </row>
    <row r="489" spans="2:4" x14ac:dyDescent="0.3">
      <c r="B489" s="229"/>
      <c r="C489" s="229"/>
      <c r="D489" s="251"/>
    </row>
    <row r="490" spans="2:4" x14ac:dyDescent="0.3">
      <c r="B490" s="229"/>
      <c r="C490" s="229"/>
      <c r="D490" s="251"/>
    </row>
    <row r="491" spans="2:4" x14ac:dyDescent="0.3">
      <c r="B491" s="229"/>
      <c r="C491" s="229"/>
      <c r="D491" s="251"/>
    </row>
    <row r="492" spans="2:4" x14ac:dyDescent="0.3">
      <c r="B492" s="229"/>
      <c r="C492" s="229"/>
      <c r="D492" s="251"/>
    </row>
    <row r="493" spans="2:4" x14ac:dyDescent="0.3">
      <c r="B493" s="229"/>
      <c r="C493" s="229"/>
      <c r="D493" s="251"/>
    </row>
    <row r="494" spans="2:4" x14ac:dyDescent="0.3">
      <c r="B494" s="229"/>
      <c r="C494" s="229"/>
      <c r="D494" s="251"/>
    </row>
    <row r="495" spans="2:4" x14ac:dyDescent="0.3">
      <c r="B495" s="229"/>
      <c r="C495" s="229"/>
      <c r="D495" s="251"/>
    </row>
    <row r="496" spans="2:4" x14ac:dyDescent="0.3">
      <c r="B496" s="229"/>
      <c r="C496" s="229"/>
      <c r="D496" s="251"/>
    </row>
    <row r="497" spans="2:4" x14ac:dyDescent="0.3">
      <c r="B497" s="229"/>
      <c r="C497" s="229"/>
      <c r="D497" s="251"/>
    </row>
    <row r="498" spans="2:4" x14ac:dyDescent="0.3">
      <c r="B498" s="229"/>
      <c r="C498" s="229"/>
      <c r="D498" s="251"/>
    </row>
    <row r="499" spans="2:4" x14ac:dyDescent="0.3">
      <c r="B499" s="229"/>
      <c r="C499" s="229"/>
      <c r="D499" s="251"/>
    </row>
    <row r="500" spans="2:4" x14ac:dyDescent="0.3">
      <c r="B500" s="229"/>
      <c r="C500" s="229"/>
      <c r="D500" s="251"/>
    </row>
    <row r="501" spans="2:4" x14ac:dyDescent="0.3">
      <c r="B501" s="229"/>
      <c r="C501" s="229"/>
      <c r="D501" s="251"/>
    </row>
    <row r="502" spans="2:4" x14ac:dyDescent="0.3">
      <c r="B502" s="229"/>
      <c r="C502" s="229"/>
      <c r="D502" s="251"/>
    </row>
    <row r="503" spans="2:4" x14ac:dyDescent="0.3">
      <c r="B503" s="229"/>
      <c r="C503" s="229"/>
      <c r="D503" s="251"/>
    </row>
    <row r="504" spans="2:4" x14ac:dyDescent="0.3">
      <c r="B504" s="229"/>
      <c r="C504" s="229"/>
      <c r="D504" s="251"/>
    </row>
    <row r="505" spans="2:4" x14ac:dyDescent="0.3">
      <c r="B505" s="229"/>
      <c r="C505" s="229"/>
      <c r="D505" s="251"/>
    </row>
    <row r="506" spans="2:4" x14ac:dyDescent="0.3">
      <c r="B506" s="229"/>
      <c r="C506" s="229"/>
      <c r="D506" s="251"/>
    </row>
    <row r="507" spans="2:4" x14ac:dyDescent="0.3">
      <c r="B507" s="229"/>
      <c r="C507" s="229"/>
      <c r="D507" s="251"/>
    </row>
    <row r="508" spans="2:4" x14ac:dyDescent="0.3">
      <c r="B508" s="229"/>
      <c r="C508" s="229"/>
      <c r="D508" s="251"/>
    </row>
    <row r="509" spans="2:4" x14ac:dyDescent="0.3">
      <c r="B509" s="229"/>
      <c r="C509" s="229"/>
      <c r="D509" s="251"/>
    </row>
    <row r="510" spans="2:4" x14ac:dyDescent="0.3">
      <c r="B510" s="229"/>
      <c r="C510" s="229"/>
      <c r="D510" s="251"/>
    </row>
    <row r="511" spans="2:4" x14ac:dyDescent="0.3">
      <c r="B511" s="229"/>
      <c r="C511" s="229"/>
      <c r="D511" s="251"/>
    </row>
    <row r="512" spans="2:4" x14ac:dyDescent="0.3">
      <c r="B512" s="229"/>
      <c r="C512" s="229"/>
      <c r="D512" s="251"/>
    </row>
    <row r="513" spans="2:4" x14ac:dyDescent="0.3">
      <c r="B513" s="229"/>
      <c r="C513" s="229"/>
      <c r="D513" s="251"/>
    </row>
    <row r="514" spans="2:4" x14ac:dyDescent="0.3">
      <c r="B514" s="229"/>
      <c r="C514" s="229"/>
      <c r="D514" s="251"/>
    </row>
    <row r="515" spans="2:4" x14ac:dyDescent="0.3">
      <c r="B515" s="229"/>
      <c r="C515" s="229"/>
      <c r="D515" s="251"/>
    </row>
    <row r="516" spans="2:4" x14ac:dyDescent="0.3">
      <c r="B516" s="229"/>
      <c r="C516" s="229"/>
      <c r="D516" s="251"/>
    </row>
    <row r="517" spans="2:4" x14ac:dyDescent="0.3">
      <c r="B517" s="229"/>
      <c r="C517" s="229"/>
      <c r="D517" s="251"/>
    </row>
    <row r="518" spans="2:4" x14ac:dyDescent="0.3">
      <c r="B518" s="229"/>
      <c r="C518" s="229"/>
      <c r="D518" s="251"/>
    </row>
    <row r="519" spans="2:4" x14ac:dyDescent="0.3">
      <c r="B519" s="229"/>
      <c r="C519" s="229"/>
      <c r="D519" s="251"/>
    </row>
    <row r="520" spans="2:4" x14ac:dyDescent="0.3">
      <c r="B520" s="229"/>
      <c r="C520" s="229"/>
      <c r="D520" s="251"/>
    </row>
    <row r="521" spans="2:4" x14ac:dyDescent="0.3">
      <c r="B521" s="229"/>
      <c r="C521" s="229"/>
      <c r="D521" s="251"/>
    </row>
    <row r="522" spans="2:4" x14ac:dyDescent="0.3">
      <c r="B522" s="229"/>
      <c r="C522" s="229"/>
      <c r="D522" s="251"/>
    </row>
    <row r="523" spans="2:4" x14ac:dyDescent="0.3">
      <c r="B523" s="229"/>
      <c r="C523" s="229"/>
      <c r="D523" s="251"/>
    </row>
    <row r="524" spans="2:4" x14ac:dyDescent="0.3">
      <c r="B524" s="229"/>
      <c r="C524" s="229"/>
      <c r="D524" s="251"/>
    </row>
    <row r="525" spans="2:4" x14ac:dyDescent="0.3">
      <c r="B525" s="229"/>
      <c r="C525" s="229"/>
      <c r="D525" s="251"/>
    </row>
    <row r="526" spans="2:4" x14ac:dyDescent="0.3">
      <c r="B526" s="229"/>
      <c r="C526" s="229"/>
      <c r="D526" s="251"/>
    </row>
    <row r="527" spans="2:4" x14ac:dyDescent="0.3">
      <c r="B527" s="229"/>
      <c r="C527" s="229"/>
      <c r="D527" s="251"/>
    </row>
    <row r="528" spans="2:4" x14ac:dyDescent="0.3">
      <c r="B528" s="229"/>
      <c r="C528" s="229"/>
      <c r="D528" s="251"/>
    </row>
    <row r="529" spans="2:4" x14ac:dyDescent="0.3">
      <c r="B529" s="229"/>
      <c r="C529" s="229"/>
      <c r="D529" s="251"/>
    </row>
    <row r="530" spans="2:4" x14ac:dyDescent="0.3">
      <c r="B530" s="229"/>
      <c r="C530" s="229"/>
      <c r="D530" s="251"/>
    </row>
    <row r="531" spans="2:4" x14ac:dyDescent="0.3">
      <c r="B531" s="229"/>
      <c r="C531" s="229"/>
      <c r="D531" s="251"/>
    </row>
    <row r="532" spans="2:4" x14ac:dyDescent="0.3">
      <c r="B532" s="229"/>
      <c r="C532" s="229"/>
      <c r="D532" s="251"/>
    </row>
    <row r="533" spans="2:4" x14ac:dyDescent="0.3">
      <c r="B533" s="229"/>
      <c r="C533" s="229"/>
      <c r="D533" s="251"/>
    </row>
    <row r="534" spans="2:4" x14ac:dyDescent="0.3">
      <c r="B534" s="229"/>
      <c r="C534" s="229"/>
      <c r="D534" s="251"/>
    </row>
    <row r="535" spans="2:4" x14ac:dyDescent="0.3">
      <c r="B535" s="229"/>
      <c r="C535" s="229"/>
      <c r="D535" s="251"/>
    </row>
    <row r="536" spans="2:4" x14ac:dyDescent="0.3">
      <c r="B536" s="229"/>
      <c r="C536" s="229"/>
      <c r="D536" s="251"/>
    </row>
    <row r="537" spans="2:4" x14ac:dyDescent="0.3">
      <c r="B537" s="229"/>
      <c r="C537" s="229"/>
      <c r="D537" s="251"/>
    </row>
    <row r="538" spans="2:4" x14ac:dyDescent="0.3">
      <c r="B538" s="229"/>
      <c r="C538" s="229"/>
      <c r="D538" s="251"/>
    </row>
    <row r="539" spans="2:4" x14ac:dyDescent="0.3">
      <c r="B539" s="229"/>
      <c r="C539" s="229"/>
      <c r="D539" s="251"/>
    </row>
    <row r="540" spans="2:4" x14ac:dyDescent="0.3">
      <c r="B540" s="229"/>
      <c r="C540" s="229"/>
      <c r="D540" s="251"/>
    </row>
    <row r="541" spans="2:4" x14ac:dyDescent="0.3">
      <c r="B541" s="229"/>
      <c r="C541" s="229"/>
      <c r="D541" s="251"/>
    </row>
    <row r="542" spans="2:4" x14ac:dyDescent="0.3">
      <c r="B542" s="229"/>
      <c r="C542" s="229"/>
      <c r="D542" s="251"/>
    </row>
    <row r="543" spans="2:4" x14ac:dyDescent="0.3">
      <c r="B543" s="229"/>
      <c r="C543" s="229"/>
      <c r="D543" s="251"/>
    </row>
    <row r="544" spans="2:4" x14ac:dyDescent="0.3">
      <c r="B544" s="229"/>
      <c r="C544" s="229"/>
      <c r="D544" s="251"/>
    </row>
    <row r="545" spans="2:4" x14ac:dyDescent="0.3">
      <c r="B545" s="229"/>
      <c r="C545" s="229"/>
      <c r="D545" s="251"/>
    </row>
    <row r="546" spans="2:4" x14ac:dyDescent="0.3">
      <c r="B546" s="229"/>
      <c r="C546" s="229"/>
      <c r="D546" s="251"/>
    </row>
    <row r="547" spans="2:4" x14ac:dyDescent="0.3">
      <c r="B547" s="229"/>
      <c r="C547" s="229"/>
      <c r="D547" s="251"/>
    </row>
    <row r="548" spans="2:4" x14ac:dyDescent="0.3">
      <c r="B548" s="229"/>
      <c r="C548" s="229"/>
      <c r="D548" s="251"/>
    </row>
    <row r="549" spans="2:4" x14ac:dyDescent="0.3">
      <c r="B549" s="229"/>
      <c r="C549" s="229"/>
      <c r="D549" s="251"/>
    </row>
    <row r="550" spans="2:4" x14ac:dyDescent="0.3">
      <c r="B550" s="229"/>
      <c r="C550" s="229"/>
      <c r="D550" s="251"/>
    </row>
    <row r="551" spans="2:4" x14ac:dyDescent="0.3">
      <c r="B551" s="229"/>
      <c r="C551" s="229"/>
      <c r="D551" s="251"/>
    </row>
    <row r="552" spans="2:4" x14ac:dyDescent="0.3">
      <c r="B552" s="229"/>
      <c r="C552" s="229"/>
      <c r="D552" s="251"/>
    </row>
    <row r="553" spans="2:4" x14ac:dyDescent="0.3">
      <c r="B553" s="229"/>
      <c r="C553" s="229"/>
      <c r="D553" s="251"/>
    </row>
    <row r="554" spans="2:4" x14ac:dyDescent="0.3">
      <c r="B554" s="229"/>
      <c r="C554" s="229"/>
      <c r="D554" s="251"/>
    </row>
    <row r="555" spans="2:4" x14ac:dyDescent="0.3">
      <c r="B555" s="229"/>
      <c r="C555" s="229"/>
      <c r="D555" s="251"/>
    </row>
    <row r="556" spans="2:4" x14ac:dyDescent="0.3">
      <c r="B556" s="229"/>
      <c r="C556" s="229"/>
      <c r="D556" s="251"/>
    </row>
    <row r="557" spans="2:4" x14ac:dyDescent="0.3">
      <c r="B557" s="229"/>
      <c r="C557" s="229"/>
      <c r="D557" s="251"/>
    </row>
    <row r="558" spans="2:4" x14ac:dyDescent="0.3">
      <c r="B558" s="229"/>
      <c r="C558" s="229"/>
      <c r="D558" s="251"/>
    </row>
    <row r="559" spans="2:4" x14ac:dyDescent="0.3">
      <c r="B559" s="229"/>
      <c r="C559" s="229"/>
      <c r="D559" s="251"/>
    </row>
    <row r="560" spans="2:4" x14ac:dyDescent="0.3">
      <c r="B560" s="229"/>
      <c r="C560" s="229"/>
      <c r="D560" s="251"/>
    </row>
    <row r="561" spans="2:4" x14ac:dyDescent="0.3">
      <c r="B561" s="229"/>
      <c r="C561" s="229"/>
      <c r="D561" s="251"/>
    </row>
    <row r="562" spans="2:4" x14ac:dyDescent="0.3">
      <c r="B562" s="229"/>
      <c r="C562" s="229"/>
      <c r="D562" s="251"/>
    </row>
    <row r="563" spans="2:4" x14ac:dyDescent="0.3">
      <c r="B563" s="229"/>
      <c r="C563" s="229"/>
      <c r="D563" s="251"/>
    </row>
    <row r="564" spans="2:4" x14ac:dyDescent="0.3">
      <c r="B564" s="229"/>
      <c r="C564" s="229"/>
      <c r="D564" s="251"/>
    </row>
    <row r="565" spans="2:4" x14ac:dyDescent="0.3">
      <c r="B565" s="229"/>
      <c r="C565" s="229"/>
      <c r="D565" s="251"/>
    </row>
    <row r="566" spans="2:4" x14ac:dyDescent="0.3">
      <c r="B566" s="229"/>
      <c r="C566" s="229"/>
      <c r="D566" s="251"/>
    </row>
    <row r="567" spans="2:4" x14ac:dyDescent="0.3">
      <c r="B567" s="229"/>
      <c r="C567" s="229"/>
      <c r="D567" s="251"/>
    </row>
    <row r="568" spans="2:4" x14ac:dyDescent="0.3">
      <c r="B568" s="229"/>
      <c r="C568" s="229"/>
      <c r="D568" s="251"/>
    </row>
    <row r="569" spans="2:4" x14ac:dyDescent="0.3">
      <c r="B569" s="229"/>
      <c r="C569" s="229"/>
      <c r="D569" s="251"/>
    </row>
    <row r="570" spans="2:4" x14ac:dyDescent="0.3">
      <c r="B570" s="229"/>
      <c r="C570" s="229"/>
      <c r="D570" s="251"/>
    </row>
    <row r="571" spans="2:4" x14ac:dyDescent="0.3">
      <c r="B571" s="229"/>
      <c r="C571" s="229"/>
      <c r="D571" s="251"/>
    </row>
    <row r="572" spans="2:4" x14ac:dyDescent="0.3">
      <c r="B572" s="229"/>
      <c r="C572" s="229"/>
      <c r="D572" s="251"/>
    </row>
    <row r="573" spans="2:4" x14ac:dyDescent="0.3">
      <c r="B573" s="229"/>
      <c r="C573" s="229"/>
      <c r="D573" s="251"/>
    </row>
    <row r="574" spans="2:4" x14ac:dyDescent="0.3">
      <c r="B574" s="229"/>
      <c r="C574" s="229"/>
      <c r="D574" s="251"/>
    </row>
    <row r="575" spans="2:4" x14ac:dyDescent="0.3">
      <c r="B575" s="229"/>
      <c r="C575" s="229"/>
      <c r="D575" s="251"/>
    </row>
    <row r="576" spans="2:4" x14ac:dyDescent="0.3">
      <c r="B576" s="229"/>
      <c r="C576" s="229"/>
      <c r="D576" s="251"/>
    </row>
    <row r="577" spans="2:4" x14ac:dyDescent="0.3">
      <c r="B577" s="229"/>
      <c r="C577" s="229"/>
      <c r="D577" s="251"/>
    </row>
    <row r="578" spans="2:4" x14ac:dyDescent="0.3">
      <c r="B578" s="229"/>
      <c r="C578" s="229"/>
      <c r="D578" s="251"/>
    </row>
    <row r="579" spans="2:4" x14ac:dyDescent="0.3">
      <c r="B579" s="229"/>
      <c r="C579" s="229"/>
      <c r="D579" s="251"/>
    </row>
    <row r="580" spans="2:4" x14ac:dyDescent="0.3">
      <c r="B580" s="229"/>
      <c r="C580" s="229"/>
      <c r="D580" s="251"/>
    </row>
    <row r="581" spans="2:4" x14ac:dyDescent="0.3">
      <c r="B581" s="229"/>
      <c r="C581" s="229"/>
      <c r="D581" s="251"/>
    </row>
    <row r="582" spans="2:4" x14ac:dyDescent="0.3">
      <c r="B582" s="229"/>
      <c r="C582" s="229"/>
      <c r="D582" s="251"/>
    </row>
    <row r="583" spans="2:4" x14ac:dyDescent="0.3">
      <c r="B583" s="229"/>
      <c r="C583" s="229"/>
      <c r="D583" s="251"/>
    </row>
    <row r="584" spans="2:4" x14ac:dyDescent="0.3">
      <c r="B584" s="229"/>
      <c r="C584" s="229"/>
      <c r="D584" s="251"/>
    </row>
    <row r="585" spans="2:4" x14ac:dyDescent="0.3">
      <c r="B585" s="229"/>
      <c r="C585" s="229"/>
      <c r="D585" s="251"/>
    </row>
    <row r="586" spans="2:4" x14ac:dyDescent="0.3">
      <c r="B586" s="229"/>
      <c r="C586" s="229"/>
      <c r="D586" s="251"/>
    </row>
    <row r="587" spans="2:4" x14ac:dyDescent="0.3">
      <c r="B587" s="229"/>
      <c r="C587" s="229"/>
      <c r="D587" s="251"/>
    </row>
    <row r="588" spans="2:4" x14ac:dyDescent="0.3">
      <c r="B588" s="229"/>
      <c r="C588" s="229"/>
      <c r="D588" s="251"/>
    </row>
    <row r="589" spans="2:4" x14ac:dyDescent="0.3">
      <c r="B589" s="229"/>
      <c r="C589" s="229"/>
      <c r="D589" s="251"/>
    </row>
    <row r="590" spans="2:4" x14ac:dyDescent="0.3">
      <c r="B590" s="229"/>
      <c r="C590" s="229"/>
      <c r="D590" s="251"/>
    </row>
    <row r="591" spans="2:4" x14ac:dyDescent="0.3">
      <c r="B591" s="229"/>
      <c r="C591" s="229"/>
      <c r="D591" s="251"/>
    </row>
    <row r="592" spans="2:4" x14ac:dyDescent="0.3">
      <c r="B592" s="229"/>
      <c r="C592" s="229"/>
      <c r="D592" s="251"/>
    </row>
    <row r="593" spans="2:4" x14ac:dyDescent="0.3">
      <c r="B593" s="229"/>
      <c r="C593" s="229"/>
      <c r="D593" s="251"/>
    </row>
    <row r="594" spans="2:4" x14ac:dyDescent="0.3">
      <c r="B594" s="229"/>
      <c r="C594" s="229"/>
      <c r="D594" s="251"/>
    </row>
    <row r="595" spans="2:4" x14ac:dyDescent="0.3">
      <c r="B595" s="229"/>
      <c r="C595" s="229"/>
      <c r="D595" s="251"/>
    </row>
    <row r="596" spans="2:4" x14ac:dyDescent="0.3">
      <c r="B596" s="229"/>
      <c r="C596" s="229"/>
      <c r="D596" s="251"/>
    </row>
    <row r="597" spans="2:4" x14ac:dyDescent="0.3">
      <c r="B597" s="229"/>
      <c r="C597" s="229"/>
      <c r="D597" s="251"/>
    </row>
    <row r="598" spans="2:4" x14ac:dyDescent="0.3">
      <c r="B598" s="229"/>
      <c r="C598" s="229"/>
      <c r="D598" s="251"/>
    </row>
    <row r="599" spans="2:4" x14ac:dyDescent="0.3">
      <c r="B599" s="229"/>
      <c r="C599" s="229"/>
      <c r="D599" s="251"/>
    </row>
    <row r="600" spans="2:4" x14ac:dyDescent="0.3">
      <c r="B600" s="229"/>
      <c r="C600" s="229"/>
      <c r="D600" s="251"/>
    </row>
    <row r="601" spans="2:4" x14ac:dyDescent="0.3">
      <c r="B601" s="229"/>
      <c r="C601" s="229"/>
      <c r="D601" s="251"/>
    </row>
    <row r="602" spans="2:4" x14ac:dyDescent="0.3">
      <c r="B602" s="229"/>
      <c r="C602" s="229"/>
      <c r="D602" s="251"/>
    </row>
    <row r="603" spans="2:4" x14ac:dyDescent="0.3">
      <c r="B603" s="229"/>
      <c r="C603" s="229"/>
      <c r="D603" s="251"/>
    </row>
    <row r="604" spans="2:4" x14ac:dyDescent="0.3">
      <c r="B604" s="229"/>
      <c r="C604" s="229"/>
      <c r="D604" s="251"/>
    </row>
    <row r="605" spans="2:4" x14ac:dyDescent="0.3">
      <c r="B605" s="229"/>
      <c r="C605" s="229"/>
      <c r="D605" s="251"/>
    </row>
    <row r="606" spans="2:4" x14ac:dyDescent="0.3">
      <c r="B606" s="229"/>
      <c r="C606" s="229"/>
      <c r="D606" s="251"/>
    </row>
    <row r="607" spans="2:4" x14ac:dyDescent="0.3">
      <c r="B607" s="229"/>
      <c r="C607" s="229"/>
      <c r="D607" s="251"/>
    </row>
    <row r="608" spans="2:4" x14ac:dyDescent="0.3">
      <c r="B608" s="229"/>
      <c r="C608" s="229"/>
      <c r="D608" s="251"/>
    </row>
    <row r="609" spans="2:4" x14ac:dyDescent="0.3">
      <c r="B609" s="229"/>
      <c r="C609" s="229"/>
      <c r="D609" s="251"/>
    </row>
    <row r="610" spans="2:4" x14ac:dyDescent="0.3">
      <c r="B610" s="229"/>
      <c r="C610" s="229"/>
      <c r="D610" s="251"/>
    </row>
    <row r="611" spans="2:4" x14ac:dyDescent="0.3">
      <c r="B611" s="229"/>
      <c r="C611" s="229"/>
      <c r="D611" s="251"/>
    </row>
    <row r="612" spans="2:4" x14ac:dyDescent="0.3">
      <c r="B612" s="229"/>
      <c r="C612" s="229"/>
      <c r="D612" s="251"/>
    </row>
    <row r="613" spans="2:4" x14ac:dyDescent="0.3">
      <c r="B613" s="229"/>
      <c r="C613" s="229"/>
      <c r="D613" s="251"/>
    </row>
    <row r="614" spans="2:4" x14ac:dyDescent="0.3">
      <c r="B614" s="229"/>
      <c r="C614" s="229"/>
      <c r="D614" s="251"/>
    </row>
    <row r="615" spans="2:4" x14ac:dyDescent="0.3">
      <c r="B615" s="229"/>
      <c r="C615" s="229"/>
      <c r="D615" s="251"/>
    </row>
    <row r="616" spans="2:4" x14ac:dyDescent="0.3">
      <c r="B616" s="229"/>
      <c r="C616" s="229"/>
      <c r="D616" s="251"/>
    </row>
    <row r="617" spans="2:4" x14ac:dyDescent="0.3">
      <c r="B617" s="229"/>
      <c r="C617" s="229"/>
      <c r="D617" s="251"/>
    </row>
    <row r="618" spans="2:4" x14ac:dyDescent="0.3">
      <c r="B618" s="229"/>
      <c r="C618" s="229"/>
      <c r="D618" s="251"/>
    </row>
    <row r="619" spans="2:4" x14ac:dyDescent="0.3">
      <c r="B619" s="229"/>
      <c r="C619" s="229"/>
      <c r="D619" s="251"/>
    </row>
    <row r="620" spans="2:4" x14ac:dyDescent="0.3">
      <c r="B620" s="229"/>
      <c r="C620" s="229"/>
      <c r="D620" s="251"/>
    </row>
    <row r="621" spans="2:4" x14ac:dyDescent="0.3">
      <c r="B621" s="229"/>
      <c r="C621" s="229"/>
      <c r="D621" s="251"/>
    </row>
    <row r="622" spans="2:4" x14ac:dyDescent="0.3">
      <c r="B622" s="229"/>
      <c r="C622" s="229"/>
      <c r="D622" s="251"/>
    </row>
    <row r="623" spans="2:4" x14ac:dyDescent="0.3">
      <c r="B623" s="229"/>
      <c r="C623" s="229"/>
      <c r="D623" s="251"/>
    </row>
    <row r="624" spans="2:4" x14ac:dyDescent="0.3">
      <c r="B624" s="229"/>
      <c r="C624" s="229"/>
      <c r="D624" s="251"/>
    </row>
    <row r="625" spans="2:4" x14ac:dyDescent="0.3">
      <c r="B625" s="229"/>
      <c r="C625" s="229"/>
      <c r="D625" s="251"/>
    </row>
    <row r="626" spans="2:4" x14ac:dyDescent="0.3">
      <c r="B626" s="229"/>
      <c r="C626" s="229"/>
      <c r="D626" s="251"/>
    </row>
    <row r="627" spans="2:4" x14ac:dyDescent="0.3">
      <c r="B627" s="229"/>
      <c r="C627" s="229"/>
      <c r="D627" s="251"/>
    </row>
    <row r="628" spans="2:4" x14ac:dyDescent="0.3">
      <c r="B628" s="229"/>
      <c r="C628" s="229"/>
      <c r="D628" s="251"/>
    </row>
    <row r="629" spans="2:4" x14ac:dyDescent="0.3">
      <c r="B629" s="229"/>
      <c r="C629" s="229"/>
      <c r="D629" s="251"/>
    </row>
    <row r="630" spans="2:4" x14ac:dyDescent="0.3">
      <c r="B630" s="229"/>
      <c r="C630" s="229"/>
      <c r="D630" s="251"/>
    </row>
    <row r="631" spans="2:4" x14ac:dyDescent="0.3">
      <c r="B631" s="229"/>
      <c r="C631" s="229"/>
      <c r="D631" s="251"/>
    </row>
    <row r="632" spans="2:4" x14ac:dyDescent="0.3">
      <c r="B632" s="229"/>
      <c r="C632" s="229"/>
      <c r="D632" s="251"/>
    </row>
    <row r="633" spans="2:4" x14ac:dyDescent="0.3">
      <c r="B633" s="229"/>
      <c r="C633" s="229"/>
      <c r="D633" s="251"/>
    </row>
    <row r="634" spans="2:4" x14ac:dyDescent="0.3">
      <c r="B634" s="229"/>
      <c r="C634" s="229"/>
      <c r="D634" s="251"/>
    </row>
    <row r="635" spans="2:4" x14ac:dyDescent="0.3">
      <c r="B635" s="229"/>
      <c r="C635" s="229"/>
      <c r="D635" s="251"/>
    </row>
    <row r="636" spans="2:4" x14ac:dyDescent="0.3">
      <c r="B636" s="229"/>
      <c r="C636" s="229"/>
      <c r="D636" s="251"/>
    </row>
    <row r="637" spans="2:4" x14ac:dyDescent="0.3">
      <c r="B637" s="229"/>
      <c r="C637" s="229"/>
      <c r="D637" s="251"/>
    </row>
    <row r="638" spans="2:4" x14ac:dyDescent="0.3">
      <c r="B638" s="229"/>
      <c r="C638" s="229"/>
      <c r="D638" s="251"/>
    </row>
    <row r="639" spans="2:4" x14ac:dyDescent="0.3">
      <c r="B639" s="229"/>
      <c r="C639" s="229"/>
      <c r="D639" s="251"/>
    </row>
    <row r="640" spans="2:4" x14ac:dyDescent="0.3">
      <c r="B640" s="229"/>
      <c r="C640" s="229"/>
      <c r="D640" s="251"/>
    </row>
    <row r="641" spans="2:4" x14ac:dyDescent="0.3">
      <c r="B641" s="229"/>
      <c r="C641" s="229"/>
      <c r="D641" s="251"/>
    </row>
    <row r="642" spans="2:4" x14ac:dyDescent="0.3">
      <c r="B642" s="229"/>
      <c r="C642" s="229"/>
      <c r="D642" s="251"/>
    </row>
    <row r="643" spans="2:4" x14ac:dyDescent="0.3">
      <c r="B643" s="229"/>
      <c r="C643" s="229"/>
      <c r="D643" s="251"/>
    </row>
    <row r="644" spans="2:4" x14ac:dyDescent="0.3">
      <c r="B644" s="229"/>
      <c r="C644" s="229"/>
      <c r="D644" s="251"/>
    </row>
    <row r="645" spans="2:4" x14ac:dyDescent="0.3">
      <c r="B645" s="229"/>
      <c r="C645" s="229"/>
      <c r="D645" s="251"/>
    </row>
    <row r="646" spans="2:4" x14ac:dyDescent="0.3">
      <c r="B646" s="229"/>
      <c r="C646" s="229"/>
      <c r="D646" s="251"/>
    </row>
    <row r="647" spans="2:4" x14ac:dyDescent="0.3">
      <c r="B647" s="229"/>
      <c r="C647" s="229"/>
      <c r="D647" s="251"/>
    </row>
    <row r="648" spans="2:4" x14ac:dyDescent="0.3">
      <c r="B648" s="229"/>
      <c r="C648" s="229"/>
      <c r="D648" s="251"/>
    </row>
    <row r="649" spans="2:4" x14ac:dyDescent="0.3">
      <c r="B649" s="229"/>
      <c r="C649" s="229"/>
      <c r="D649" s="251"/>
    </row>
    <row r="650" spans="2:4" x14ac:dyDescent="0.3">
      <c r="B650" s="229"/>
      <c r="C650" s="229"/>
      <c r="D650" s="251"/>
    </row>
    <row r="651" spans="2:4" x14ac:dyDescent="0.3">
      <c r="B651" s="229"/>
      <c r="C651" s="229"/>
      <c r="D651" s="251"/>
    </row>
    <row r="652" spans="2:4" x14ac:dyDescent="0.3">
      <c r="B652" s="229"/>
      <c r="C652" s="229"/>
      <c r="D652" s="251"/>
    </row>
    <row r="653" spans="2:4" x14ac:dyDescent="0.3">
      <c r="B653" s="229"/>
      <c r="C653" s="229"/>
      <c r="D653" s="251"/>
    </row>
    <row r="654" spans="2:4" x14ac:dyDescent="0.3">
      <c r="B654" s="229"/>
      <c r="C654" s="229"/>
      <c r="D654" s="251"/>
    </row>
    <row r="655" spans="2:4" x14ac:dyDescent="0.3">
      <c r="B655" s="229"/>
      <c r="C655" s="229"/>
      <c r="D655" s="251"/>
    </row>
    <row r="656" spans="2:4" x14ac:dyDescent="0.3">
      <c r="B656" s="229"/>
      <c r="C656" s="229"/>
      <c r="D656" s="251"/>
    </row>
    <row r="657" spans="2:4" x14ac:dyDescent="0.3">
      <c r="B657" s="229"/>
      <c r="C657" s="229"/>
      <c r="D657" s="251"/>
    </row>
    <row r="658" spans="2:4" x14ac:dyDescent="0.3">
      <c r="B658" s="229"/>
      <c r="C658" s="229"/>
      <c r="D658" s="251"/>
    </row>
    <row r="659" spans="2:4" x14ac:dyDescent="0.3">
      <c r="B659" s="229"/>
      <c r="C659" s="229"/>
      <c r="D659" s="251"/>
    </row>
    <row r="660" spans="2:4" x14ac:dyDescent="0.3">
      <c r="B660" s="229"/>
      <c r="C660" s="229"/>
      <c r="D660" s="251"/>
    </row>
    <row r="661" spans="2:4" x14ac:dyDescent="0.3">
      <c r="B661" s="229"/>
      <c r="C661" s="229"/>
      <c r="D661" s="251"/>
    </row>
    <row r="662" spans="2:4" x14ac:dyDescent="0.3">
      <c r="B662" s="229"/>
      <c r="C662" s="229"/>
      <c r="D662" s="251"/>
    </row>
    <row r="663" spans="2:4" x14ac:dyDescent="0.3">
      <c r="B663" s="229"/>
      <c r="C663" s="229"/>
      <c r="D663" s="251"/>
    </row>
    <row r="664" spans="2:4" x14ac:dyDescent="0.3">
      <c r="B664" s="229"/>
      <c r="C664" s="229"/>
      <c r="D664" s="251"/>
    </row>
    <row r="665" spans="2:4" x14ac:dyDescent="0.3">
      <c r="B665" s="229"/>
      <c r="C665" s="229"/>
      <c r="D665" s="251"/>
    </row>
    <row r="666" spans="2:4" x14ac:dyDescent="0.3">
      <c r="B666" s="229"/>
      <c r="C666" s="229"/>
      <c r="D666" s="251"/>
    </row>
    <row r="667" spans="2:4" x14ac:dyDescent="0.3">
      <c r="B667" s="229"/>
      <c r="C667" s="229"/>
      <c r="D667" s="251"/>
    </row>
    <row r="668" spans="2:4" x14ac:dyDescent="0.3">
      <c r="B668" s="229"/>
      <c r="C668" s="229"/>
      <c r="D668" s="251"/>
    </row>
    <row r="669" spans="2:4" x14ac:dyDescent="0.3">
      <c r="B669" s="229"/>
      <c r="C669" s="229"/>
      <c r="D669" s="251"/>
    </row>
    <row r="670" spans="2:4" x14ac:dyDescent="0.3">
      <c r="B670" s="229"/>
      <c r="C670" s="229"/>
      <c r="D670" s="251"/>
    </row>
    <row r="671" spans="2:4" x14ac:dyDescent="0.3">
      <c r="B671" s="229"/>
      <c r="C671" s="229"/>
      <c r="D671" s="251"/>
    </row>
    <row r="672" spans="2:4" x14ac:dyDescent="0.3">
      <c r="B672" s="229"/>
      <c r="C672" s="229"/>
      <c r="D672" s="251"/>
    </row>
    <row r="673" spans="2:4" x14ac:dyDescent="0.3">
      <c r="B673" s="229"/>
      <c r="C673" s="229"/>
      <c r="D673" s="251"/>
    </row>
    <row r="674" spans="2:4" x14ac:dyDescent="0.3">
      <c r="B674" s="229"/>
      <c r="C674" s="229"/>
      <c r="D674" s="251"/>
    </row>
    <row r="675" spans="2:4" x14ac:dyDescent="0.3">
      <c r="B675" s="229"/>
      <c r="C675" s="229"/>
      <c r="D675" s="251"/>
    </row>
    <row r="676" spans="2:4" x14ac:dyDescent="0.3">
      <c r="B676" s="229"/>
      <c r="C676" s="229"/>
      <c r="D676" s="251"/>
    </row>
    <row r="677" spans="2:4" x14ac:dyDescent="0.3">
      <c r="B677" s="229"/>
      <c r="C677" s="229"/>
      <c r="D677" s="251"/>
    </row>
    <row r="678" spans="2:4" x14ac:dyDescent="0.3">
      <c r="B678" s="229"/>
      <c r="C678" s="229"/>
      <c r="D678" s="251"/>
    </row>
    <row r="679" spans="2:4" x14ac:dyDescent="0.3">
      <c r="B679" s="229"/>
      <c r="C679" s="229"/>
      <c r="D679" s="251"/>
    </row>
    <row r="680" spans="2:4" x14ac:dyDescent="0.3">
      <c r="B680" s="229"/>
      <c r="C680" s="229"/>
      <c r="D680" s="251"/>
    </row>
    <row r="681" spans="2:4" x14ac:dyDescent="0.3">
      <c r="B681" s="229"/>
      <c r="C681" s="229"/>
      <c r="D681" s="251"/>
    </row>
    <row r="682" spans="2:4" x14ac:dyDescent="0.3">
      <c r="B682" s="229"/>
      <c r="C682" s="229"/>
      <c r="D682" s="251"/>
    </row>
    <row r="683" spans="2:4" x14ac:dyDescent="0.3">
      <c r="B683" s="229"/>
      <c r="C683" s="229"/>
      <c r="D683" s="251"/>
    </row>
    <row r="684" spans="2:4" x14ac:dyDescent="0.3">
      <c r="B684" s="229"/>
      <c r="C684" s="229"/>
      <c r="D684" s="251"/>
    </row>
    <row r="685" spans="2:4" x14ac:dyDescent="0.3">
      <c r="B685" s="229"/>
      <c r="C685" s="229"/>
      <c r="D685" s="251"/>
    </row>
    <row r="686" spans="2:4" x14ac:dyDescent="0.3">
      <c r="B686" s="229"/>
      <c r="C686" s="229"/>
      <c r="D686" s="251"/>
    </row>
    <row r="687" spans="2:4" x14ac:dyDescent="0.3">
      <c r="B687" s="229"/>
      <c r="C687" s="229"/>
      <c r="D687" s="251"/>
    </row>
    <row r="688" spans="2:4" x14ac:dyDescent="0.3">
      <c r="B688" s="229"/>
      <c r="C688" s="229"/>
      <c r="D688" s="251"/>
    </row>
    <row r="689" spans="2:4" x14ac:dyDescent="0.3">
      <c r="B689" s="229"/>
      <c r="C689" s="229"/>
      <c r="D689" s="251"/>
    </row>
    <row r="690" spans="2:4" x14ac:dyDescent="0.3">
      <c r="B690" s="229"/>
      <c r="C690" s="229"/>
      <c r="D690" s="251"/>
    </row>
    <row r="691" spans="2:4" x14ac:dyDescent="0.3">
      <c r="B691" s="229"/>
      <c r="C691" s="229"/>
      <c r="D691" s="251"/>
    </row>
    <row r="692" spans="2:4" x14ac:dyDescent="0.3">
      <c r="B692" s="229"/>
      <c r="C692" s="229"/>
      <c r="D692" s="251"/>
    </row>
    <row r="693" spans="2:4" x14ac:dyDescent="0.3">
      <c r="B693" s="229"/>
      <c r="C693" s="229"/>
      <c r="D693" s="251"/>
    </row>
    <row r="694" spans="2:4" x14ac:dyDescent="0.3">
      <c r="B694" s="229"/>
      <c r="C694" s="229"/>
      <c r="D694" s="251"/>
    </row>
    <row r="695" spans="2:4" x14ac:dyDescent="0.3">
      <c r="B695" s="229"/>
      <c r="C695" s="229"/>
      <c r="D695" s="251"/>
    </row>
    <row r="696" spans="2:4" x14ac:dyDescent="0.3">
      <c r="B696" s="229"/>
      <c r="C696" s="229"/>
      <c r="D696" s="251"/>
    </row>
    <row r="697" spans="2:4" x14ac:dyDescent="0.3">
      <c r="B697" s="229"/>
      <c r="C697" s="229"/>
      <c r="D697" s="251"/>
    </row>
    <row r="698" spans="2:4" x14ac:dyDescent="0.3">
      <c r="B698" s="229"/>
      <c r="C698" s="229"/>
      <c r="D698" s="251"/>
    </row>
    <row r="699" spans="2:4" x14ac:dyDescent="0.3">
      <c r="B699" s="229"/>
      <c r="C699" s="229"/>
      <c r="D699" s="251"/>
    </row>
    <row r="700" spans="2:4" x14ac:dyDescent="0.3">
      <c r="B700" s="229"/>
      <c r="C700" s="229"/>
      <c r="D700" s="251"/>
    </row>
    <row r="701" spans="2:4" x14ac:dyDescent="0.3">
      <c r="B701" s="229"/>
      <c r="C701" s="229"/>
      <c r="D701" s="251"/>
    </row>
    <row r="702" spans="2:4" x14ac:dyDescent="0.3">
      <c r="B702" s="229"/>
      <c r="C702" s="229"/>
      <c r="D702" s="251"/>
    </row>
    <row r="703" spans="2:4" x14ac:dyDescent="0.3">
      <c r="B703" s="229"/>
      <c r="C703" s="229"/>
      <c r="D703" s="251"/>
    </row>
    <row r="704" spans="2:4" x14ac:dyDescent="0.3">
      <c r="B704" s="229"/>
      <c r="C704" s="229"/>
      <c r="D704" s="251"/>
    </row>
    <row r="705" spans="2:4" x14ac:dyDescent="0.3">
      <c r="B705" s="229"/>
      <c r="C705" s="229"/>
      <c r="D705" s="251"/>
    </row>
    <row r="706" spans="2:4" x14ac:dyDescent="0.3">
      <c r="B706" s="229"/>
      <c r="C706" s="229"/>
      <c r="D706" s="251"/>
    </row>
    <row r="707" spans="2:4" x14ac:dyDescent="0.3">
      <c r="B707" s="229"/>
      <c r="C707" s="229"/>
      <c r="D707" s="251"/>
    </row>
    <row r="708" spans="2:4" x14ac:dyDescent="0.3">
      <c r="B708" s="229"/>
      <c r="C708" s="229"/>
      <c r="D708" s="251"/>
    </row>
    <row r="709" spans="2:4" x14ac:dyDescent="0.3">
      <c r="B709" s="229"/>
      <c r="C709" s="229"/>
      <c r="D709" s="251"/>
    </row>
    <row r="710" spans="2:4" x14ac:dyDescent="0.3">
      <c r="B710" s="229"/>
      <c r="C710" s="229"/>
      <c r="D710" s="251"/>
    </row>
    <row r="711" spans="2:4" x14ac:dyDescent="0.3">
      <c r="B711" s="229"/>
      <c r="C711" s="229"/>
      <c r="D711" s="251"/>
    </row>
    <row r="712" spans="2:4" x14ac:dyDescent="0.3">
      <c r="B712" s="229"/>
      <c r="C712" s="229"/>
      <c r="D712" s="251"/>
    </row>
    <row r="713" spans="2:4" x14ac:dyDescent="0.3">
      <c r="B713" s="229"/>
      <c r="C713" s="229"/>
      <c r="D713" s="251"/>
    </row>
    <row r="714" spans="2:4" x14ac:dyDescent="0.3">
      <c r="B714" s="229"/>
      <c r="C714" s="229"/>
      <c r="D714" s="251"/>
    </row>
    <row r="715" spans="2:4" x14ac:dyDescent="0.3">
      <c r="B715" s="229"/>
      <c r="C715" s="229"/>
      <c r="D715" s="251"/>
    </row>
    <row r="716" spans="2:4" x14ac:dyDescent="0.3">
      <c r="B716" s="229"/>
      <c r="C716" s="229"/>
      <c r="D716" s="251"/>
    </row>
    <row r="717" spans="2:4" x14ac:dyDescent="0.3">
      <c r="B717" s="229"/>
      <c r="C717" s="229"/>
      <c r="D717" s="251"/>
    </row>
    <row r="718" spans="2:4" x14ac:dyDescent="0.3">
      <c r="B718" s="229"/>
      <c r="C718" s="229"/>
      <c r="D718" s="251"/>
    </row>
    <row r="719" spans="2:4" x14ac:dyDescent="0.3">
      <c r="B719" s="229"/>
      <c r="C719" s="229"/>
      <c r="D719" s="251"/>
    </row>
    <row r="720" spans="2:4" x14ac:dyDescent="0.3">
      <c r="B720" s="229"/>
      <c r="C720" s="229"/>
      <c r="D720" s="251"/>
    </row>
    <row r="721" spans="2:4" x14ac:dyDescent="0.3">
      <c r="B721" s="229"/>
      <c r="C721" s="229"/>
      <c r="D721" s="251"/>
    </row>
    <row r="722" spans="2:4" x14ac:dyDescent="0.3">
      <c r="B722" s="229"/>
      <c r="C722" s="229"/>
      <c r="D722" s="251"/>
    </row>
    <row r="723" spans="2:4" x14ac:dyDescent="0.3">
      <c r="B723" s="229"/>
      <c r="C723" s="229"/>
      <c r="D723" s="251"/>
    </row>
    <row r="724" spans="2:4" x14ac:dyDescent="0.3">
      <c r="B724" s="229"/>
      <c r="C724" s="229"/>
      <c r="D724" s="251"/>
    </row>
    <row r="725" spans="2:4" x14ac:dyDescent="0.3">
      <c r="B725" s="229"/>
      <c r="C725" s="229"/>
      <c r="D725" s="251"/>
    </row>
    <row r="726" spans="2:4" x14ac:dyDescent="0.3">
      <c r="B726" s="229"/>
      <c r="C726" s="229"/>
      <c r="D726" s="251"/>
    </row>
    <row r="727" spans="2:4" x14ac:dyDescent="0.3">
      <c r="B727" s="229"/>
      <c r="C727" s="229"/>
      <c r="D727" s="251"/>
    </row>
    <row r="728" spans="2:4" x14ac:dyDescent="0.3">
      <c r="B728" s="229"/>
      <c r="C728" s="229"/>
      <c r="D728" s="251"/>
    </row>
    <row r="729" spans="2:4" x14ac:dyDescent="0.3">
      <c r="B729" s="229"/>
      <c r="C729" s="229"/>
      <c r="D729" s="251"/>
    </row>
    <row r="730" spans="2:4" x14ac:dyDescent="0.3">
      <c r="B730" s="229"/>
      <c r="C730" s="229"/>
      <c r="D730" s="251"/>
    </row>
    <row r="731" spans="2:4" x14ac:dyDescent="0.3">
      <c r="B731" s="229"/>
      <c r="C731" s="229"/>
      <c r="D731" s="251"/>
    </row>
    <row r="732" spans="2:4" x14ac:dyDescent="0.3">
      <c r="B732" s="229"/>
      <c r="C732" s="229"/>
      <c r="D732" s="251"/>
    </row>
    <row r="733" spans="2:4" x14ac:dyDescent="0.3">
      <c r="B733" s="229"/>
      <c r="C733" s="229"/>
      <c r="D733" s="251"/>
    </row>
    <row r="734" spans="2:4" x14ac:dyDescent="0.3">
      <c r="B734" s="229"/>
      <c r="C734" s="229"/>
      <c r="D734" s="251"/>
    </row>
    <row r="735" spans="2:4" x14ac:dyDescent="0.3">
      <c r="B735" s="229"/>
      <c r="C735" s="229"/>
      <c r="D735" s="251"/>
    </row>
    <row r="736" spans="2:4" x14ac:dyDescent="0.3">
      <c r="B736" s="229"/>
      <c r="C736" s="229"/>
      <c r="D736" s="251"/>
    </row>
    <row r="737" spans="2:4" x14ac:dyDescent="0.3">
      <c r="B737" s="229"/>
      <c r="C737" s="229"/>
      <c r="D737" s="251"/>
    </row>
    <row r="738" spans="2:4" x14ac:dyDescent="0.3">
      <c r="B738" s="229"/>
      <c r="C738" s="229"/>
      <c r="D738" s="251"/>
    </row>
    <row r="739" spans="2:4" x14ac:dyDescent="0.3">
      <c r="B739" s="229"/>
      <c r="C739" s="229"/>
      <c r="D739" s="251"/>
    </row>
    <row r="740" spans="2:4" x14ac:dyDescent="0.3">
      <c r="B740" s="229"/>
      <c r="C740" s="229"/>
      <c r="D740" s="251"/>
    </row>
    <row r="741" spans="2:4" x14ac:dyDescent="0.3">
      <c r="B741" s="229"/>
      <c r="C741" s="229"/>
      <c r="D741" s="251"/>
    </row>
    <row r="742" spans="2:4" x14ac:dyDescent="0.3">
      <c r="B742" s="229"/>
      <c r="C742" s="229"/>
      <c r="D742" s="251"/>
    </row>
    <row r="743" spans="2:4" x14ac:dyDescent="0.3">
      <c r="B743" s="229"/>
      <c r="C743" s="229"/>
      <c r="D743" s="251"/>
    </row>
    <row r="744" spans="2:4" x14ac:dyDescent="0.3">
      <c r="B744" s="229"/>
      <c r="C744" s="229"/>
      <c r="D744" s="251"/>
    </row>
    <row r="745" spans="2:4" x14ac:dyDescent="0.3">
      <c r="B745" s="229"/>
      <c r="C745" s="229"/>
      <c r="D745" s="251"/>
    </row>
    <row r="746" spans="2:4" x14ac:dyDescent="0.3">
      <c r="B746" s="229"/>
      <c r="C746" s="229"/>
      <c r="D746" s="251"/>
    </row>
    <row r="747" spans="2:4" x14ac:dyDescent="0.3">
      <c r="B747" s="229"/>
      <c r="C747" s="229"/>
      <c r="D747" s="251"/>
    </row>
  </sheetData>
  <mergeCells count="12">
    <mergeCell ref="B4:C4"/>
    <mergeCell ref="F7:H7"/>
    <mergeCell ref="F8:H8"/>
    <mergeCell ref="G59:L59"/>
    <mergeCell ref="F30:L30"/>
    <mergeCell ref="F1:J1"/>
    <mergeCell ref="G53:L53"/>
    <mergeCell ref="G56:L56"/>
    <mergeCell ref="F15:H15"/>
    <mergeCell ref="F27:H27"/>
    <mergeCell ref="F6:I6"/>
    <mergeCell ref="K6:L6"/>
  </mergeCells>
  <phoneticPr fontId="122" type="noConversion"/>
  <pageMargins left="0.78740157499999996" right="0.78740157499999996" top="0.984251969" bottom="0.984251969" header="0.4921259845" footer="0.4921259845"/>
  <pageSetup paperSize="9" orientation="portrait" r:id="rId1"/>
  <headerFooter alignWithMargins="0"/>
  <drawing r:id="rId2"/>
  <legacyDrawing r:id="rId3"/>
  <controls>
    <mc:AlternateContent xmlns:mc="http://schemas.openxmlformats.org/markup-compatibility/2006">
      <mc:Choice Requires="x14">
        <control shapeId="56361" r:id="rId4" name="CmdBtn_RW">
          <controlPr defaultSize="0" autoLine="0" r:id="rId5">
            <anchor moveWithCells="1">
              <from>
                <xdr:col>5</xdr:col>
                <xdr:colOff>1695450</xdr:colOff>
                <xdr:row>1</xdr:row>
                <xdr:rowOff>107950</xdr:rowOff>
              </from>
              <to>
                <xdr:col>6</xdr:col>
                <xdr:colOff>1651000</xdr:colOff>
                <xdr:row>3</xdr:row>
                <xdr:rowOff>50800</xdr:rowOff>
              </to>
            </anchor>
          </controlPr>
        </control>
      </mc:Choice>
      <mc:Fallback>
        <control shapeId="56361" r:id="rId4" name="CmdBtn_RW"/>
      </mc:Fallback>
    </mc:AlternateContent>
    <mc:AlternateContent xmlns:mc="http://schemas.openxmlformats.org/markup-compatibility/2006">
      <mc:Choice Requires="x14">
        <control shapeId="56321" r:id="rId6" name="CmdBtn_CalcRwTable">
          <controlPr defaultSize="0" autoLine="0" r:id="rId7">
            <anchor moveWithCells="1">
              <from>
                <xdr:col>6</xdr:col>
                <xdr:colOff>400050</xdr:colOff>
                <xdr:row>41</xdr:row>
                <xdr:rowOff>107950</xdr:rowOff>
              </from>
              <to>
                <xdr:col>8</xdr:col>
                <xdr:colOff>158750</xdr:colOff>
                <xdr:row>44</xdr:row>
                <xdr:rowOff>57150</xdr:rowOff>
              </to>
            </anchor>
          </controlPr>
        </control>
      </mc:Choice>
      <mc:Fallback>
        <control shapeId="56321" r:id="rId6" name="CmdBtn_CalcRwTabl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92D050"/>
  </sheetPr>
  <dimension ref="A1:XES86"/>
  <sheetViews>
    <sheetView zoomScale="85" zoomScaleNormal="85" workbookViewId="0">
      <pane xSplit="6" ySplit="8" topLeftCell="G21" activePane="bottomRight" state="frozen"/>
      <selection pane="topRight" activeCell="G1" sqref="G1"/>
      <selection pane="bottomLeft" activeCell="A9" sqref="A9"/>
      <selection pane="bottomRight" activeCell="A12" sqref="A12:A32"/>
    </sheetView>
  </sheetViews>
  <sheetFormatPr defaultColWidth="11.453125" defaultRowHeight="12.5" x14ac:dyDescent="0.25"/>
  <cols>
    <col min="1" max="1" width="111" customWidth="1"/>
    <col min="2" max="2" width="25.26953125" style="476" bestFit="1" customWidth="1"/>
    <col min="3" max="3" width="11.453125" style="476"/>
    <col min="4" max="4" width="63" customWidth="1"/>
    <col min="5" max="5" width="54.54296875" customWidth="1"/>
  </cols>
  <sheetData>
    <row r="1" spans="1:6 16372:16373" s="466" customFormat="1" ht="13.5" x14ac:dyDescent="0.3">
      <c r="A1" s="37" t="s">
        <v>761</v>
      </c>
      <c r="B1" s="2"/>
      <c r="C1" s="364"/>
      <c r="D1" s="83" t="s">
        <v>309</v>
      </c>
      <c r="F1" s="467"/>
      <c r="XER1" s="468"/>
      <c r="XES1" s="468"/>
    </row>
    <row r="2" spans="1:6 16372:16373" s="466" customFormat="1" ht="13.5" x14ac:dyDescent="0.3">
      <c r="A2" s="1"/>
      <c r="B2" s="2"/>
      <c r="C2" s="469"/>
      <c r="D2" s="83" t="s">
        <v>308</v>
      </c>
      <c r="F2" s="467"/>
      <c r="XER2" s="468"/>
      <c r="XES2" s="468"/>
    </row>
    <row r="3" spans="1:6 16372:16373" s="466" customFormat="1" ht="13.5" x14ac:dyDescent="0.3">
      <c r="A3" s="1"/>
      <c r="B3" s="2"/>
      <c r="C3" s="470"/>
      <c r="D3" s="83" t="s">
        <v>310</v>
      </c>
      <c r="F3" s="467"/>
      <c r="XER3" s="468"/>
      <c r="XES3" s="468"/>
    </row>
    <row r="4" spans="1:6 16372:16373" s="466" customFormat="1" ht="13.5" x14ac:dyDescent="0.3">
      <c r="A4" s="1"/>
      <c r="B4" s="2"/>
      <c r="C4" s="471"/>
      <c r="D4" s="83" t="s">
        <v>330</v>
      </c>
      <c r="F4" s="467"/>
      <c r="XER4" s="468"/>
      <c r="XES4" s="468"/>
    </row>
    <row r="5" spans="1:6 16372:16373" s="466" customFormat="1" ht="14" thickBot="1" x14ac:dyDescent="0.35">
      <c r="A5" s="32" t="s">
        <v>231</v>
      </c>
      <c r="B5" s="65" t="s">
        <v>136</v>
      </c>
      <c r="C5" s="65" t="s">
        <v>137</v>
      </c>
      <c r="D5" s="32" t="s">
        <v>138</v>
      </c>
      <c r="E5" s="32" t="s">
        <v>139</v>
      </c>
      <c r="F5" s="467"/>
      <c r="XER5" s="468"/>
      <c r="XES5" s="468"/>
    </row>
    <row r="6" spans="1:6 16372:16373" s="466" customFormat="1" ht="13.5" x14ac:dyDescent="0.3">
      <c r="A6" s="51"/>
      <c r="B6" s="472"/>
      <c r="C6" s="58"/>
      <c r="D6" s="52"/>
      <c r="E6" s="374"/>
      <c r="F6" s="467"/>
      <c r="XER6" s="468"/>
      <c r="XES6" s="468"/>
    </row>
    <row r="8" spans="1:6 16372:16373" s="466" customFormat="1" ht="14" thickBot="1" x14ac:dyDescent="0.35">
      <c r="A8" s="54" t="s">
        <v>135</v>
      </c>
      <c r="B8" s="59" t="s">
        <v>136</v>
      </c>
      <c r="C8" s="59" t="s">
        <v>137</v>
      </c>
      <c r="D8" s="54" t="s">
        <v>138</v>
      </c>
      <c r="E8" s="54" t="s">
        <v>139</v>
      </c>
      <c r="F8" s="467"/>
      <c r="XER8" s="468"/>
      <c r="XES8" s="468"/>
    </row>
    <row r="9" spans="1:6 16372:16373" s="466" customFormat="1" ht="13.5" x14ac:dyDescent="0.3">
      <c r="A9" s="1"/>
      <c r="B9" s="2"/>
      <c r="C9" s="2"/>
      <c r="D9" s="1"/>
      <c r="F9" s="467"/>
      <c r="XER9" s="468"/>
      <c r="XES9" s="468"/>
    </row>
    <row r="10" spans="1:6 16372:16373" s="475" customFormat="1" ht="13.5" x14ac:dyDescent="0.3">
      <c r="A10" s="489" t="s">
        <v>762</v>
      </c>
      <c r="B10" s="473"/>
      <c r="C10" s="473"/>
      <c r="D10" s="467"/>
      <c r="E10" s="467"/>
      <c r="F10" s="467"/>
      <c r="XER10" s="474"/>
      <c r="XES10" s="474"/>
    </row>
    <row r="11" spans="1:6 16372:16373" ht="13.5" x14ac:dyDescent="0.3">
      <c r="A11" s="490" t="s">
        <v>763</v>
      </c>
      <c r="B11" s="498">
        <v>12</v>
      </c>
      <c r="C11" s="476" t="s">
        <v>213</v>
      </c>
      <c r="D11" t="s">
        <v>854</v>
      </c>
      <c r="F11" s="467"/>
    </row>
    <row r="12" spans="1:6 16372:16373" ht="13.5" x14ac:dyDescent="0.3">
      <c r="A12" s="490" t="s">
        <v>842</v>
      </c>
      <c r="B12" s="500">
        <v>0.2</v>
      </c>
      <c r="C12" s="476" t="s">
        <v>213</v>
      </c>
      <c r="F12" s="467"/>
    </row>
    <row r="13" spans="1:6 16372:16373" ht="13.5" x14ac:dyDescent="0.3">
      <c r="A13" s="491" t="s">
        <v>816</v>
      </c>
      <c r="B13" s="470">
        <f>ROUNDUP(2*B11/B12, 0)</f>
        <v>120</v>
      </c>
      <c r="C13" s="477" t="s">
        <v>211</v>
      </c>
      <c r="F13" s="467"/>
    </row>
    <row r="14" spans="1:6 16372:16373" ht="13.5" x14ac:dyDescent="0.3">
      <c r="A14" s="490" t="s">
        <v>764</v>
      </c>
      <c r="B14" s="498">
        <v>20</v>
      </c>
      <c r="C14" s="477" t="s">
        <v>213</v>
      </c>
      <c r="D14" t="s">
        <v>855</v>
      </c>
      <c r="F14" s="467"/>
    </row>
    <row r="15" spans="1:6 16372:16373" ht="13.5" x14ac:dyDescent="0.3">
      <c r="A15" s="490" t="s">
        <v>817</v>
      </c>
      <c r="B15" s="470">
        <f>ROUNDUP(2*B14/B12, 0)</f>
        <v>200</v>
      </c>
      <c r="C15" s="477" t="s">
        <v>211</v>
      </c>
      <c r="F15" s="467"/>
    </row>
    <row r="16" spans="1:6 16372:16373" x14ac:dyDescent="0.25">
      <c r="A16" s="490"/>
    </row>
    <row r="17" spans="1:6" ht="13.5" x14ac:dyDescent="0.3">
      <c r="A17" s="489" t="s">
        <v>765</v>
      </c>
      <c r="B17" s="473"/>
      <c r="C17" s="473"/>
      <c r="D17" s="467"/>
      <c r="E17" s="467"/>
      <c r="F17" s="467"/>
    </row>
    <row r="18" spans="1:6" ht="13.5" x14ac:dyDescent="0.3">
      <c r="A18" s="491" t="s">
        <v>766</v>
      </c>
      <c r="B18" s="479">
        <v>0.89</v>
      </c>
      <c r="C18" s="477" t="s">
        <v>211</v>
      </c>
      <c r="D18" s="478" t="s">
        <v>859</v>
      </c>
      <c r="E18" s="480" t="s">
        <v>767</v>
      </c>
      <c r="F18" s="467"/>
    </row>
    <row r="19" spans="1:6" ht="13.5" x14ac:dyDescent="0.3">
      <c r="A19" s="490" t="s">
        <v>768</v>
      </c>
      <c r="B19" s="481">
        <v>0.86</v>
      </c>
      <c r="C19" s="477" t="s">
        <v>211</v>
      </c>
      <c r="D19" s="478" t="s">
        <v>860</v>
      </c>
      <c r="E19" s="480" t="s">
        <v>767</v>
      </c>
      <c r="F19" s="467"/>
    </row>
    <row r="20" spans="1:6" ht="13.5" x14ac:dyDescent="0.3">
      <c r="A20" s="490" t="s">
        <v>769</v>
      </c>
      <c r="B20" s="479">
        <v>21</v>
      </c>
      <c r="C20" s="477" t="s">
        <v>211</v>
      </c>
      <c r="D20" s="478" t="s">
        <v>861</v>
      </c>
      <c r="E20" s="480" t="s">
        <v>767</v>
      </c>
      <c r="F20" s="467"/>
    </row>
    <row r="21" spans="1:6" ht="13.5" x14ac:dyDescent="0.3">
      <c r="A21" s="490" t="s">
        <v>818</v>
      </c>
      <c r="B21" s="500">
        <v>66.599999999999994</v>
      </c>
      <c r="C21" s="476" t="s">
        <v>213</v>
      </c>
      <c r="D21" t="s">
        <v>826</v>
      </c>
      <c r="E21" s="482"/>
      <c r="F21" s="467"/>
    </row>
    <row r="22" spans="1:6" ht="13.5" x14ac:dyDescent="0.3">
      <c r="A22" s="491" t="s">
        <v>819</v>
      </c>
      <c r="B22" s="500">
        <v>6.56</v>
      </c>
      <c r="C22" s="477" t="s">
        <v>211</v>
      </c>
      <c r="D22" t="s">
        <v>827</v>
      </c>
      <c r="E22" s="482"/>
      <c r="F22" s="467"/>
    </row>
    <row r="23" spans="1:6" ht="13.5" x14ac:dyDescent="0.3">
      <c r="A23" s="490" t="s">
        <v>820</v>
      </c>
      <c r="B23" s="500">
        <v>2.5999999999999999E-2</v>
      </c>
      <c r="C23" s="476" t="s">
        <v>770</v>
      </c>
      <c r="D23" t="s">
        <v>828</v>
      </c>
      <c r="E23" s="482"/>
      <c r="F23" s="467"/>
    </row>
    <row r="24" spans="1:6" ht="13.5" x14ac:dyDescent="0.3">
      <c r="A24" s="490" t="s">
        <v>821</v>
      </c>
      <c r="B24" s="500">
        <v>117965</v>
      </c>
      <c r="C24" s="477" t="s">
        <v>211</v>
      </c>
      <c r="D24" t="s">
        <v>829</v>
      </c>
      <c r="E24" s="482"/>
      <c r="F24" s="467"/>
    </row>
    <row r="25" spans="1:6" ht="13.5" x14ac:dyDescent="0.3">
      <c r="A25" s="491" t="s">
        <v>822</v>
      </c>
      <c r="B25" s="500">
        <v>80</v>
      </c>
      <c r="C25" s="476" t="s">
        <v>771</v>
      </c>
      <c r="D25" t="s">
        <v>830</v>
      </c>
      <c r="E25" s="482"/>
      <c r="F25" s="467"/>
    </row>
    <row r="26" spans="1:6" ht="13.5" x14ac:dyDescent="0.3">
      <c r="A26" s="490" t="s">
        <v>824</v>
      </c>
      <c r="B26" s="500">
        <v>225</v>
      </c>
      <c r="C26" s="476" t="s">
        <v>213</v>
      </c>
      <c r="D26" t="s">
        <v>831</v>
      </c>
      <c r="E26" s="482"/>
      <c r="F26" s="467"/>
    </row>
    <row r="27" spans="1:6" ht="13.5" x14ac:dyDescent="0.3">
      <c r="A27" s="490" t="s">
        <v>823</v>
      </c>
      <c r="B27" s="500">
        <v>7.44</v>
      </c>
      <c r="C27" s="477" t="s">
        <v>211</v>
      </c>
      <c r="D27" t="s">
        <v>832</v>
      </c>
      <c r="E27" s="482"/>
      <c r="F27" s="467"/>
    </row>
    <row r="28" spans="1:6" ht="13.5" x14ac:dyDescent="0.3">
      <c r="A28" s="490" t="s">
        <v>825</v>
      </c>
      <c r="B28" s="500">
        <v>559</v>
      </c>
      <c r="C28" s="477" t="s">
        <v>211</v>
      </c>
      <c r="D28" t="s">
        <v>833</v>
      </c>
      <c r="E28" s="482"/>
      <c r="F28" s="467"/>
    </row>
    <row r="29" spans="1:6" x14ac:dyDescent="0.25">
      <c r="A29" s="490"/>
      <c r="B29" s="483"/>
    </row>
    <row r="30" spans="1:6" ht="13.5" x14ac:dyDescent="0.3">
      <c r="A30" s="489" t="s">
        <v>772</v>
      </c>
      <c r="B30" s="473"/>
      <c r="C30" s="473"/>
      <c r="D30" s="467"/>
      <c r="E30" s="467"/>
      <c r="F30" s="467"/>
    </row>
    <row r="31" spans="1:6" ht="13.5" x14ac:dyDescent="0.3">
      <c r="A31" s="491" t="s">
        <v>773</v>
      </c>
      <c r="B31" s="498">
        <v>90</v>
      </c>
      <c r="C31" s="484" t="s">
        <v>771</v>
      </c>
      <c r="D31" t="s">
        <v>847</v>
      </c>
      <c r="F31" s="467"/>
    </row>
    <row r="32" spans="1:6" ht="13.5" x14ac:dyDescent="0.3">
      <c r="A32" s="491" t="s">
        <v>774</v>
      </c>
      <c r="B32" s="498">
        <v>0.8</v>
      </c>
      <c r="C32" s="484" t="s">
        <v>771</v>
      </c>
      <c r="D32" t="s">
        <v>850</v>
      </c>
      <c r="F32" s="467"/>
    </row>
    <row r="33" spans="1:6" ht="13.5" x14ac:dyDescent="0.3">
      <c r="A33" s="491" t="s">
        <v>775</v>
      </c>
      <c r="B33" s="498">
        <v>0.1</v>
      </c>
      <c r="C33" s="484" t="s">
        <v>771</v>
      </c>
      <c r="D33" t="s">
        <v>851</v>
      </c>
      <c r="F33" s="467"/>
    </row>
    <row r="34" spans="1:6" ht="13.5" x14ac:dyDescent="0.3">
      <c r="A34" s="491" t="s">
        <v>776</v>
      </c>
      <c r="B34" s="499">
        <v>4.5800000000000002E-5</v>
      </c>
      <c r="C34" s="485" t="s">
        <v>211</v>
      </c>
      <c r="D34" t="s">
        <v>849</v>
      </c>
      <c r="F34" s="467"/>
    </row>
    <row r="35" spans="1:6" x14ac:dyDescent="0.25">
      <c r="A35" s="490"/>
      <c r="B35" s="483"/>
    </row>
    <row r="36" spans="1:6" ht="13.5" x14ac:dyDescent="0.3">
      <c r="A36" s="489" t="s">
        <v>777</v>
      </c>
      <c r="B36" s="473"/>
      <c r="C36" s="473"/>
      <c r="D36" s="467"/>
      <c r="E36" s="467"/>
      <c r="F36" s="467"/>
    </row>
    <row r="37" spans="1:6" ht="13.5" x14ac:dyDescent="0.3">
      <c r="A37" s="490" t="s">
        <v>834</v>
      </c>
      <c r="B37" s="497">
        <v>0.99</v>
      </c>
      <c r="C37" s="477" t="s">
        <v>211</v>
      </c>
      <c r="D37" t="s">
        <v>840</v>
      </c>
      <c r="F37" s="467"/>
    </row>
    <row r="38" spans="1:6" ht="13.5" x14ac:dyDescent="0.3">
      <c r="A38" s="490" t="s">
        <v>835</v>
      </c>
      <c r="B38" s="497">
        <v>1</v>
      </c>
      <c r="C38" s="477" t="s">
        <v>211</v>
      </c>
      <c r="D38" t="s">
        <v>841</v>
      </c>
      <c r="F38" s="467"/>
    </row>
    <row r="39" spans="1:6" ht="13.5" x14ac:dyDescent="0.3">
      <c r="A39" s="490" t="s">
        <v>778</v>
      </c>
      <c r="B39" s="497">
        <v>1</v>
      </c>
      <c r="C39" s="477" t="s">
        <v>211</v>
      </c>
      <c r="D39" t="s">
        <v>779</v>
      </c>
      <c r="F39" s="467"/>
    </row>
    <row r="40" spans="1:6" ht="13.5" x14ac:dyDescent="0.3">
      <c r="A40" s="490" t="s">
        <v>780</v>
      </c>
      <c r="B40" s="470">
        <f>0.99*B39</f>
        <v>0.99</v>
      </c>
      <c r="C40" s="477" t="s">
        <v>211</v>
      </c>
      <c r="D40" t="s">
        <v>781</v>
      </c>
      <c r="F40" s="467"/>
    </row>
    <row r="41" spans="1:6" ht="13.5" x14ac:dyDescent="0.3">
      <c r="A41" s="490" t="s">
        <v>782</v>
      </c>
      <c r="B41" s="496">
        <v>10</v>
      </c>
      <c r="C41" s="477" t="s">
        <v>211</v>
      </c>
      <c r="D41" t="s">
        <v>783</v>
      </c>
      <c r="F41" s="467"/>
    </row>
    <row r="42" spans="1:6" ht="13.5" x14ac:dyDescent="0.3">
      <c r="A42" s="490" t="s">
        <v>784</v>
      </c>
      <c r="B42" s="470">
        <f>((2^64)-1)/B41</f>
        <v>1.8446744073709553E+18</v>
      </c>
      <c r="C42" s="477" t="s">
        <v>211</v>
      </c>
      <c r="D42" t="s">
        <v>785</v>
      </c>
      <c r="F42" s="467"/>
    </row>
    <row r="43" spans="1:6" ht="13.5" x14ac:dyDescent="0.3">
      <c r="A43" s="490" t="s">
        <v>836</v>
      </c>
      <c r="B43" s="495">
        <v>3.5999999999999999E-3</v>
      </c>
      <c r="C43" s="477" t="s">
        <v>211</v>
      </c>
      <c r="D43" t="s">
        <v>838</v>
      </c>
      <c r="E43" s="488"/>
      <c r="F43" s="467"/>
    </row>
    <row r="44" spans="1:6" ht="13.5" x14ac:dyDescent="0.3">
      <c r="A44" s="490" t="s">
        <v>837</v>
      </c>
      <c r="B44" s="495">
        <v>5.9999999999999995E-4</v>
      </c>
      <c r="C44" s="477" t="s">
        <v>211</v>
      </c>
      <c r="D44" t="s">
        <v>839</v>
      </c>
      <c r="F44" s="467"/>
    </row>
    <row r="45" spans="1:6" ht="13.5" x14ac:dyDescent="0.3">
      <c r="A45" s="490"/>
      <c r="F45" s="467"/>
    </row>
    <row r="46" spans="1:6" ht="13.5" x14ac:dyDescent="0.3">
      <c r="A46" s="490" t="s">
        <v>786</v>
      </c>
      <c r="B46" s="506" t="s">
        <v>787</v>
      </c>
      <c r="C46" s="476" t="s">
        <v>771</v>
      </c>
      <c r="D46" s="478" t="s">
        <v>788</v>
      </c>
      <c r="F46" s="467"/>
    </row>
    <row r="47" spans="1:6" ht="13.5" x14ac:dyDescent="0.3">
      <c r="A47" s="490"/>
      <c r="F47" s="467"/>
    </row>
    <row r="48" spans="1:6" ht="13.5" x14ac:dyDescent="0.3">
      <c r="A48" s="490" t="s">
        <v>789</v>
      </c>
      <c r="B48" s="470">
        <f>INT(B39*B42/2^32)</f>
        <v>429496729</v>
      </c>
      <c r="C48" s="477" t="s">
        <v>211</v>
      </c>
      <c r="D48" t="s">
        <v>790</v>
      </c>
      <c r="F48" s="467"/>
    </row>
    <row r="49" spans="1:6" ht="13.5" x14ac:dyDescent="0.3">
      <c r="A49" s="490" t="s">
        <v>791</v>
      </c>
      <c r="B49" s="470">
        <f>MOD(B39*B42,2^32)</f>
        <v>2576980480</v>
      </c>
      <c r="C49" s="477" t="s">
        <v>211</v>
      </c>
      <c r="D49" t="s">
        <v>792</v>
      </c>
      <c r="F49" s="467"/>
    </row>
    <row r="50" spans="1:6" ht="13.5" x14ac:dyDescent="0.3">
      <c r="A50" s="490"/>
      <c r="F50" s="467"/>
    </row>
    <row r="51" spans="1:6" ht="13.5" x14ac:dyDescent="0.3">
      <c r="A51" s="490" t="s">
        <v>793</v>
      </c>
      <c r="B51" s="470">
        <f>INT((B40*B42)/2^32)</f>
        <v>425201762</v>
      </c>
      <c r="C51" s="477" t="s">
        <v>211</v>
      </c>
      <c r="D51" t="s">
        <v>815</v>
      </c>
      <c r="F51" s="467"/>
    </row>
    <row r="52" spans="1:6" ht="13.5" x14ac:dyDescent="0.3">
      <c r="A52" s="490" t="s">
        <v>794</v>
      </c>
      <c r="B52" s="470">
        <f>MOD(B40*B42, 2^32)</f>
        <v>1305670144</v>
      </c>
      <c r="C52" s="477" t="s">
        <v>211</v>
      </c>
      <c r="D52" t="s">
        <v>814</v>
      </c>
      <c r="F52" s="467"/>
    </row>
    <row r="53" spans="1:6" ht="13.5" x14ac:dyDescent="0.3">
      <c r="A53" s="490"/>
      <c r="F53" s="467"/>
    </row>
    <row r="54" spans="1:6" ht="13.5" x14ac:dyDescent="0.3">
      <c r="A54" s="491" t="s">
        <v>843</v>
      </c>
      <c r="B54" s="470">
        <f>B43/B37*B42</f>
        <v>6707906935894383</v>
      </c>
      <c r="C54" s="477" t="s">
        <v>211</v>
      </c>
      <c r="D54" s="478" t="s">
        <v>846</v>
      </c>
      <c r="F54" s="467"/>
    </row>
    <row r="55" spans="1:6" ht="13.5" x14ac:dyDescent="0.3">
      <c r="A55" s="491" t="s">
        <v>844</v>
      </c>
      <c r="B55" s="486">
        <f>B44/B38*B42</f>
        <v>1106804644422573</v>
      </c>
      <c r="C55" s="477" t="s">
        <v>211</v>
      </c>
      <c r="D55" s="478" t="s">
        <v>845</v>
      </c>
      <c r="F55" s="467"/>
    </row>
    <row r="56" spans="1:6" ht="13.5" x14ac:dyDescent="0.3">
      <c r="A56" s="490"/>
      <c r="F56" s="467"/>
    </row>
    <row r="57" spans="1:6" ht="13.5" x14ac:dyDescent="0.3">
      <c r="A57" s="491" t="s">
        <v>795</v>
      </c>
      <c r="B57" s="470">
        <f>B12</f>
        <v>0.2</v>
      </c>
      <c r="C57" s="477" t="s">
        <v>213</v>
      </c>
      <c r="D57" t="s">
        <v>852</v>
      </c>
      <c r="F57" s="467"/>
    </row>
    <row r="58" spans="1:6" ht="13.5" x14ac:dyDescent="0.3">
      <c r="A58" s="491" t="s">
        <v>796</v>
      </c>
      <c r="B58" s="470">
        <f>B12</f>
        <v>0.2</v>
      </c>
      <c r="C58" s="477" t="s">
        <v>213</v>
      </c>
      <c r="D58" t="s">
        <v>853</v>
      </c>
      <c r="F58" s="467"/>
    </row>
    <row r="59" spans="1:6" ht="13.5" x14ac:dyDescent="0.3">
      <c r="A59" s="491" t="s">
        <v>797</v>
      </c>
      <c r="B59" s="470">
        <f>1/B12</f>
        <v>5</v>
      </c>
      <c r="C59" s="477" t="s">
        <v>798</v>
      </c>
      <c r="D59" s="478" t="s">
        <v>856</v>
      </c>
      <c r="F59" s="467"/>
    </row>
    <row r="60" spans="1:6" ht="13.5" x14ac:dyDescent="0.3">
      <c r="A60" s="490"/>
      <c r="F60" s="467"/>
    </row>
    <row r="61" spans="1:6" ht="13.5" x14ac:dyDescent="0.3">
      <c r="A61" s="491" t="s">
        <v>799</v>
      </c>
      <c r="B61" s="492">
        <v>0</v>
      </c>
      <c r="C61" s="477"/>
      <c r="D61" t="s">
        <v>857</v>
      </c>
      <c r="F61" s="467"/>
    </row>
    <row r="62" spans="1:6" ht="13.5" x14ac:dyDescent="0.3">
      <c r="A62" s="491" t="s">
        <v>800</v>
      </c>
      <c r="B62" s="492">
        <v>0</v>
      </c>
      <c r="C62" s="477"/>
      <c r="D62" t="s">
        <v>858</v>
      </c>
      <c r="F62" s="467"/>
    </row>
    <row r="63" spans="1:6" ht="13.5" x14ac:dyDescent="0.3">
      <c r="A63" s="490"/>
      <c r="B63" s="493"/>
      <c r="F63" s="467"/>
    </row>
    <row r="64" spans="1:6" ht="13.5" x14ac:dyDescent="0.3">
      <c r="A64" s="491" t="s">
        <v>801</v>
      </c>
      <c r="B64" s="492">
        <v>5</v>
      </c>
      <c r="C64" s="477"/>
      <c r="D64" t="s">
        <v>848</v>
      </c>
      <c r="F64" s="467"/>
    </row>
    <row r="65" spans="1:6" ht="13.5" x14ac:dyDescent="0.3">
      <c r="A65" s="491"/>
      <c r="B65" s="493"/>
      <c r="C65" s="477"/>
      <c r="F65" s="467"/>
    </row>
    <row r="66" spans="1:6" ht="13.5" x14ac:dyDescent="0.3">
      <c r="A66" s="491" t="s">
        <v>802</v>
      </c>
      <c r="B66" s="494">
        <v>0.3</v>
      </c>
      <c r="D66" s="478" t="s">
        <v>869</v>
      </c>
      <c r="F66" s="467"/>
    </row>
    <row r="67" spans="1:6" ht="13.5" x14ac:dyDescent="0.3">
      <c r="A67" s="491" t="s">
        <v>803</v>
      </c>
      <c r="B67" s="494">
        <v>1</v>
      </c>
      <c r="D67" s="478" t="s">
        <v>867</v>
      </c>
      <c r="F67" s="467"/>
    </row>
    <row r="68" spans="1:6" ht="13.5" x14ac:dyDescent="0.3">
      <c r="A68" s="491" t="s">
        <v>804</v>
      </c>
      <c r="B68" s="494">
        <v>1</v>
      </c>
      <c r="D68" s="478" t="s">
        <v>864</v>
      </c>
      <c r="F68" s="467"/>
    </row>
    <row r="69" spans="1:6" ht="13.5" x14ac:dyDescent="0.3">
      <c r="A69" s="491"/>
      <c r="B69" s="505"/>
      <c r="E69" s="487"/>
      <c r="F69" s="467"/>
    </row>
    <row r="70" spans="1:6" ht="13.5" x14ac:dyDescent="0.3">
      <c r="A70" s="491" t="s">
        <v>805</v>
      </c>
      <c r="B70" s="494">
        <v>1</v>
      </c>
      <c r="D70" t="s">
        <v>866</v>
      </c>
      <c r="F70" s="467"/>
    </row>
    <row r="71" spans="1:6" ht="13.5" x14ac:dyDescent="0.3">
      <c r="A71" s="491" t="s">
        <v>806</v>
      </c>
      <c r="B71" s="494">
        <v>1</v>
      </c>
      <c r="D71" t="s">
        <v>865</v>
      </c>
      <c r="F71" s="467"/>
    </row>
    <row r="72" spans="1:6" ht="13.5" x14ac:dyDescent="0.3">
      <c r="A72" s="490"/>
      <c r="B72" s="493"/>
      <c r="F72" s="467"/>
    </row>
    <row r="73" spans="1:6" ht="13.5" x14ac:dyDescent="0.3">
      <c r="A73" s="491" t="s">
        <v>807</v>
      </c>
      <c r="B73" s="494">
        <v>1</v>
      </c>
      <c r="C73" s="476" t="s">
        <v>222</v>
      </c>
      <c r="D73" s="478" t="s">
        <v>868</v>
      </c>
      <c r="F73" s="467"/>
    </row>
    <row r="74" spans="1:6" ht="13.5" x14ac:dyDescent="0.3">
      <c r="A74" s="491" t="s">
        <v>808</v>
      </c>
      <c r="B74" s="494">
        <v>0.1</v>
      </c>
      <c r="C74" s="476" t="s">
        <v>213</v>
      </c>
      <c r="D74" t="s">
        <v>863</v>
      </c>
      <c r="F74" s="467"/>
    </row>
    <row r="75" spans="1:6" ht="13.5" x14ac:dyDescent="0.3">
      <c r="A75" s="491" t="s">
        <v>809</v>
      </c>
      <c r="B75" s="494">
        <v>30</v>
      </c>
      <c r="C75" s="476" t="s">
        <v>222</v>
      </c>
      <c r="D75" t="s">
        <v>862</v>
      </c>
      <c r="F75" s="467"/>
    </row>
    <row r="76" spans="1:6" ht="13.5" x14ac:dyDescent="0.3">
      <c r="A76" s="490"/>
      <c r="F76" s="467"/>
    </row>
    <row r="77" spans="1:6" ht="13.5" x14ac:dyDescent="0.3">
      <c r="A77" s="490"/>
      <c r="E77" s="487" t="s">
        <v>878</v>
      </c>
      <c r="F77" s="467"/>
    </row>
    <row r="78" spans="1:6" ht="13.5" x14ac:dyDescent="0.3">
      <c r="A78" s="490"/>
      <c r="E78" s="487" t="s">
        <v>879</v>
      </c>
      <c r="F78" s="467"/>
    </row>
    <row r="79" spans="1:6" ht="13.5" x14ac:dyDescent="0.3">
      <c r="A79" s="490"/>
      <c r="E79" s="487" t="s">
        <v>880</v>
      </c>
      <c r="F79" s="467"/>
    </row>
    <row r="80" spans="1:6" ht="13.5" x14ac:dyDescent="0.3">
      <c r="A80" s="490"/>
      <c r="E80" s="487" t="s">
        <v>881</v>
      </c>
      <c r="F80" s="467"/>
    </row>
    <row r="81" spans="2:6" ht="13.5" x14ac:dyDescent="0.3">
      <c r="F81" s="467"/>
    </row>
    <row r="82" spans="2:6" x14ac:dyDescent="0.25">
      <c r="B82" s="501"/>
    </row>
    <row r="83" spans="2:6" x14ac:dyDescent="0.25">
      <c r="B83" s="501"/>
    </row>
    <row r="84" spans="2:6" x14ac:dyDescent="0.25">
      <c r="B84" s="501"/>
      <c r="D84" s="478"/>
    </row>
    <row r="85" spans="2:6" x14ac:dyDescent="0.25">
      <c r="B85" s="501"/>
    </row>
    <row r="86" spans="2:6" x14ac:dyDescent="0.25">
      <c r="B86" s="501"/>
    </row>
  </sheetData>
  <protectedRanges>
    <protectedRange sqref="B6" name="Bereich1"/>
  </protectedRanges>
  <phoneticPr fontId="122" type="noConversion"/>
  <pageMargins left="0.7" right="0.7" top="0.78740157499999996" bottom="0.78740157499999996" header="0.3" footer="0.3"/>
  <pageSetup paperSize="9" orientation="portrait" horizontalDpi="1200" verticalDpi="1200" r:id="rId1"/>
  <drawing r:id="rId2"/>
  <legacyDrawing r:id="rId3"/>
  <controls>
    <mc:AlternateContent xmlns:mc="http://schemas.openxmlformats.org/markup-compatibility/2006">
      <mc:Choice Requires="x14">
        <control shapeId="58369" r:id="rId4" name="CmdBtn_Generate_LoadTracking_kon">
          <controlPr defaultSize="0" autoLine="0" autoPict="0" r:id="rId5">
            <anchor moveWithCells="1">
              <from>
                <xdr:col>0</xdr:col>
                <xdr:colOff>5842000</xdr:colOff>
                <xdr:row>1</xdr:row>
                <xdr:rowOff>95250</xdr:rowOff>
              </from>
              <to>
                <xdr:col>0</xdr:col>
                <xdr:colOff>7308850</xdr:colOff>
                <xdr:row>3</xdr:row>
                <xdr:rowOff>76200</xdr:rowOff>
              </to>
            </anchor>
          </controlPr>
        </control>
      </mc:Choice>
      <mc:Fallback>
        <control shapeId="58369" r:id="rId4" name="CmdBtn_Generate_LoadTracking_k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tabColor rgb="FF92D050"/>
  </sheetPr>
  <dimension ref="A1:H31"/>
  <sheetViews>
    <sheetView tabSelected="1" zoomScale="115" zoomScaleNormal="115" workbookViewId="0">
      <pane xSplit="6" ySplit="8" topLeftCell="H9" activePane="bottomRight" state="frozen"/>
      <selection pane="topRight" activeCell="G1" sqref="G1"/>
      <selection pane="bottomLeft" activeCell="A3" sqref="A3"/>
      <selection pane="bottomRight" activeCell="B16" sqref="B16"/>
    </sheetView>
  </sheetViews>
  <sheetFormatPr defaultColWidth="11.453125" defaultRowHeight="12.5" x14ac:dyDescent="0.25"/>
  <cols>
    <col min="1" max="1" width="107.453125" customWidth="1"/>
    <col min="2" max="2" width="12.453125" customWidth="1"/>
    <col min="4" max="4" width="43.26953125" customWidth="1"/>
    <col min="5" max="5" width="81" customWidth="1"/>
    <col min="6" max="6" width="4.81640625" customWidth="1"/>
    <col min="7" max="7" width="23.453125" customWidth="1"/>
    <col min="8" max="8" width="75" style="35" bestFit="1" customWidth="1"/>
    <col min="9" max="9" width="52.1796875" customWidth="1"/>
  </cols>
  <sheetData>
    <row r="1" spans="1:8" ht="13.5" x14ac:dyDescent="0.3">
      <c r="A1" s="37" t="s">
        <v>319</v>
      </c>
      <c r="C1" s="79"/>
      <c r="D1" s="83" t="s">
        <v>308</v>
      </c>
      <c r="F1" s="62"/>
    </row>
    <row r="2" spans="1:8" ht="13" x14ac:dyDescent="0.3">
      <c r="C2" s="80"/>
      <c r="D2" s="83" t="s">
        <v>309</v>
      </c>
      <c r="F2" s="62"/>
    </row>
    <row r="3" spans="1:8" ht="13" x14ac:dyDescent="0.3">
      <c r="C3" s="81"/>
      <c r="D3" s="83" t="s">
        <v>310</v>
      </c>
      <c r="F3" s="62"/>
    </row>
    <row r="4" spans="1:8" x14ac:dyDescent="0.25">
      <c r="F4" s="62"/>
    </row>
    <row r="5" spans="1:8" ht="14" thickBot="1" x14ac:dyDescent="0.3">
      <c r="A5" s="32" t="s">
        <v>231</v>
      </c>
      <c r="B5" s="33" t="s">
        <v>136</v>
      </c>
      <c r="C5" s="33" t="s">
        <v>137</v>
      </c>
      <c r="D5" s="32" t="s">
        <v>138</v>
      </c>
      <c r="E5" s="32" t="s">
        <v>139</v>
      </c>
      <c r="F5" s="63"/>
    </row>
    <row r="6" spans="1:8" ht="13.5" x14ac:dyDescent="0.25">
      <c r="A6" s="51" t="s">
        <v>320</v>
      </c>
      <c r="B6" s="58"/>
      <c r="C6" s="58"/>
      <c r="D6" s="52"/>
      <c r="E6" s="82"/>
      <c r="F6" s="62"/>
    </row>
    <row r="7" spans="1:8" x14ac:dyDescent="0.25">
      <c r="A7" s="53"/>
      <c r="B7" s="50"/>
      <c r="C7" s="50"/>
      <c r="D7" s="53"/>
      <c r="E7" s="53"/>
      <c r="F7" s="62"/>
    </row>
    <row r="8" spans="1:8" ht="14" thickBot="1" x14ac:dyDescent="0.3">
      <c r="A8" s="54" t="s">
        <v>135</v>
      </c>
      <c r="B8" s="56" t="s">
        <v>136</v>
      </c>
      <c r="C8" s="59" t="s">
        <v>137</v>
      </c>
      <c r="D8" s="54" t="s">
        <v>138</v>
      </c>
      <c r="E8" s="54" t="s">
        <v>139</v>
      </c>
      <c r="F8" s="64"/>
      <c r="H8" s="41"/>
    </row>
    <row r="9" spans="1:8" ht="13.5" x14ac:dyDescent="0.25">
      <c r="A9" s="53"/>
      <c r="B9" s="50"/>
      <c r="C9" s="50"/>
      <c r="D9" s="39"/>
      <c r="E9" s="61"/>
      <c r="F9" s="62"/>
    </row>
    <row r="10" spans="1:8" ht="13.5" x14ac:dyDescent="0.25">
      <c r="A10" s="55" t="s">
        <v>321</v>
      </c>
      <c r="B10" s="48"/>
      <c r="C10" s="48"/>
      <c r="D10" s="60"/>
      <c r="E10" s="94"/>
      <c r="F10" s="63"/>
    </row>
    <row r="11" spans="1:8" ht="13.5" x14ac:dyDescent="0.3">
      <c r="A11" s="1" t="s">
        <v>976</v>
      </c>
      <c r="B11" s="280">
        <v>7.5</v>
      </c>
      <c r="C11" s="2" t="s">
        <v>213</v>
      </c>
      <c r="D11" s="1" t="s">
        <v>957</v>
      </c>
      <c r="E11" s="444" t="s">
        <v>669</v>
      </c>
    </row>
    <row r="12" spans="1:8" ht="13.5" x14ac:dyDescent="0.3">
      <c r="A12" s="1" t="s">
        <v>668</v>
      </c>
      <c r="B12" s="96">
        <f ca="1">(B11+MechanicalData!B73*'Steering Ratio'!Z10/MIN('Steering Ratio'!U7:U897))*MechanicalData!B70</f>
        <v>20213.095693779906</v>
      </c>
      <c r="C12" s="2" t="s">
        <v>322</v>
      </c>
      <c r="D12" s="1" t="s">
        <v>196</v>
      </c>
      <c r="E12" s="445" t="s">
        <v>640</v>
      </c>
      <c r="F12" s="1"/>
    </row>
    <row r="13" spans="1:8" ht="13.5" x14ac:dyDescent="0.3">
      <c r="A13" s="1"/>
      <c r="B13" s="1"/>
      <c r="C13" s="1"/>
      <c r="D13" s="1"/>
      <c r="E13" s="95"/>
      <c r="F13" s="1"/>
    </row>
    <row r="14" spans="1:8" ht="13.5" x14ac:dyDescent="0.3">
      <c r="A14" s="1"/>
      <c r="B14" s="1"/>
      <c r="C14" s="1"/>
      <c r="D14" s="1"/>
      <c r="E14" s="95"/>
      <c r="F14" s="1"/>
      <c r="H14" s="42"/>
    </row>
    <row r="15" spans="1:8" ht="13.5" x14ac:dyDescent="0.3">
      <c r="A15" s="1"/>
      <c r="B15" s="1"/>
      <c r="C15" s="1"/>
      <c r="D15" s="1"/>
      <c r="E15" s="95"/>
      <c r="F15" s="1"/>
    </row>
    <row r="16" spans="1:8" ht="13.5" x14ac:dyDescent="0.3">
      <c r="A16" s="1"/>
      <c r="B16" s="255"/>
      <c r="C16" s="1"/>
      <c r="D16" s="1"/>
      <c r="E16" s="95"/>
      <c r="F16" s="1"/>
    </row>
    <row r="17" spans="1:6" ht="13.5" x14ac:dyDescent="0.3">
      <c r="A17" s="1"/>
      <c r="B17" s="1"/>
      <c r="C17" s="1"/>
      <c r="D17" s="1"/>
      <c r="E17" s="95"/>
      <c r="F17" s="1"/>
    </row>
    <row r="18" spans="1:6" ht="13.5" x14ac:dyDescent="0.3">
      <c r="A18" s="1"/>
      <c r="B18" s="1"/>
      <c r="C18" s="1"/>
      <c r="D18" s="1"/>
      <c r="E18" s="95"/>
      <c r="F18" s="1"/>
    </row>
    <row r="19" spans="1:6" ht="13.5" x14ac:dyDescent="0.3">
      <c r="A19" s="1"/>
      <c r="B19" s="1"/>
      <c r="C19" s="1"/>
      <c r="D19" s="1"/>
      <c r="E19" s="95"/>
      <c r="F19" s="1"/>
    </row>
    <row r="20" spans="1:6" ht="13.5" x14ac:dyDescent="0.3">
      <c r="A20" s="1"/>
      <c r="B20" s="1"/>
      <c r="C20" s="1"/>
      <c r="D20" s="1"/>
      <c r="E20" s="95"/>
      <c r="F20" s="1"/>
    </row>
    <row r="21" spans="1:6" ht="13.5" x14ac:dyDescent="0.3">
      <c r="A21" s="1"/>
      <c r="B21" s="1"/>
      <c r="C21" s="1"/>
      <c r="D21" s="1"/>
      <c r="E21" s="95"/>
      <c r="F21" s="1"/>
    </row>
    <row r="22" spans="1:6" ht="13.5" x14ac:dyDescent="0.3">
      <c r="A22" s="1"/>
      <c r="B22" s="1"/>
      <c r="C22" s="1"/>
      <c r="D22" s="1"/>
      <c r="E22" s="95"/>
      <c r="F22" s="1"/>
    </row>
    <row r="23" spans="1:6" ht="13.5" x14ac:dyDescent="0.3">
      <c r="A23" s="1"/>
      <c r="B23" s="1"/>
      <c r="C23" s="1"/>
      <c r="D23" s="1"/>
      <c r="E23" s="95"/>
      <c r="F23" s="1"/>
    </row>
    <row r="24" spans="1:6" x14ac:dyDescent="0.25">
      <c r="E24" s="35"/>
    </row>
    <row r="25" spans="1:6" x14ac:dyDescent="0.25">
      <c r="E25" s="35"/>
    </row>
    <row r="26" spans="1:6" x14ac:dyDescent="0.25">
      <c r="E26" s="35"/>
    </row>
    <row r="27" spans="1:6" x14ac:dyDescent="0.25">
      <c r="E27" s="35"/>
    </row>
    <row r="28" spans="1:6" x14ac:dyDescent="0.25">
      <c r="E28" s="35"/>
    </row>
    <row r="29" spans="1:6" x14ac:dyDescent="0.25">
      <c r="E29" s="35"/>
    </row>
    <row r="30" spans="1:6" x14ac:dyDescent="0.25">
      <c r="E30" s="35"/>
    </row>
    <row r="31" spans="1:6" x14ac:dyDescent="0.25">
      <c r="E31" s="35"/>
    </row>
  </sheetData>
  <phoneticPr fontId="122" type="noConversion"/>
  <pageMargins left="0.7" right="0.7" top="0.78740157499999996" bottom="0.78740157499999996" header="0.3" footer="0.3"/>
  <pageSetup paperSize="9" orientation="portrait" copies="0"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9</vt:i4>
      </vt:variant>
      <vt:variant>
        <vt:lpstr>命名范围</vt:lpstr>
      </vt:variant>
      <vt:variant>
        <vt:i4>1</vt:i4>
      </vt:variant>
    </vt:vector>
  </HeadingPairs>
  <TitlesOfParts>
    <vt:vector size="10" baseType="lpstr">
      <vt:lpstr>Description</vt:lpstr>
      <vt:lpstr>MechanicalData</vt:lpstr>
      <vt:lpstr>Steering Ratio</vt:lpstr>
      <vt:lpstr>SW-Endstop</vt:lpstr>
      <vt:lpstr>Steering Angle</vt:lpstr>
      <vt:lpstr>SA_Config</vt:lpstr>
      <vt:lpstr>RackWheelConverter</vt:lpstr>
      <vt:lpstr>LoadTracking</vt:lpstr>
      <vt:lpstr>other tuning</vt:lpstr>
      <vt:lpstr>ratio__°WA_mm</vt:lpstr>
    </vt:vector>
  </TitlesOfParts>
  <Company>ZF Lenksysteme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g52129</dc:creator>
  <cp:lastModifiedBy>Wu Hanhan</cp:lastModifiedBy>
  <cp:lastPrinted>2007-12-07T09:16:37Z</cp:lastPrinted>
  <dcterms:created xsi:type="dcterms:W3CDTF">2007-11-29T13:04:51Z</dcterms:created>
  <dcterms:modified xsi:type="dcterms:W3CDTF">2022-08-12T00:43:58Z</dcterms:modified>
</cp:coreProperties>
</file>